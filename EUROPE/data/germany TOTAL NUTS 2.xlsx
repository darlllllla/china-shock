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china shock eu/EUROPE/data/"/>
    </mc:Choice>
  </mc:AlternateContent>
  <xr:revisionPtr revIDLastSave="0" documentId="8_{3AEFCD15-9DFC-1449-950B-2525DA57479E}" xr6:coauthVersionLast="47" xr6:coauthVersionMax="47" xr10:uidLastSave="{00000000-0000-0000-0000-000000000000}"/>
  <bookViews>
    <workbookView xWindow="0" yWindow="720" windowWidth="29400" windowHeight="18400" activeTab="8" xr2:uid="{7082EA7F-5399-7B4E-AC7C-390F65AEAFE3}"/>
  </bookViews>
  <sheets>
    <sheet name="employment" sheetId="1" r:id="rId1"/>
    <sheet name="import" sheetId="2" r:id="rId2"/>
    <sheet name="L_i" sheetId="4" r:id="rId3"/>
    <sheet name="delta_М" sheetId="5" r:id="rId4"/>
    <sheet name="shock_i" sheetId="3" r:id="rId5"/>
    <sheet name="L_r" sheetId="6" r:id="rId6"/>
    <sheet name="s_ri" sheetId="7" r:id="rId7"/>
    <sheet name="IPW_r" sheetId="8" r:id="rId8"/>
    <sheet name="import OC" sheetId="9" r:id="rId9"/>
    <sheet name="delta_M_OC" sheetId="10" r:id="rId10"/>
    <sheet name="shock_OC" sheetId="11" r:id="rId11"/>
    <sheet name="IPW_OC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1" l="1"/>
  <c r="D4" i="11"/>
  <c r="D5" i="11"/>
  <c r="D6" i="11"/>
  <c r="D7" i="11"/>
  <c r="D8" i="11"/>
  <c r="D9" i="11"/>
  <c r="D10" i="11"/>
  <c r="D11" i="11"/>
  <c r="D12" i="11"/>
  <c r="D13" i="11"/>
  <c r="D2" i="11"/>
  <c r="W40" i="9" l="1"/>
  <c r="S40" i="9"/>
  <c r="O40" i="9"/>
  <c r="K40" i="9"/>
  <c r="G40" i="9"/>
  <c r="C40" i="9"/>
  <c r="W39" i="9"/>
  <c r="S39" i="9"/>
  <c r="O39" i="9"/>
  <c r="K39" i="9"/>
  <c r="G39" i="9"/>
  <c r="C39" i="9"/>
  <c r="W38" i="9"/>
  <c r="S38" i="9"/>
  <c r="O38" i="9"/>
  <c r="K38" i="9"/>
  <c r="G38" i="9"/>
  <c r="C38" i="9"/>
  <c r="W37" i="9"/>
  <c r="S37" i="9"/>
  <c r="O37" i="9"/>
  <c r="K37" i="9"/>
  <c r="G37" i="9"/>
  <c r="C37" i="9"/>
  <c r="W36" i="9"/>
  <c r="S36" i="9"/>
  <c r="O36" i="9"/>
  <c r="K36" i="9"/>
  <c r="G36" i="9"/>
  <c r="C36" i="9"/>
  <c r="W35" i="9"/>
  <c r="S35" i="9"/>
  <c r="O35" i="9"/>
  <c r="K35" i="9"/>
  <c r="G35" i="9"/>
  <c r="C35" i="9"/>
  <c r="W34" i="9"/>
  <c r="S34" i="9"/>
  <c r="O34" i="9"/>
  <c r="K34" i="9"/>
  <c r="G34" i="9"/>
  <c r="C34" i="9"/>
  <c r="W33" i="9"/>
  <c r="S33" i="9"/>
  <c r="O33" i="9"/>
  <c r="K33" i="9"/>
  <c r="G33" i="9"/>
  <c r="C33" i="9"/>
  <c r="W32" i="9"/>
  <c r="S32" i="9"/>
  <c r="O32" i="9"/>
  <c r="K32" i="9"/>
  <c r="G32" i="9"/>
  <c r="C32" i="9"/>
  <c r="W31" i="9"/>
  <c r="S31" i="9"/>
  <c r="O31" i="9"/>
  <c r="K31" i="9"/>
  <c r="G31" i="9"/>
  <c r="C31" i="9"/>
  <c r="W30" i="9"/>
  <c r="S30" i="9"/>
  <c r="O30" i="9"/>
  <c r="K30" i="9"/>
  <c r="G30" i="9"/>
  <c r="C30" i="9"/>
  <c r="W29" i="9"/>
  <c r="S29" i="9"/>
  <c r="O29" i="9"/>
  <c r="K29" i="9"/>
  <c r="G29" i="9"/>
  <c r="C29" i="9"/>
  <c r="C7" i="4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3" i="6"/>
  <c r="C20" i="4"/>
  <c r="C14" i="4"/>
  <c r="C8" i="11" s="1"/>
  <c r="E8" i="11" s="1"/>
  <c r="C8" i="4"/>
  <c r="C2" i="4"/>
  <c r="C13" i="4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3" i="6"/>
  <c r="C9" i="5"/>
  <c r="D9" i="3" s="1"/>
  <c r="C10" i="5"/>
  <c r="D10" i="3" s="1"/>
  <c r="C11" i="5"/>
  <c r="D11" i="3" s="1"/>
  <c r="C12" i="5"/>
  <c r="D12" i="3" s="1"/>
  <c r="C13" i="5"/>
  <c r="D13" i="3" s="1"/>
  <c r="C8" i="5"/>
  <c r="D8" i="3" s="1"/>
  <c r="C3" i="5"/>
  <c r="D3" i="3" s="1"/>
  <c r="C4" i="5"/>
  <c r="D4" i="3" s="1"/>
  <c r="C5" i="5"/>
  <c r="D5" i="3" s="1"/>
  <c r="C6" i="5"/>
  <c r="D6" i="3" s="1"/>
  <c r="C7" i="5"/>
  <c r="D7" i="3" s="1"/>
  <c r="C2" i="5"/>
  <c r="D2" i="3" s="1"/>
  <c r="C25" i="4"/>
  <c r="C19" i="4"/>
  <c r="C24" i="4"/>
  <c r="C18" i="4"/>
  <c r="C12" i="4"/>
  <c r="C6" i="4"/>
  <c r="C23" i="4"/>
  <c r="C17" i="4"/>
  <c r="C11" i="4"/>
  <c r="C5" i="4"/>
  <c r="C22" i="4"/>
  <c r="C16" i="4"/>
  <c r="C10" i="4"/>
  <c r="C4" i="4"/>
  <c r="C21" i="4"/>
  <c r="C15" i="4"/>
  <c r="C9" i="4"/>
  <c r="C3" i="4"/>
  <c r="C8" i="3" l="1"/>
  <c r="E8" i="3" s="1"/>
  <c r="C13" i="3"/>
  <c r="E13" i="3" s="1"/>
  <c r="C13" i="11"/>
  <c r="E13" i="11" s="1"/>
  <c r="C11" i="3"/>
  <c r="E11" i="3" s="1"/>
  <c r="C11" i="11"/>
  <c r="E11" i="11" s="1"/>
  <c r="C7" i="3"/>
  <c r="E7" i="3" s="1"/>
  <c r="C7" i="11"/>
  <c r="E7" i="11" s="1"/>
  <c r="C3" i="3"/>
  <c r="E3" i="3" s="1"/>
  <c r="C3" i="11"/>
  <c r="E3" i="11" s="1"/>
  <c r="C5" i="3"/>
  <c r="C5" i="11"/>
  <c r="E5" i="11" s="1"/>
  <c r="C9" i="3"/>
  <c r="E9" i="3" s="1"/>
  <c r="C9" i="11"/>
  <c r="E9" i="11" s="1"/>
  <c r="C2" i="3"/>
  <c r="E2" i="3" s="1"/>
  <c r="C2" i="11"/>
  <c r="E2" i="11" s="1"/>
  <c r="C6" i="3"/>
  <c r="C6" i="11"/>
  <c r="E6" i="11" s="1"/>
  <c r="C4" i="3"/>
  <c r="E4" i="3" s="1"/>
  <c r="C4" i="11"/>
  <c r="E4" i="11" s="1"/>
  <c r="C10" i="3"/>
  <c r="E10" i="3" s="1"/>
  <c r="C10" i="11"/>
  <c r="E10" i="11" s="1"/>
  <c r="C12" i="3"/>
  <c r="E12" i="3" s="1"/>
  <c r="C12" i="11"/>
  <c r="E12" i="11" s="1"/>
  <c r="O20" i="7"/>
  <c r="E6" i="3"/>
  <c r="E5" i="3"/>
  <c r="R36" i="6"/>
  <c r="O36" i="7" s="1"/>
  <c r="R28" i="6"/>
  <c r="P28" i="7" s="1"/>
  <c r="R20" i="6"/>
  <c r="R12" i="6"/>
  <c r="R4" i="6"/>
  <c r="K4" i="7" s="1"/>
  <c r="R29" i="6"/>
  <c r="N29" i="7" s="1"/>
  <c r="R3" i="6"/>
  <c r="N3" i="7" s="1"/>
  <c r="H28" i="6"/>
  <c r="C28" i="7" s="1"/>
  <c r="R37" i="6"/>
  <c r="M37" i="7" s="1"/>
  <c r="R21" i="6"/>
  <c r="N21" i="7" s="1"/>
  <c r="R13" i="6"/>
  <c r="K13" i="7" s="1"/>
  <c r="R5" i="6"/>
  <c r="K5" i="7" s="1"/>
  <c r="H34" i="6"/>
  <c r="C34" i="7" s="1"/>
  <c r="H26" i="6"/>
  <c r="F26" i="7" s="1"/>
  <c r="H18" i="6"/>
  <c r="F18" i="7" s="1"/>
  <c r="H10" i="6"/>
  <c r="C10" i="7" s="1"/>
  <c r="H31" i="6"/>
  <c r="D31" i="7" s="1"/>
  <c r="H36" i="6"/>
  <c r="H4" i="6"/>
  <c r="D4" i="7" s="1"/>
  <c r="R10" i="6"/>
  <c r="N10" i="7" s="1"/>
  <c r="R35" i="6"/>
  <c r="K35" i="7" s="1"/>
  <c r="R27" i="6"/>
  <c r="M27" i="7" s="1"/>
  <c r="R38" i="6"/>
  <c r="P38" i="7" s="1"/>
  <c r="R30" i="6"/>
  <c r="O30" i="7" s="1"/>
  <c r="R22" i="6"/>
  <c r="K22" i="7" s="1"/>
  <c r="R14" i="6"/>
  <c r="N14" i="7" s="1"/>
  <c r="R6" i="6"/>
  <c r="P6" i="7" s="1"/>
  <c r="R18" i="6"/>
  <c r="N18" i="7" s="1"/>
  <c r="R40" i="6"/>
  <c r="R24" i="6"/>
  <c r="L24" i="7" s="1"/>
  <c r="R25" i="6"/>
  <c r="L25" i="7" s="1"/>
  <c r="R17" i="6"/>
  <c r="M17" i="7" s="1"/>
  <c r="R9" i="6"/>
  <c r="L9" i="7" s="1"/>
  <c r="R19" i="6"/>
  <c r="M19" i="7" s="1"/>
  <c r="R34" i="6"/>
  <c r="L34" i="7" s="1"/>
  <c r="R26" i="6"/>
  <c r="L26" i="7" s="1"/>
  <c r="R32" i="6"/>
  <c r="R16" i="6"/>
  <c r="M16" i="7" s="1"/>
  <c r="R8" i="6"/>
  <c r="K8" i="7" s="1"/>
  <c r="R11" i="6"/>
  <c r="P11" i="7" s="1"/>
  <c r="R33" i="6"/>
  <c r="N33" i="7" s="1"/>
  <c r="R39" i="6"/>
  <c r="O39" i="7" s="1"/>
  <c r="R31" i="6"/>
  <c r="R23" i="6"/>
  <c r="P23" i="7" s="1"/>
  <c r="R15" i="6"/>
  <c r="M15" i="7" s="1"/>
  <c r="R7" i="6"/>
  <c r="P7" i="7" s="1"/>
  <c r="C18" i="7"/>
  <c r="H9" i="6"/>
  <c r="C9" i="7" s="1"/>
  <c r="H32" i="6"/>
  <c r="B32" i="7" s="1"/>
  <c r="H3" i="6"/>
  <c r="D3" i="7" s="1"/>
  <c r="H17" i="6"/>
  <c r="H23" i="6"/>
  <c r="B23" i="7" s="1"/>
  <c r="H16" i="6"/>
  <c r="F16" i="7" s="1"/>
  <c r="H37" i="6"/>
  <c r="H13" i="6"/>
  <c r="F13" i="7" s="1"/>
  <c r="H33" i="6"/>
  <c r="E33" i="7" s="1"/>
  <c r="H25" i="6"/>
  <c r="H40" i="6"/>
  <c r="B40" i="7" s="1"/>
  <c r="H24" i="6"/>
  <c r="G24" i="7" s="1"/>
  <c r="H8" i="6"/>
  <c r="H12" i="6"/>
  <c r="G12" i="7" s="1"/>
  <c r="H29" i="6"/>
  <c r="E29" i="7" s="1"/>
  <c r="H21" i="6"/>
  <c r="F21" i="7" s="1"/>
  <c r="H5" i="6"/>
  <c r="E5" i="7" s="1"/>
  <c r="H39" i="6"/>
  <c r="H7" i="6"/>
  <c r="G7" i="7" s="1"/>
  <c r="H20" i="6"/>
  <c r="F20" i="7" s="1"/>
  <c r="H35" i="6"/>
  <c r="H27" i="6"/>
  <c r="D27" i="7" s="1"/>
  <c r="H19" i="6"/>
  <c r="H11" i="6"/>
  <c r="C11" i="7" s="1"/>
  <c r="H15" i="6"/>
  <c r="D15" i="7" s="1"/>
  <c r="H38" i="6"/>
  <c r="C38" i="7" s="1"/>
  <c r="H30" i="6"/>
  <c r="E30" i="7" s="1"/>
  <c r="H22" i="6"/>
  <c r="C22" i="7" s="1"/>
  <c r="H14" i="6"/>
  <c r="E14" i="7" s="1"/>
  <c r="H6" i="6"/>
  <c r="D6" i="7" s="1"/>
  <c r="O21" i="7" l="1"/>
  <c r="B37" i="8"/>
  <c r="B36" i="8"/>
  <c r="B35" i="8"/>
  <c r="N8" i="7"/>
  <c r="B36" i="12"/>
  <c r="B35" i="12"/>
  <c r="B37" i="12"/>
  <c r="G35" i="12"/>
  <c r="G37" i="12"/>
  <c r="G36" i="12"/>
  <c r="P37" i="7"/>
  <c r="L37" i="7"/>
  <c r="K36" i="7"/>
  <c r="D36" i="12"/>
  <c r="D35" i="12"/>
  <c r="D37" i="12"/>
  <c r="E35" i="12"/>
  <c r="E37" i="12"/>
  <c r="E36" i="12"/>
  <c r="O14" i="7"/>
  <c r="P14" i="12" s="1"/>
  <c r="F35" i="12"/>
  <c r="F37" i="12"/>
  <c r="F36" i="12"/>
  <c r="C37" i="12"/>
  <c r="C36" i="12"/>
  <c r="C35" i="12"/>
  <c r="D37" i="8"/>
  <c r="D36" i="8"/>
  <c r="D35" i="8"/>
  <c r="G35" i="8"/>
  <c r="G37" i="8"/>
  <c r="G36" i="8"/>
  <c r="E36" i="8"/>
  <c r="E37" i="8"/>
  <c r="E35" i="8"/>
  <c r="F35" i="8"/>
  <c r="F37" i="8"/>
  <c r="F36" i="8"/>
  <c r="C37" i="8"/>
  <c r="C36" i="8"/>
  <c r="C35" i="8"/>
  <c r="Q6" i="8"/>
  <c r="Q6" i="12"/>
  <c r="N19" i="8"/>
  <c r="N19" i="12"/>
  <c r="O33" i="8"/>
  <c r="O33" i="12"/>
  <c r="Q11" i="8"/>
  <c r="Q11" i="12"/>
  <c r="N17" i="8"/>
  <c r="N17" i="12"/>
  <c r="P30" i="8"/>
  <c r="P30" i="12"/>
  <c r="Q7" i="8"/>
  <c r="Q7" i="12"/>
  <c r="N16" i="8"/>
  <c r="N16" i="12"/>
  <c r="M24" i="8"/>
  <c r="M24" i="12"/>
  <c r="F26" i="8"/>
  <c r="F26" i="12"/>
  <c r="C22" i="8"/>
  <c r="C22" i="12"/>
  <c r="F20" i="8"/>
  <c r="F20" i="12"/>
  <c r="G24" i="8"/>
  <c r="G24" i="12"/>
  <c r="M34" i="8"/>
  <c r="M34" i="12"/>
  <c r="D4" i="8"/>
  <c r="D4" i="12"/>
  <c r="L13" i="8"/>
  <c r="L13" i="12"/>
  <c r="M24" i="7"/>
  <c r="L36" i="8"/>
  <c r="L36" i="12"/>
  <c r="N24" i="7"/>
  <c r="M29" i="7"/>
  <c r="O7" i="7"/>
  <c r="P3" i="7"/>
  <c r="E30" i="8"/>
  <c r="E30" i="12"/>
  <c r="G7" i="8"/>
  <c r="G7" i="12"/>
  <c r="B40" i="8"/>
  <c r="B40" i="12"/>
  <c r="D3" i="8"/>
  <c r="D3" i="12"/>
  <c r="P39" i="8"/>
  <c r="P39" i="12"/>
  <c r="O14" i="8"/>
  <c r="O14" i="12"/>
  <c r="O21" i="8"/>
  <c r="O21" i="12"/>
  <c r="Q28" i="8"/>
  <c r="Q28" i="12"/>
  <c r="L36" i="7"/>
  <c r="K21" i="7"/>
  <c r="L21" i="7"/>
  <c r="M39" i="7"/>
  <c r="C38" i="8"/>
  <c r="C38" i="12"/>
  <c r="B32" i="8"/>
  <c r="B32" i="12"/>
  <c r="M9" i="8"/>
  <c r="M9" i="12"/>
  <c r="L22" i="8"/>
  <c r="L22" i="12"/>
  <c r="D31" i="8"/>
  <c r="D31" i="12"/>
  <c r="N37" i="8"/>
  <c r="N37" i="12"/>
  <c r="P36" i="8"/>
  <c r="P36" i="12"/>
  <c r="P29" i="7"/>
  <c r="P27" i="7"/>
  <c r="K29" i="7"/>
  <c r="D15" i="8"/>
  <c r="D15" i="12"/>
  <c r="C28" i="8"/>
  <c r="C28" i="12"/>
  <c r="Q37" i="8"/>
  <c r="Q37" i="12"/>
  <c r="P21" i="8"/>
  <c r="P21" i="12"/>
  <c r="L29" i="7"/>
  <c r="P14" i="8"/>
  <c r="P30" i="7"/>
  <c r="C11" i="8"/>
  <c r="C11" i="12"/>
  <c r="F21" i="8"/>
  <c r="F21" i="12"/>
  <c r="F13" i="8"/>
  <c r="F13" i="12"/>
  <c r="C18" i="8"/>
  <c r="C18" i="12"/>
  <c r="L8" i="8"/>
  <c r="L8" i="12"/>
  <c r="M25" i="8"/>
  <c r="M25" i="12"/>
  <c r="Q38" i="8"/>
  <c r="Q38" i="12"/>
  <c r="F18" i="8"/>
  <c r="F18" i="12"/>
  <c r="O3" i="8"/>
  <c r="O3" i="12"/>
  <c r="K27" i="7"/>
  <c r="N25" i="7"/>
  <c r="O29" i="7"/>
  <c r="K24" i="7"/>
  <c r="L8" i="7"/>
  <c r="O29" i="8"/>
  <c r="O29" i="12"/>
  <c r="P20" i="8"/>
  <c r="P20" i="12"/>
  <c r="M37" i="8"/>
  <c r="M37" i="12"/>
  <c r="M9" i="7"/>
  <c r="L16" i="7"/>
  <c r="N27" i="8"/>
  <c r="N27" i="12"/>
  <c r="G12" i="8"/>
  <c r="G12" i="12"/>
  <c r="F16" i="8"/>
  <c r="F16" i="12"/>
  <c r="N15" i="8"/>
  <c r="N15" i="12"/>
  <c r="L35" i="8"/>
  <c r="L35" i="12"/>
  <c r="C34" i="8"/>
  <c r="C34" i="12"/>
  <c r="L4" i="8"/>
  <c r="L4" i="12"/>
  <c r="M8" i="7"/>
  <c r="P14" i="7"/>
  <c r="M5" i="7"/>
  <c r="N16" i="7"/>
  <c r="E5" i="8"/>
  <c r="E5" i="12"/>
  <c r="E33" i="8"/>
  <c r="E33" i="12"/>
  <c r="C9" i="8"/>
  <c r="C9" i="12"/>
  <c r="C10" i="8"/>
  <c r="C10" i="12"/>
  <c r="E29" i="8"/>
  <c r="E29" i="12"/>
  <c r="O8" i="8"/>
  <c r="O8" i="12"/>
  <c r="D6" i="8"/>
  <c r="D6" i="12"/>
  <c r="D27" i="8"/>
  <c r="D27" i="12"/>
  <c r="E14" i="8"/>
  <c r="E14" i="12"/>
  <c r="B23" i="8"/>
  <c r="B23" i="12"/>
  <c r="Q23" i="8"/>
  <c r="Q23" i="12"/>
  <c r="M26" i="12"/>
  <c r="M26" i="8"/>
  <c r="O18" i="12"/>
  <c r="O18" i="8"/>
  <c r="O10" i="8"/>
  <c r="O10" i="12"/>
  <c r="L5" i="8"/>
  <c r="L5" i="12"/>
  <c r="K28" i="7"/>
  <c r="O22" i="7"/>
  <c r="M13" i="7"/>
  <c r="K14" i="7"/>
  <c r="K34" i="7"/>
  <c r="M23" i="7"/>
  <c r="L15" i="7"/>
  <c r="K15" i="7"/>
  <c r="N15" i="7"/>
  <c r="O32" i="7"/>
  <c r="P32" i="7"/>
  <c r="O40" i="7"/>
  <c r="P40" i="7"/>
  <c r="M12" i="7"/>
  <c r="N12" i="7"/>
  <c r="K40" i="7"/>
  <c r="K31" i="7"/>
  <c r="L31" i="7"/>
  <c r="N31" i="7"/>
  <c r="L6" i="7"/>
  <c r="M6" i="7"/>
  <c r="N20" i="7"/>
  <c r="M20" i="7"/>
  <c r="P10" i="7"/>
  <c r="L12" i="7"/>
  <c r="O23" i="7"/>
  <c r="O37" i="7"/>
  <c r="M10" i="7"/>
  <c r="L5" i="7"/>
  <c r="M21" i="7"/>
  <c r="K37" i="7"/>
  <c r="P21" i="7"/>
  <c r="N5" i="7"/>
  <c r="M31" i="7"/>
  <c r="O18" i="7"/>
  <c r="K32" i="7"/>
  <c r="O28" i="7"/>
  <c r="M26" i="7"/>
  <c r="N6" i="7"/>
  <c r="P15" i="7"/>
  <c r="P12" i="7"/>
  <c r="L40" i="7"/>
  <c r="P33" i="7"/>
  <c r="O33" i="7"/>
  <c r="K33" i="7"/>
  <c r="N36" i="7"/>
  <c r="M36" i="7"/>
  <c r="P26" i="7"/>
  <c r="K6" i="7"/>
  <c r="N34" i="7"/>
  <c r="P22" i="7"/>
  <c r="P20" i="7"/>
  <c r="N32" i="7"/>
  <c r="L11" i="7"/>
  <c r="N11" i="7"/>
  <c r="O11" i="7"/>
  <c r="O17" i="7"/>
  <c r="P17" i="7"/>
  <c r="K17" i="7"/>
  <c r="L30" i="7"/>
  <c r="M30" i="7"/>
  <c r="P34" i="7"/>
  <c r="N22" i="7"/>
  <c r="L10" i="7"/>
  <c r="K30" i="7"/>
  <c r="P35" i="7"/>
  <c r="M25" i="7"/>
  <c r="N26" i="7"/>
  <c r="P31" i="7"/>
  <c r="O10" i="7"/>
  <c r="M18" i="7"/>
  <c r="N17" i="7"/>
  <c r="L32" i="7"/>
  <c r="K10" i="7"/>
  <c r="L17" i="7"/>
  <c r="M4" i="7"/>
  <c r="N4" i="7"/>
  <c r="P4" i="7"/>
  <c r="L23" i="7"/>
  <c r="K23" i="7"/>
  <c r="N23" i="7"/>
  <c r="P5" i="7"/>
  <c r="K39" i="7"/>
  <c r="L39" i="7"/>
  <c r="N39" i="7"/>
  <c r="L19" i="7"/>
  <c r="N19" i="7"/>
  <c r="O19" i="7"/>
  <c r="L14" i="7"/>
  <c r="M14" i="7"/>
  <c r="M32" i="7"/>
  <c r="L38" i="7"/>
  <c r="M38" i="7"/>
  <c r="K3" i="7"/>
  <c r="L3" i="7"/>
  <c r="K11" i="7"/>
  <c r="O4" i="7"/>
  <c r="N30" i="7"/>
  <c r="L18" i="7"/>
  <c r="K38" i="7"/>
  <c r="K12" i="7"/>
  <c r="O5" i="7"/>
  <c r="M33" i="7"/>
  <c r="O15" i="7"/>
  <c r="P39" i="7"/>
  <c r="P36" i="7"/>
  <c r="L4" i="7"/>
  <c r="M11" i="7"/>
  <c r="O26" i="7"/>
  <c r="K18" i="7"/>
  <c r="N37" i="7"/>
  <c r="L35" i="7"/>
  <c r="N35" i="7"/>
  <c r="O35" i="7"/>
  <c r="N40" i="7"/>
  <c r="N28" i="7"/>
  <c r="M28" i="7"/>
  <c r="P18" i="7"/>
  <c r="P19" i="7"/>
  <c r="M34" i="7"/>
  <c r="N13" i="7"/>
  <c r="P9" i="7"/>
  <c r="O9" i="7"/>
  <c r="K9" i="7"/>
  <c r="L22" i="7"/>
  <c r="M22" i="7"/>
  <c r="M40" i="7"/>
  <c r="L20" i="7"/>
  <c r="O31" i="7"/>
  <c r="O8" i="7"/>
  <c r="P8" i="7"/>
  <c r="O25" i="7"/>
  <c r="P25" i="7"/>
  <c r="K25" i="7"/>
  <c r="K7" i="7"/>
  <c r="L7" i="7"/>
  <c r="N7" i="7"/>
  <c r="O16" i="7"/>
  <c r="P16" i="7"/>
  <c r="O24" i="7"/>
  <c r="P24" i="7"/>
  <c r="L27" i="7"/>
  <c r="N27" i="7"/>
  <c r="O27" i="7"/>
  <c r="K19" i="7"/>
  <c r="O12" i="7"/>
  <c r="N38" i="7"/>
  <c r="O38" i="7"/>
  <c r="P13" i="7"/>
  <c r="L13" i="7"/>
  <c r="K20" i="7"/>
  <c r="O13" i="7"/>
  <c r="M3" i="7"/>
  <c r="N9" i="7"/>
  <c r="K16" i="7"/>
  <c r="O3" i="7"/>
  <c r="O6" i="7"/>
  <c r="L28" i="7"/>
  <c r="M35" i="7"/>
  <c r="O34" i="7"/>
  <c r="K26" i="7"/>
  <c r="M7" i="7"/>
  <c r="L33" i="7"/>
  <c r="D18" i="7"/>
  <c r="D26" i="7"/>
  <c r="G26" i="7"/>
  <c r="C26" i="7"/>
  <c r="G18" i="7"/>
  <c r="D28" i="7"/>
  <c r="B34" i="7"/>
  <c r="B26" i="7"/>
  <c r="E26" i="7"/>
  <c r="E34" i="7"/>
  <c r="E18" i="7"/>
  <c r="B10" i="7"/>
  <c r="E31" i="7"/>
  <c r="E9" i="7"/>
  <c r="G29" i="7"/>
  <c r="D11" i="7"/>
  <c r="F12" i="7"/>
  <c r="C4" i="7"/>
  <c r="E4" i="7"/>
  <c r="D12" i="7"/>
  <c r="B31" i="7"/>
  <c r="G28" i="7"/>
  <c r="B28" i="7"/>
  <c r="F29" i="7"/>
  <c r="G33" i="7"/>
  <c r="F28" i="7"/>
  <c r="G10" i="7"/>
  <c r="B4" i="7"/>
  <c r="C29" i="7"/>
  <c r="E28" i="7"/>
  <c r="G16" i="7"/>
  <c r="B27" i="7"/>
  <c r="C27" i="7"/>
  <c r="G38" i="7"/>
  <c r="B18" i="7"/>
  <c r="F10" i="7"/>
  <c r="F23" i="7"/>
  <c r="E10" i="7"/>
  <c r="D23" i="7"/>
  <c r="G34" i="7"/>
  <c r="G4" i="7"/>
  <c r="C31" i="7"/>
  <c r="F4" i="7"/>
  <c r="G20" i="7"/>
  <c r="G31" i="7"/>
  <c r="F31" i="7"/>
  <c r="D10" i="7"/>
  <c r="G30" i="7"/>
  <c r="F30" i="7"/>
  <c r="D22" i="7"/>
  <c r="C21" i="7"/>
  <c r="E21" i="7"/>
  <c r="D20" i="7"/>
  <c r="F34" i="7"/>
  <c r="D34" i="7"/>
  <c r="F7" i="7"/>
  <c r="F5" i="7"/>
  <c r="G23" i="7"/>
  <c r="F38" i="7"/>
  <c r="C30" i="7"/>
  <c r="C40" i="7"/>
  <c r="B7" i="7"/>
  <c r="G9" i="7"/>
  <c r="B16" i="7"/>
  <c r="F9" i="7"/>
  <c r="D7" i="7"/>
  <c r="E6" i="7"/>
  <c r="B6" i="7"/>
  <c r="F6" i="7"/>
  <c r="C6" i="7"/>
  <c r="E3" i="7"/>
  <c r="B11" i="7"/>
  <c r="E38" i="7"/>
  <c r="B24" i="7"/>
  <c r="B22" i="7"/>
  <c r="F11" i="7"/>
  <c r="G3" i="7"/>
  <c r="G5" i="7"/>
  <c r="G6" i="7"/>
  <c r="E19" i="7"/>
  <c r="G19" i="7"/>
  <c r="D8" i="7"/>
  <c r="E8" i="7"/>
  <c r="F8" i="7"/>
  <c r="B25" i="7"/>
  <c r="D25" i="7"/>
  <c r="C19" i="7"/>
  <c r="G14" i="7"/>
  <c r="F19" i="7"/>
  <c r="B12" i="7"/>
  <c r="E12" i="7"/>
  <c r="B14" i="7"/>
  <c r="B33" i="7"/>
  <c r="D33" i="7"/>
  <c r="C8" i="7"/>
  <c r="D13" i="7"/>
  <c r="B13" i="7"/>
  <c r="B17" i="7"/>
  <c r="D17" i="7"/>
  <c r="D32" i="7"/>
  <c r="E32" i="7"/>
  <c r="F32" i="7"/>
  <c r="E27" i="7"/>
  <c r="G27" i="7"/>
  <c r="G22" i="7"/>
  <c r="F27" i="7"/>
  <c r="E7" i="7"/>
  <c r="C7" i="7"/>
  <c r="B30" i="7"/>
  <c r="D24" i="7"/>
  <c r="E24" i="7"/>
  <c r="C24" i="7"/>
  <c r="F3" i="7"/>
  <c r="B3" i="7"/>
  <c r="G25" i="7"/>
  <c r="G15" i="7"/>
  <c r="G32" i="7"/>
  <c r="E13" i="7"/>
  <c r="F24" i="7"/>
  <c r="F15" i="7"/>
  <c r="D19" i="7"/>
  <c r="E39" i="7"/>
  <c r="C39" i="7"/>
  <c r="F39" i="7"/>
  <c r="G8" i="7"/>
  <c r="C14" i="7"/>
  <c r="G39" i="7"/>
  <c r="E15" i="7"/>
  <c r="C15" i="7"/>
  <c r="F14" i="7"/>
  <c r="D40" i="7"/>
  <c r="E40" i="7"/>
  <c r="F40" i="7"/>
  <c r="D39" i="7"/>
  <c r="F25" i="7"/>
  <c r="D14" i="7"/>
  <c r="D5" i="7"/>
  <c r="B5" i="7"/>
  <c r="G40" i="7"/>
  <c r="B38" i="7"/>
  <c r="G13" i="7"/>
  <c r="E17" i="7"/>
  <c r="C5" i="7"/>
  <c r="E11" i="7"/>
  <c r="G11" i="7"/>
  <c r="E22" i="7"/>
  <c r="D21" i="7"/>
  <c r="B21" i="7"/>
  <c r="C12" i="7"/>
  <c r="B39" i="7"/>
  <c r="C17" i="7"/>
  <c r="D16" i="7"/>
  <c r="E16" i="7"/>
  <c r="D38" i="7"/>
  <c r="F33" i="7"/>
  <c r="D30" i="7"/>
  <c r="C25" i="7"/>
  <c r="G21" i="7"/>
  <c r="E25" i="7"/>
  <c r="C13" i="7"/>
  <c r="B19" i="7"/>
  <c r="B20" i="7"/>
  <c r="E20" i="7"/>
  <c r="G17" i="7"/>
  <c r="D29" i="7"/>
  <c r="B29" i="7"/>
  <c r="C20" i="7"/>
  <c r="B8" i="7"/>
  <c r="F17" i="7"/>
  <c r="C3" i="7"/>
  <c r="F22" i="7"/>
  <c r="B15" i="7"/>
  <c r="E23" i="7"/>
  <c r="C23" i="7"/>
  <c r="C32" i="7"/>
  <c r="B9" i="7"/>
  <c r="D9" i="7"/>
  <c r="C16" i="7"/>
  <c r="C33" i="7"/>
  <c r="H37" i="8" l="1"/>
  <c r="H37" i="12"/>
  <c r="H35" i="12"/>
  <c r="H36" i="12"/>
  <c r="H35" i="8"/>
  <c r="H36" i="8"/>
  <c r="F14" i="8"/>
  <c r="F14" i="12"/>
  <c r="B17" i="8"/>
  <c r="B17" i="12"/>
  <c r="D22" i="8"/>
  <c r="D22" i="12"/>
  <c r="F28" i="8"/>
  <c r="F28" i="12"/>
  <c r="F12" i="8"/>
  <c r="F12" i="12"/>
  <c r="G40" i="8"/>
  <c r="G40" i="12"/>
  <c r="N12" i="8"/>
  <c r="N12" i="12"/>
  <c r="P29" i="8"/>
  <c r="P29" i="12"/>
  <c r="C16" i="8"/>
  <c r="C16" i="12"/>
  <c r="B20" i="8"/>
  <c r="B20" i="12"/>
  <c r="E22" i="8"/>
  <c r="E22" i="12"/>
  <c r="B3" i="8"/>
  <c r="B3" i="12"/>
  <c r="F27" i="8"/>
  <c r="F27" i="12"/>
  <c r="B24" i="8"/>
  <c r="B24" i="12"/>
  <c r="C4" i="8"/>
  <c r="C4" i="12"/>
  <c r="F17" i="8"/>
  <c r="F17" i="12"/>
  <c r="E16" i="8"/>
  <c r="E16" i="12"/>
  <c r="D5" i="8"/>
  <c r="D5" i="12"/>
  <c r="D19" i="8"/>
  <c r="D19" i="12"/>
  <c r="G22" i="8"/>
  <c r="G22" i="12"/>
  <c r="F19" i="8"/>
  <c r="F19" i="12"/>
  <c r="E38" i="8"/>
  <c r="E38" i="12"/>
  <c r="F5" i="8"/>
  <c r="F5" i="12"/>
  <c r="G4" i="8"/>
  <c r="G4" i="12"/>
  <c r="G33" i="8"/>
  <c r="G33" i="12"/>
  <c r="D18" i="8"/>
  <c r="D18" i="12"/>
  <c r="P38" i="8"/>
  <c r="P38" i="12"/>
  <c r="P24" i="8"/>
  <c r="P24" i="12"/>
  <c r="L9" i="8"/>
  <c r="L9" i="12"/>
  <c r="O28" i="8"/>
  <c r="O28" i="12"/>
  <c r="N11" i="8"/>
  <c r="N11" i="12"/>
  <c r="L38" i="8"/>
  <c r="L38" i="12"/>
  <c r="M38" i="8"/>
  <c r="M38" i="12"/>
  <c r="M39" i="8"/>
  <c r="M39" i="12"/>
  <c r="N4" i="8"/>
  <c r="N4" i="12"/>
  <c r="O26" i="8"/>
  <c r="O26" i="12"/>
  <c r="M30" i="8"/>
  <c r="M30" i="12"/>
  <c r="Q20" i="8"/>
  <c r="Q20" i="12"/>
  <c r="P33" i="8"/>
  <c r="P33" i="12"/>
  <c r="L32" i="8"/>
  <c r="L32" i="12"/>
  <c r="N10" i="8"/>
  <c r="N10" i="12"/>
  <c r="M6" i="8"/>
  <c r="M6" i="12"/>
  <c r="P40" i="8"/>
  <c r="P40" i="12"/>
  <c r="L14" i="8"/>
  <c r="L14" i="12"/>
  <c r="L27" i="8"/>
  <c r="L27" i="12"/>
  <c r="Q27" i="8"/>
  <c r="Q27" i="12"/>
  <c r="C23" i="8"/>
  <c r="C23" i="12"/>
  <c r="B29" i="8"/>
  <c r="B29" i="12"/>
  <c r="G21" i="8"/>
  <c r="G21" i="12"/>
  <c r="B39" i="8"/>
  <c r="B39" i="12"/>
  <c r="E17" i="8"/>
  <c r="E17" i="12"/>
  <c r="D39" i="8"/>
  <c r="D39" i="12"/>
  <c r="C14" i="8"/>
  <c r="C14" i="12"/>
  <c r="E13" i="8"/>
  <c r="E13" i="12"/>
  <c r="D24" i="8"/>
  <c r="D24" i="12"/>
  <c r="F32" i="8"/>
  <c r="F32" i="12"/>
  <c r="D33" i="8"/>
  <c r="D33" i="12"/>
  <c r="D25" i="8"/>
  <c r="D25" i="12"/>
  <c r="G5" i="8"/>
  <c r="G5" i="12"/>
  <c r="C6" i="8"/>
  <c r="C6" i="12"/>
  <c r="B7" i="8"/>
  <c r="B7" i="12"/>
  <c r="F34" i="8"/>
  <c r="F34" i="12"/>
  <c r="F31" i="8"/>
  <c r="F31" i="12"/>
  <c r="E10" i="8"/>
  <c r="E10" i="12"/>
  <c r="E28" i="8"/>
  <c r="E28" i="12"/>
  <c r="G28" i="8"/>
  <c r="G28" i="12"/>
  <c r="E9" i="8"/>
  <c r="E9" i="12"/>
  <c r="D28" i="8"/>
  <c r="D28" i="12"/>
  <c r="L26" i="8"/>
  <c r="L26" i="12"/>
  <c r="N3" i="8"/>
  <c r="N3" i="12"/>
  <c r="L19" i="8"/>
  <c r="L19" i="12"/>
  <c r="O7" i="8"/>
  <c r="O7" i="12"/>
  <c r="P31" i="8"/>
  <c r="P31" i="12"/>
  <c r="O13" i="8"/>
  <c r="O13" i="12"/>
  <c r="O35" i="8"/>
  <c r="O35" i="12"/>
  <c r="Q39" i="8"/>
  <c r="Q39" i="12"/>
  <c r="P4" i="8"/>
  <c r="P4" i="12"/>
  <c r="M14" i="8"/>
  <c r="M14" i="12"/>
  <c r="O23" i="12"/>
  <c r="O23" i="8"/>
  <c r="M32" i="8"/>
  <c r="M32" i="12"/>
  <c r="L30" i="8"/>
  <c r="L30" i="12"/>
  <c r="P17" i="8"/>
  <c r="P17" i="12"/>
  <c r="L6" i="8"/>
  <c r="L6" i="12"/>
  <c r="Q12" i="8"/>
  <c r="Q12" i="12"/>
  <c r="O5" i="8"/>
  <c r="O5" i="12"/>
  <c r="M12" i="8"/>
  <c r="M12" i="12"/>
  <c r="L31" i="8"/>
  <c r="L31" i="12"/>
  <c r="L28" i="8"/>
  <c r="L28" i="12"/>
  <c r="N5" i="8"/>
  <c r="N5" i="12"/>
  <c r="Q30" i="8"/>
  <c r="Q30" i="12"/>
  <c r="M36" i="8"/>
  <c r="M36" i="12"/>
  <c r="C25" i="8"/>
  <c r="C25" i="12"/>
  <c r="G13" i="8"/>
  <c r="G13" i="12"/>
  <c r="G32" i="8"/>
  <c r="G32" i="12"/>
  <c r="B33" i="8"/>
  <c r="B33" i="12"/>
  <c r="G3" i="8"/>
  <c r="G3" i="12"/>
  <c r="G31" i="8"/>
  <c r="G31" i="12"/>
  <c r="B31" i="8"/>
  <c r="B31" i="12"/>
  <c r="P13" i="8"/>
  <c r="P13" i="12"/>
  <c r="M20" i="8"/>
  <c r="M20" i="12"/>
  <c r="L11" i="8"/>
  <c r="L11" i="12"/>
  <c r="O17" i="8"/>
  <c r="O17" i="12"/>
  <c r="P11" i="8"/>
  <c r="P11" i="12"/>
  <c r="Q15" i="8"/>
  <c r="Q15" i="12"/>
  <c r="Q21" i="8"/>
  <c r="Q21" i="12"/>
  <c r="Q10" i="8"/>
  <c r="Q10" i="12"/>
  <c r="L15" i="8"/>
  <c r="L15" i="12"/>
  <c r="Q14" i="8"/>
  <c r="Q14" i="12"/>
  <c r="M16" i="8"/>
  <c r="M16" i="12"/>
  <c r="M8" i="8"/>
  <c r="M8" i="12"/>
  <c r="Q3" i="8"/>
  <c r="Q3" i="12"/>
  <c r="C39" i="8"/>
  <c r="C39" i="12"/>
  <c r="O20" i="8"/>
  <c r="O20" i="12"/>
  <c r="C3" i="8"/>
  <c r="C3" i="12"/>
  <c r="D38" i="8"/>
  <c r="D38" i="12"/>
  <c r="E39" i="8"/>
  <c r="E39" i="12"/>
  <c r="D8" i="8"/>
  <c r="D8" i="12"/>
  <c r="D7" i="8"/>
  <c r="D7" i="12"/>
  <c r="G23" i="8"/>
  <c r="G23" i="12"/>
  <c r="C31" i="8"/>
  <c r="C31" i="12"/>
  <c r="G38" i="8"/>
  <c r="G38" i="12"/>
  <c r="E34" i="8"/>
  <c r="E34" i="12"/>
  <c r="P6" i="8"/>
  <c r="P6" i="12"/>
  <c r="Q13" i="8"/>
  <c r="Q13" i="12"/>
  <c r="Q24" i="8"/>
  <c r="Q24" i="12"/>
  <c r="Q25" i="8"/>
  <c r="Q25" i="12"/>
  <c r="M22" i="8"/>
  <c r="M22" i="12"/>
  <c r="N28" i="8"/>
  <c r="N28" i="12"/>
  <c r="P26" i="8"/>
  <c r="P26" i="12"/>
  <c r="L12" i="8"/>
  <c r="L12" i="12"/>
  <c r="N38" i="8"/>
  <c r="N38" i="12"/>
  <c r="O4" i="8"/>
  <c r="O4" i="12"/>
  <c r="Q31" i="8"/>
  <c r="Q31" i="12"/>
  <c r="N30" i="8"/>
  <c r="N30" i="12"/>
  <c r="O32" i="8"/>
  <c r="O32" i="12"/>
  <c r="L33" i="8"/>
  <c r="L33" i="12"/>
  <c r="P28" i="8"/>
  <c r="P28" i="12"/>
  <c r="N6" i="8"/>
  <c r="N6" i="12"/>
  <c r="D9" i="8"/>
  <c r="D9" i="12"/>
  <c r="B19" i="8"/>
  <c r="B19" i="12"/>
  <c r="G11" i="8"/>
  <c r="G11" i="12"/>
  <c r="C15" i="8"/>
  <c r="C15" i="12"/>
  <c r="F3" i="8"/>
  <c r="F3" i="12"/>
  <c r="B13" i="8"/>
  <c r="B13" i="12"/>
  <c r="G19" i="8"/>
  <c r="G19" i="12"/>
  <c r="F9" i="8"/>
  <c r="F9" i="12"/>
  <c r="F30" i="8"/>
  <c r="F30" i="12"/>
  <c r="C27" i="8"/>
  <c r="C27" i="12"/>
  <c r="E26" i="8"/>
  <c r="E26" i="12"/>
  <c r="P25" i="8"/>
  <c r="P25" i="12"/>
  <c r="O15" i="8"/>
  <c r="O15" i="12"/>
  <c r="E23" i="8"/>
  <c r="E23" i="12"/>
  <c r="D29" i="8"/>
  <c r="D29" i="12"/>
  <c r="C12" i="8"/>
  <c r="C12" i="12"/>
  <c r="F40" i="8"/>
  <c r="F40" i="12"/>
  <c r="G8" i="8"/>
  <c r="G8" i="12"/>
  <c r="B30" i="8"/>
  <c r="B30" i="12"/>
  <c r="E32" i="8"/>
  <c r="E32" i="12"/>
  <c r="B25" i="8"/>
  <c r="B25" i="12"/>
  <c r="F6" i="8"/>
  <c r="F6" i="12"/>
  <c r="C40" i="8"/>
  <c r="C40" i="12"/>
  <c r="D20" i="8"/>
  <c r="D20" i="12"/>
  <c r="F23" i="8"/>
  <c r="F23" i="12"/>
  <c r="C29" i="8"/>
  <c r="C29" i="12"/>
  <c r="E31" i="8"/>
  <c r="E31" i="12"/>
  <c r="G18" i="8"/>
  <c r="G18" i="12"/>
  <c r="P34" i="8"/>
  <c r="P34" i="12"/>
  <c r="P27" i="8"/>
  <c r="P27" i="12"/>
  <c r="M7" i="8"/>
  <c r="M7" i="12"/>
  <c r="N34" i="8"/>
  <c r="N34" i="12"/>
  <c r="M35" i="8"/>
  <c r="M35" i="12"/>
  <c r="P15" i="8"/>
  <c r="P15" i="12"/>
  <c r="P19" i="8"/>
  <c r="P19" i="12"/>
  <c r="L23" i="8"/>
  <c r="L23" i="12"/>
  <c r="M10" i="8"/>
  <c r="M10" i="12"/>
  <c r="Q26" i="8"/>
  <c r="Q26" i="12"/>
  <c r="L40" i="8"/>
  <c r="L40" i="12"/>
  <c r="B15" i="8"/>
  <c r="B15" i="12"/>
  <c r="G17" i="8"/>
  <c r="G17" i="12"/>
  <c r="D30" i="8"/>
  <c r="D30" i="12"/>
  <c r="B21" i="8"/>
  <c r="B21" i="12"/>
  <c r="B38" i="8"/>
  <c r="B38" i="12"/>
  <c r="E40" i="8"/>
  <c r="E40" i="12"/>
  <c r="F39" i="8"/>
  <c r="F39" i="12"/>
  <c r="G15" i="8"/>
  <c r="G15" i="12"/>
  <c r="C7" i="8"/>
  <c r="C7" i="12"/>
  <c r="D32" i="8"/>
  <c r="D32" i="12"/>
  <c r="B14" i="8"/>
  <c r="B14" i="12"/>
  <c r="F8" i="8"/>
  <c r="F8" i="12"/>
  <c r="F11" i="8"/>
  <c r="F11" i="12"/>
  <c r="B6" i="8"/>
  <c r="B6" i="12"/>
  <c r="C30" i="8"/>
  <c r="C30" i="12"/>
  <c r="E21" i="8"/>
  <c r="E21" i="12"/>
  <c r="G20" i="8"/>
  <c r="G20" i="12"/>
  <c r="F10" i="8"/>
  <c r="F10" i="12"/>
  <c r="B4" i="8"/>
  <c r="B4" i="12"/>
  <c r="D12" i="8"/>
  <c r="D12" i="12"/>
  <c r="B10" i="8"/>
  <c r="B10" i="12"/>
  <c r="C26" i="8"/>
  <c r="C26" i="12"/>
  <c r="N35" i="8"/>
  <c r="N35" i="12"/>
  <c r="L20" i="8"/>
  <c r="L20" i="12"/>
  <c r="O27" i="8"/>
  <c r="O27" i="12"/>
  <c r="L7" i="8"/>
  <c r="L7" i="12"/>
  <c r="N40" i="8"/>
  <c r="N40" i="12"/>
  <c r="Q19" i="8"/>
  <c r="Q19" i="12"/>
  <c r="O37" i="8"/>
  <c r="O37" i="12"/>
  <c r="N33" i="8"/>
  <c r="N33" i="12"/>
  <c r="M3" i="8"/>
  <c r="M3" i="12"/>
  <c r="O19" i="8"/>
  <c r="O19" i="12"/>
  <c r="M23" i="8"/>
  <c r="M23" i="12"/>
  <c r="N18" i="8"/>
  <c r="N18" i="12"/>
  <c r="O22" i="8"/>
  <c r="O22" i="12"/>
  <c r="O11" i="8"/>
  <c r="O11" i="12"/>
  <c r="N36" i="8"/>
  <c r="N36" i="12"/>
  <c r="O6" i="8"/>
  <c r="O6" i="12"/>
  <c r="L37" i="8"/>
  <c r="L37" i="12"/>
  <c r="N20" i="8"/>
  <c r="N20" i="12"/>
  <c r="O12" i="8"/>
  <c r="O12" i="12"/>
  <c r="M15" i="8"/>
  <c r="M15" i="12"/>
  <c r="N8" i="8"/>
  <c r="N8" i="12"/>
  <c r="N9" i="8"/>
  <c r="N9" i="12"/>
  <c r="L24" i="8"/>
  <c r="L24" i="12"/>
  <c r="P7" i="8"/>
  <c r="P7" i="12"/>
  <c r="D40" i="8"/>
  <c r="D40" i="12"/>
  <c r="M29" i="8"/>
  <c r="M29" i="12"/>
  <c r="N29" i="8"/>
  <c r="N29" i="12"/>
  <c r="F22" i="8"/>
  <c r="F22" i="12"/>
  <c r="E12" i="8"/>
  <c r="E12" i="12"/>
  <c r="B5" i="8"/>
  <c r="B5" i="12"/>
  <c r="B12" i="8"/>
  <c r="B12" i="12"/>
  <c r="D26" i="8"/>
  <c r="D26" i="12"/>
  <c r="O39" i="8"/>
  <c r="O39" i="12"/>
  <c r="M5" i="8"/>
  <c r="M5" i="12"/>
  <c r="Q40" i="8"/>
  <c r="Q40" i="12"/>
  <c r="L34" i="8"/>
  <c r="L34" i="12"/>
  <c r="O25" i="8"/>
  <c r="O25" i="12"/>
  <c r="L29" i="8"/>
  <c r="L29" i="12"/>
  <c r="O24" i="8"/>
  <c r="O24" i="12"/>
  <c r="N23" i="8"/>
  <c r="N23" i="12"/>
  <c r="C33" i="8"/>
  <c r="C33" i="12"/>
  <c r="F33" i="8"/>
  <c r="F33" i="12"/>
  <c r="P3" i="8"/>
  <c r="P3" i="12"/>
  <c r="Q29" i="8"/>
  <c r="Q29" i="12"/>
  <c r="M21" i="8"/>
  <c r="M21" i="12"/>
  <c r="E20" i="8"/>
  <c r="E20" i="12"/>
  <c r="D21" i="8"/>
  <c r="D21" i="12"/>
  <c r="G25" i="8"/>
  <c r="G25" i="12"/>
  <c r="E7" i="8"/>
  <c r="E7" i="12"/>
  <c r="D17" i="8"/>
  <c r="D17" i="12"/>
  <c r="E8" i="8"/>
  <c r="E8" i="12"/>
  <c r="B22" i="8"/>
  <c r="B22" i="12"/>
  <c r="E6" i="8"/>
  <c r="E6" i="12"/>
  <c r="F38" i="8"/>
  <c r="F38" i="12"/>
  <c r="C21" i="8"/>
  <c r="C21" i="12"/>
  <c r="F4" i="8"/>
  <c r="F4" i="12"/>
  <c r="B18" i="8"/>
  <c r="B18" i="12"/>
  <c r="G10" i="8"/>
  <c r="G10" i="12"/>
  <c r="E4" i="8"/>
  <c r="E4" i="12"/>
  <c r="E18" i="8"/>
  <c r="E18" i="12"/>
  <c r="G26" i="8"/>
  <c r="G26" i="12"/>
  <c r="M28" i="8"/>
  <c r="M28" i="12"/>
  <c r="M13" i="8"/>
  <c r="M13" i="12"/>
  <c r="M27" i="8"/>
  <c r="M27" i="12"/>
  <c r="L25" i="8"/>
  <c r="L25" i="12"/>
  <c r="N22" i="8"/>
  <c r="N22" i="12"/>
  <c r="Q18" i="8"/>
  <c r="Q18" i="12"/>
  <c r="L18" i="8"/>
  <c r="L18" i="12"/>
  <c r="P5" i="8"/>
  <c r="P5" i="12"/>
  <c r="L3" i="8"/>
  <c r="L3" i="12"/>
  <c r="M19" i="8"/>
  <c r="M19" i="12"/>
  <c r="Q4" i="8"/>
  <c r="Q4" i="12"/>
  <c r="P10" i="8"/>
  <c r="P10" i="12"/>
  <c r="Q34" i="8"/>
  <c r="Q34" i="12"/>
  <c r="M11" i="8"/>
  <c r="M11" i="12"/>
  <c r="O36" i="8"/>
  <c r="O36" i="12"/>
  <c r="N26" i="12"/>
  <c r="N26" i="8"/>
  <c r="N21" i="8"/>
  <c r="N21" i="12"/>
  <c r="N39" i="8"/>
  <c r="N39" i="12"/>
  <c r="B9" i="8"/>
  <c r="B9" i="12"/>
  <c r="B8" i="8"/>
  <c r="B8" i="12"/>
  <c r="C13" i="8"/>
  <c r="C13" i="12"/>
  <c r="D16" i="8"/>
  <c r="D16" i="12"/>
  <c r="E11" i="8"/>
  <c r="E11" i="12"/>
  <c r="D14" i="8"/>
  <c r="D14" i="12"/>
  <c r="E15" i="8"/>
  <c r="E15" i="12"/>
  <c r="F15" i="8"/>
  <c r="F15" i="12"/>
  <c r="C24" i="8"/>
  <c r="C24" i="12"/>
  <c r="G27" i="8"/>
  <c r="G27" i="12"/>
  <c r="D13" i="8"/>
  <c r="D13" i="12"/>
  <c r="G14" i="8"/>
  <c r="G14" i="12"/>
  <c r="E19" i="8"/>
  <c r="E19" i="12"/>
  <c r="B11" i="8"/>
  <c r="B11" i="12"/>
  <c r="B16" i="8"/>
  <c r="B16" i="12"/>
  <c r="F7" i="8"/>
  <c r="F7" i="12"/>
  <c r="G30" i="8"/>
  <c r="G30" i="12"/>
  <c r="G34" i="8"/>
  <c r="G34" i="12"/>
  <c r="B27" i="8"/>
  <c r="B27" i="12"/>
  <c r="F29" i="8"/>
  <c r="F29" i="12"/>
  <c r="D11" i="8"/>
  <c r="D11" i="12"/>
  <c r="B26" i="8"/>
  <c r="B26" i="12"/>
  <c r="M33" i="8"/>
  <c r="M33" i="12"/>
  <c r="L16" i="8"/>
  <c r="L16" i="12"/>
  <c r="O38" i="8"/>
  <c r="O38" i="12"/>
  <c r="Q16" i="8"/>
  <c r="Q16" i="12"/>
  <c r="Q8" i="8"/>
  <c r="Q8" i="12"/>
  <c r="P9" i="8"/>
  <c r="P9" i="12"/>
  <c r="O40" i="8"/>
  <c r="O40" i="12"/>
  <c r="M4" i="8"/>
  <c r="M4" i="12"/>
  <c r="M18" i="8"/>
  <c r="M18" i="12"/>
  <c r="N32" i="8"/>
  <c r="N32" i="12"/>
  <c r="L39" i="8"/>
  <c r="L39" i="12"/>
  <c r="M17" i="8"/>
  <c r="M17" i="12"/>
  <c r="N25" i="8"/>
  <c r="N25" i="12"/>
  <c r="L17" i="8"/>
  <c r="L17" i="12"/>
  <c r="Q22" i="8"/>
  <c r="Q22" i="12"/>
  <c r="Q33" i="8"/>
  <c r="Q33" i="12"/>
  <c r="P18" i="8"/>
  <c r="P18" i="12"/>
  <c r="P37" i="8"/>
  <c r="P37" i="12"/>
  <c r="O31" i="8"/>
  <c r="O31" i="12"/>
  <c r="Q32" i="8"/>
  <c r="Q32" i="12"/>
  <c r="N13" i="8"/>
  <c r="N13" i="12"/>
  <c r="C32" i="8"/>
  <c r="C32" i="12"/>
  <c r="C20" i="8"/>
  <c r="C20" i="12"/>
  <c r="E25" i="8"/>
  <c r="E25" i="12"/>
  <c r="C17" i="8"/>
  <c r="C17" i="12"/>
  <c r="C5" i="8"/>
  <c r="C5" i="12"/>
  <c r="F25" i="8"/>
  <c r="F25" i="12"/>
  <c r="G39" i="8"/>
  <c r="G39" i="12"/>
  <c r="F24" i="8"/>
  <c r="F24" i="12"/>
  <c r="E24" i="8"/>
  <c r="E24" i="12"/>
  <c r="E27" i="8"/>
  <c r="E27" i="12"/>
  <c r="C8" i="8"/>
  <c r="C8" i="12"/>
  <c r="C19" i="8"/>
  <c r="C19" i="12"/>
  <c r="G6" i="8"/>
  <c r="G6" i="12"/>
  <c r="E3" i="8"/>
  <c r="E3" i="12"/>
  <c r="G9" i="8"/>
  <c r="G9" i="12"/>
  <c r="D34" i="8"/>
  <c r="D34" i="12"/>
  <c r="D10" i="8"/>
  <c r="D10" i="12"/>
  <c r="D23" i="8"/>
  <c r="D23" i="12"/>
  <c r="G16" i="8"/>
  <c r="G16" i="12"/>
  <c r="B28" i="8"/>
  <c r="B28" i="12"/>
  <c r="G29" i="8"/>
  <c r="G29" i="12"/>
  <c r="B34" i="8"/>
  <c r="B34" i="12"/>
  <c r="N7" i="8"/>
  <c r="N7" i="12"/>
  <c r="O9" i="8"/>
  <c r="O9" i="12"/>
  <c r="P12" i="8"/>
  <c r="P12" i="12"/>
  <c r="P16" i="8"/>
  <c r="P16" i="12"/>
  <c r="P8" i="8"/>
  <c r="P8" i="12"/>
  <c r="Q9" i="8"/>
  <c r="Q9" i="12"/>
  <c r="P35" i="8"/>
  <c r="P35" i="12"/>
  <c r="Q36" i="8"/>
  <c r="Q36" i="12"/>
  <c r="O30" i="8"/>
  <c r="O30" i="12"/>
  <c r="N14" i="8"/>
  <c r="N14" i="12"/>
  <c r="Q5" i="8"/>
  <c r="Q5" i="12"/>
  <c r="L10" i="8"/>
  <c r="L10" i="12"/>
  <c r="Q35" i="8"/>
  <c r="Q35" i="12"/>
  <c r="Q17" i="8"/>
  <c r="Q17" i="12"/>
  <c r="O34" i="8"/>
  <c r="O34" i="12"/>
  <c r="M40" i="8"/>
  <c r="M40" i="12"/>
  <c r="N31" i="8"/>
  <c r="N31" i="12"/>
  <c r="P23" i="8"/>
  <c r="P23" i="12"/>
  <c r="M31" i="8"/>
  <c r="M31" i="12"/>
  <c r="P32" i="8"/>
  <c r="P32" i="12"/>
  <c r="P22" i="8"/>
  <c r="P22" i="12"/>
  <c r="O16" i="8"/>
  <c r="O16" i="12"/>
  <c r="L21" i="8"/>
  <c r="L21" i="12"/>
  <c r="N24" i="8"/>
  <c r="N24" i="12"/>
  <c r="H27" i="12" l="1"/>
  <c r="H38" i="8"/>
  <c r="H28" i="12"/>
  <c r="R13" i="12"/>
  <c r="R8" i="12"/>
  <c r="H16" i="12"/>
  <c r="R3" i="12"/>
  <c r="R22" i="12"/>
  <c r="R5" i="8"/>
  <c r="R37" i="8"/>
  <c r="R3" i="8"/>
  <c r="H23" i="12"/>
  <c r="R36" i="12"/>
  <c r="R8" i="8"/>
  <c r="R35" i="8"/>
  <c r="R25" i="8"/>
  <c r="R4" i="8"/>
  <c r="R22" i="8"/>
  <c r="R36" i="8"/>
  <c r="R13" i="8"/>
  <c r="R15" i="8"/>
  <c r="R30" i="8"/>
  <c r="R9" i="8"/>
  <c r="R33" i="8"/>
  <c r="H31" i="8"/>
  <c r="H4" i="8"/>
  <c r="H32" i="8"/>
  <c r="H14" i="8"/>
  <c r="H16" i="8"/>
  <c r="H26" i="8"/>
  <c r="H10" i="8"/>
  <c r="H7" i="8"/>
  <c r="H34" i="8"/>
  <c r="H9" i="8"/>
  <c r="H40" i="8"/>
  <c r="H29" i="12"/>
  <c r="R4" i="12"/>
  <c r="R35" i="12"/>
  <c r="R15" i="12"/>
  <c r="R5" i="12"/>
  <c r="H10" i="12"/>
  <c r="H38" i="12"/>
  <c r="H33" i="12"/>
  <c r="H26" i="12"/>
  <c r="H32" i="12"/>
  <c r="R26" i="12"/>
  <c r="H22" i="12"/>
  <c r="H40" i="12"/>
  <c r="R18" i="12"/>
  <c r="R21" i="8"/>
  <c r="H13" i="8"/>
  <c r="H19" i="8"/>
  <c r="H39" i="8"/>
  <c r="R11" i="8"/>
  <c r="H39" i="12"/>
  <c r="R17" i="12"/>
  <c r="R16" i="12"/>
  <c r="H22" i="8"/>
  <c r="H5" i="12"/>
  <c r="R24" i="12"/>
  <c r="R7" i="12"/>
  <c r="H6" i="12"/>
  <c r="H25" i="12"/>
  <c r="R31" i="8"/>
  <c r="R16" i="8"/>
  <c r="H5" i="8"/>
  <c r="R24" i="8"/>
  <c r="H6" i="8"/>
  <c r="R34" i="8"/>
  <c r="H25" i="8"/>
  <c r="R30" i="12"/>
  <c r="H24" i="12"/>
  <c r="H20" i="12"/>
  <c r="R12" i="12"/>
  <c r="H7" i="12"/>
  <c r="H28" i="8"/>
  <c r="R39" i="8"/>
  <c r="H24" i="8"/>
  <c r="R29" i="8"/>
  <c r="H15" i="12"/>
  <c r="H17" i="12"/>
  <c r="R23" i="12"/>
  <c r="R18" i="8"/>
  <c r="H27" i="8"/>
  <c r="R23" i="8"/>
  <c r="H12" i="8"/>
  <c r="R34" i="12"/>
  <c r="H21" i="12"/>
  <c r="H30" i="12"/>
  <c r="H31" i="12"/>
  <c r="R28" i="8"/>
  <c r="H29" i="8"/>
  <c r="R27" i="8"/>
  <c r="H17" i="8"/>
  <c r="R7" i="8"/>
  <c r="H8" i="8"/>
  <c r="R17" i="8"/>
  <c r="H11" i="8"/>
  <c r="R25" i="12"/>
  <c r="H18" i="12"/>
  <c r="R20" i="8"/>
  <c r="H21" i="8"/>
  <c r="R40" i="8"/>
  <c r="H30" i="8"/>
  <c r="R26" i="8"/>
  <c r="R31" i="12"/>
  <c r="R6" i="12"/>
  <c r="R19" i="12"/>
  <c r="R14" i="12"/>
  <c r="R32" i="12"/>
  <c r="R38" i="12"/>
  <c r="H3" i="12"/>
  <c r="H15" i="8"/>
  <c r="R12" i="8"/>
  <c r="H33" i="8"/>
  <c r="R28" i="12"/>
  <c r="R39" i="12"/>
  <c r="R27" i="12"/>
  <c r="R9" i="12"/>
  <c r="H11" i="12"/>
  <c r="H8" i="12"/>
  <c r="H20" i="8"/>
  <c r="R20" i="12"/>
  <c r="R40" i="12"/>
  <c r="R21" i="12"/>
  <c r="R10" i="12"/>
  <c r="H34" i="12"/>
  <c r="H9" i="12"/>
  <c r="R10" i="8"/>
  <c r="H18" i="8"/>
  <c r="R29" i="12"/>
  <c r="H12" i="12"/>
  <c r="R37" i="12"/>
  <c r="H4" i="12"/>
  <c r="H14" i="12"/>
  <c r="H13" i="12"/>
  <c r="H19" i="12"/>
  <c r="R33" i="12"/>
  <c r="R11" i="12"/>
  <c r="R6" i="8"/>
  <c r="R19" i="8"/>
  <c r="H23" i="8"/>
  <c r="R14" i="8"/>
  <c r="R32" i="8"/>
  <c r="R38" i="8"/>
  <c r="H3" i="8"/>
</calcChain>
</file>

<file path=xl/sharedStrings.xml><?xml version="1.0" encoding="utf-8"?>
<sst xmlns="http://schemas.openxmlformats.org/spreadsheetml/2006/main" count="2686" uniqueCount="72">
  <si>
    <t>zone</t>
  </si>
  <si>
    <t>year</t>
  </si>
  <si>
    <t>industry</t>
  </si>
  <si>
    <t>employment</t>
  </si>
  <si>
    <t>Stuttgart</t>
  </si>
  <si>
    <t>a-b</t>
  </si>
  <si>
    <t>Karlsruhe</t>
  </si>
  <si>
    <t>Freiburg</t>
  </si>
  <si>
    <t>Tübingen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</si>
  <si>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</si>
  <si>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</si>
  <si>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</si>
  <si>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</si>
  <si>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</si>
  <si>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</si>
  <si>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</si>
  <si>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Berlin</t>
  </si>
  <si>
    <t>Brandenburg</t>
  </si>
  <si>
    <t>Bremen</t>
  </si>
  <si>
    <t>Hamburg</t>
  </si>
  <si>
    <t>Darmstadt</t>
  </si>
  <si>
    <t>Gießen</t>
  </si>
  <si>
    <t>Kassel</t>
  </si>
  <si>
    <t>Mecklenburg-Vorpommern</t>
  </si>
  <si>
    <t>Braunschweig</t>
  </si>
  <si>
    <t>Hannover</t>
  </si>
  <si>
    <t>Lüneburg</t>
  </si>
  <si>
    <t>Weser-Ems</t>
  </si>
  <si>
    <t>Düsseldorf</t>
  </si>
  <si>
    <t>Köln</t>
  </si>
  <si>
    <t>Münster</t>
  </si>
  <si>
    <t>Detmold</t>
  </si>
  <si>
    <t>Arnsberg</t>
  </si>
  <si>
    <t>Koblenz</t>
  </si>
  <si>
    <t>Trier</t>
  </si>
  <si>
    <t>Rheinhessen-Pfalz</t>
  </si>
  <si>
    <t>Saarland</t>
  </si>
  <si>
    <t>Dresden</t>
  </si>
  <si>
    <t>Chemnitz</t>
  </si>
  <si>
    <t>Leipzig</t>
  </si>
  <si>
    <t>Sachsen-Anhalt</t>
  </si>
  <si>
    <t>Schleswig-Holstein</t>
  </si>
  <si>
    <t>Thüringen</t>
  </si>
  <si>
    <t>c-e</t>
  </si>
  <si>
    <t>f</t>
  </si>
  <si>
    <t>g-i</t>
  </si>
  <si>
    <t>j-k</t>
  </si>
  <si>
    <t>l-q</t>
  </si>
  <si>
    <t>import</t>
  </si>
  <si>
    <t>L_i</t>
  </si>
  <si>
    <t>period</t>
  </si>
  <si>
    <t>1999-2011</t>
  </si>
  <si>
    <t>2012-2019</t>
  </si>
  <si>
    <t>delta_M</t>
  </si>
  <si>
    <t>L_i0</t>
  </si>
  <si>
    <t>shock_i</t>
  </si>
  <si>
    <t>total_1999</t>
  </si>
  <si>
    <t>total_2012</t>
  </si>
  <si>
    <t>Australia</t>
  </si>
  <si>
    <t xml:space="preserve">Finland </t>
  </si>
  <si>
    <t>Japan</t>
  </si>
  <si>
    <t>Norway</t>
  </si>
  <si>
    <t>New Zealand</t>
  </si>
  <si>
    <t>Sweden</t>
  </si>
  <si>
    <t>delta_M_OC</t>
  </si>
  <si>
    <t>shock_OC</t>
  </si>
  <si>
    <t>p1</t>
  </si>
  <si>
    <t>p2</t>
  </si>
  <si>
    <t>IPW_OC (1999-2011)</t>
  </si>
  <si>
    <t>IPW_OC (2012-2019)</t>
  </si>
  <si>
    <t>IPW (1999-2011)</t>
  </si>
  <si>
    <t>IPW (2012-2019)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</si>
</sst>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[$$-409]#,##0.00"/>
    <numFmt numFmtId="166" formatCode="0.0000"/>
  </numFmts>
  <fonts count="5" x14ac:knownFonts="1">
    <font>
      <sz val="12"/>
      <color theme="1"/>
      <name val="Aptos Narrow"/>
      <family val="2"/>
      <charset val="204"/>
      <scheme val="minor"/>
    </font>
    <font>
      <sz val="10"/>
      <name val="Arial"/>
      <family val="2"/>
    </font>
    <font>
      <sz val="8"/>
      <name val="Aptos Narrow"/>
      <family val="2"/>
      <charset val="204"/>
      <scheme val="minor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64" fontId="1" fillId="0" borderId="1" xfId="0" applyNumberFormat="1" applyFont="1" applyBorder="1" applyAlignment="1">
      <alignment horizontal="right"/>
    </xf>
    <xf numFmtId="2" fontId="0" fillId="0" borderId="0" xfId="0" applyNumberFormat="1"/>
    <xf numFmtId="165" fontId="0" fillId="0" borderId="0" xfId="0" applyNumberFormat="1" applyAlignment="1">
      <alignment horizontal="left"/>
    </xf>
    <xf numFmtId="0" fontId="0" fillId="0" borderId="2" xfId="0" applyBorder="1" applyAlignment="1">
      <alignment horizontal="left"/>
    </xf>
    <xf numFmtId="2" fontId="0" fillId="0" borderId="2" xfId="0" applyNumberFormat="1" applyBorder="1" applyAlignment="1">
      <alignment horizontal="left"/>
    </xf>
    <xf numFmtId="0" fontId="4" fillId="0" borderId="2" xfId="0" applyFont="1" applyBorder="1" applyAlignment="1">
      <alignment horizontal="left"/>
    </xf>
    <xf numFmtId="2" fontId="4" fillId="0" borderId="2" xfId="0" applyNumberFormat="1" applyFont="1" applyBorder="1" applyAlignment="1">
      <alignment horizontal="left"/>
    </xf>
    <xf numFmtId="165" fontId="0" fillId="0" borderId="2" xfId="0" applyNumberFormat="1" applyBorder="1" applyAlignment="1">
      <alignment horizontal="left"/>
    </xf>
    <xf numFmtId="165" fontId="4" fillId="0" borderId="2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2" xfId="0" applyFont="1" applyBorder="1"/>
    <xf numFmtId="2" fontId="4" fillId="0" borderId="2" xfId="0" applyNumberFormat="1" applyFont="1" applyBorder="1"/>
    <xf numFmtId="0" fontId="0" fillId="0" borderId="2" xfId="0" applyBorder="1"/>
    <xf numFmtId="166" fontId="0" fillId="0" borderId="2" xfId="0" applyNumberFormat="1" applyBorder="1" applyAlignment="1">
      <alignment horizontal="left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7474-995A-EC47-B8B7-DED8651B8ADD}">
  <dimension ref="A1:D913"/>
  <sheetViews>
    <sheetView workbookViewId="0">
      <selection activeCell="G7" sqref="G7"/>
    </sheetView>
  </sheetViews>
  <sheetFormatPr baseColWidth="10" defaultRowHeight="16" x14ac:dyDescent="0.2"/>
  <cols>
    <col min="1" max="1" width="22.83203125" style="6" bestFit="1" customWidth="1"/>
    <col min="2" max="3" width="10.83203125" style="6"/>
    <col min="4" max="4" width="10.83203125" style="7"/>
  </cols>
  <sheetData>
    <row r="1" spans="1:4" x14ac:dyDescent="0.2">
      <c r="A1" s="8" t="s">
        <v>0</v>
      </c>
      <c r="B1" s="8" t="s">
        <v>1</v>
      </c>
      <c r="C1" s="8" t="s">
        <v>2</v>
      </c>
      <c r="D1" s="9" t="s">
        <v>3</v>
      </c>
    </row>
    <row r="2" spans="1:4" x14ac:dyDescent="0.2">
      <c r="A2" s="6" t="s">
        <v>4</v>
      </c>
      <c r="B2" s="6">
        <v>1999</v>
      </c>
      <c r="C2" s="6" t="s">
        <v>5</v>
      </c>
      <c r="D2" s="6">
        <v>31300</v>
      </c>
    </row>
    <row r="3" spans="1:4" x14ac:dyDescent="0.2">
      <c r="A3" s="6" t="s">
        <v>6</v>
      </c>
      <c r="B3" s="6">
        <v>1999</v>
      </c>
      <c r="C3" s="6" t="s">
        <v>5</v>
      </c>
      <c r="D3" s="6">
        <v>17300</v>
      </c>
    </row>
    <row r="4" spans="1:4" x14ac:dyDescent="0.2">
      <c r="A4" s="6" t="s">
        <v>7</v>
      </c>
      <c r="B4" s="6">
        <v>1999</v>
      </c>
      <c r="C4" s="6" t="s">
        <v>5</v>
      </c>
      <c r="D4" s="6">
        <v>31100</v>
      </c>
    </row>
    <row r="5" spans="1:4" x14ac:dyDescent="0.2">
      <c r="A5" s="6" t="s">
        <v>8</v>
      </c>
      <c r="B5" s="6">
        <v>1999</v>
      </c>
      <c r="C5" s="6" t="s">
        <v>5</v>
      </c>
      <c r="D5" s="6">
        <v>32200.000000000004</v>
      </c>
    </row>
    <row r="6" spans="1:4" x14ac:dyDescent="0.2">
      <c r="A6" s="6" t="s">
        <v>9</v>
      </c>
      <c r="B6" s="6">
        <v>1999</v>
      </c>
      <c r="C6" s="6" t="s">
        <v>5</v>
      </c>
      <c r="D6" s="6">
        <v>52800</v>
      </c>
    </row>
    <row r="7" spans="1:4" x14ac:dyDescent="0.2">
      <c r="A7" s="6" t="s">
        <v>10</v>
      </c>
      <c r="B7" s="6">
        <v>1999</v>
      </c>
      <c r="C7" s="6" t="s">
        <v>5</v>
      </c>
      <c r="D7" s="6">
        <v>35600</v>
      </c>
    </row>
    <row r="8" spans="1:4" x14ac:dyDescent="0.2">
      <c r="A8" s="6" t="s">
        <v>11</v>
      </c>
      <c r="B8" s="6">
        <v>1999</v>
      </c>
      <c r="C8" s="6" t="s">
        <v>5</v>
      </c>
      <c r="D8" s="6">
        <v>29900</v>
      </c>
    </row>
    <row r="9" spans="1:4" x14ac:dyDescent="0.2">
      <c r="A9" s="6" t="s">
        <v>12</v>
      </c>
      <c r="B9" s="6">
        <v>1999</v>
      </c>
      <c r="C9" s="6" t="s">
        <v>5</v>
      </c>
      <c r="D9" s="6">
        <v>14200</v>
      </c>
    </row>
    <row r="10" spans="1:4" x14ac:dyDescent="0.2">
      <c r="A10" s="6" t="s">
        <v>13</v>
      </c>
      <c r="B10" s="6">
        <v>1999</v>
      </c>
      <c r="C10" s="6" t="s">
        <v>5</v>
      </c>
      <c r="D10" s="6">
        <v>33300</v>
      </c>
    </row>
    <row r="11" spans="1:4" x14ac:dyDescent="0.2">
      <c r="A11" s="6" t="s">
        <v>14</v>
      </c>
      <c r="B11" s="6">
        <v>1999</v>
      </c>
      <c r="C11" s="6" t="s">
        <v>5</v>
      </c>
      <c r="D11" s="6">
        <v>15900</v>
      </c>
    </row>
    <row r="12" spans="1:4" x14ac:dyDescent="0.2">
      <c r="A12" s="6" t="s">
        <v>15</v>
      </c>
      <c r="B12" s="6">
        <v>1999</v>
      </c>
      <c r="C12" s="6" t="s">
        <v>5</v>
      </c>
      <c r="D12" s="6">
        <v>33500</v>
      </c>
    </row>
    <row r="13" spans="1:4" x14ac:dyDescent="0.2">
      <c r="A13" s="6" t="s">
        <v>16</v>
      </c>
      <c r="B13" s="6">
        <v>1999</v>
      </c>
      <c r="C13" s="6" t="s">
        <v>5</v>
      </c>
      <c r="D13" s="6">
        <v>11400</v>
      </c>
    </row>
    <row r="14" spans="1:4" x14ac:dyDescent="0.2">
      <c r="A14" s="6" t="s">
        <v>17</v>
      </c>
      <c r="B14" s="6">
        <v>1999</v>
      </c>
      <c r="C14" s="6" t="s">
        <v>5</v>
      </c>
      <c r="D14" s="6">
        <v>61400</v>
      </c>
    </row>
    <row r="15" spans="1:4" x14ac:dyDescent="0.2">
      <c r="A15" s="6" t="s">
        <v>18</v>
      </c>
      <c r="B15" s="6">
        <v>1999</v>
      </c>
      <c r="C15" s="6" t="s">
        <v>5</v>
      </c>
      <c r="D15" s="6">
        <v>0</v>
      </c>
    </row>
    <row r="16" spans="1:4" x14ac:dyDescent="0.2">
      <c r="A16" s="6" t="s">
        <v>19</v>
      </c>
      <c r="B16" s="6">
        <v>1999</v>
      </c>
      <c r="C16" s="6" t="s">
        <v>5</v>
      </c>
      <c r="D16" s="6">
        <v>0</v>
      </c>
    </row>
    <row r="17" spans="1:4" x14ac:dyDescent="0.2">
      <c r="A17" s="6" t="s">
        <v>20</v>
      </c>
      <c r="B17" s="6">
        <v>1999</v>
      </c>
      <c r="C17" s="6" t="s">
        <v>5</v>
      </c>
      <c r="D17" s="6">
        <v>18000</v>
      </c>
    </row>
    <row r="18" spans="1:4" x14ac:dyDescent="0.2">
      <c r="A18" s="6" t="s">
        <v>21</v>
      </c>
      <c r="B18" s="6">
        <v>1999</v>
      </c>
      <c r="C18" s="6" t="s">
        <v>5</v>
      </c>
      <c r="D18" s="6">
        <v>9700</v>
      </c>
    </row>
    <row r="19" spans="1:4" x14ac:dyDescent="0.2">
      <c r="A19" s="6" t="s">
        <v>22</v>
      </c>
      <c r="B19" s="6">
        <v>1999</v>
      </c>
      <c r="C19" s="6" t="s">
        <v>5</v>
      </c>
      <c r="D19" s="6">
        <v>15500</v>
      </c>
    </row>
    <row r="20" spans="1:4" x14ac:dyDescent="0.2">
      <c r="A20" s="6" t="s">
        <v>23</v>
      </c>
      <c r="B20" s="6">
        <v>1999</v>
      </c>
      <c r="C20" s="6" t="s">
        <v>5</v>
      </c>
      <c r="D20" s="6">
        <v>50600</v>
      </c>
    </row>
    <row r="21" spans="1:4" x14ac:dyDescent="0.2">
      <c r="A21" s="6" t="s">
        <v>24</v>
      </c>
      <c r="B21" s="6">
        <v>1999</v>
      </c>
      <c r="C21" s="6" t="s">
        <v>5</v>
      </c>
      <c r="D21" s="6">
        <v>15700</v>
      </c>
    </row>
    <row r="22" spans="1:4" x14ac:dyDescent="0.2">
      <c r="A22" s="6" t="s">
        <v>25</v>
      </c>
      <c r="B22" s="6">
        <v>1999</v>
      </c>
      <c r="C22" s="6" t="s">
        <v>5</v>
      </c>
      <c r="D22" s="6">
        <v>18600</v>
      </c>
    </row>
    <row r="23" spans="1:4" x14ac:dyDescent="0.2">
      <c r="A23" s="6" t="s">
        <v>26</v>
      </c>
      <c r="B23" s="6">
        <v>1999</v>
      </c>
      <c r="C23" s="6" t="s">
        <v>5</v>
      </c>
      <c r="D23" s="6">
        <v>33300</v>
      </c>
    </row>
    <row r="24" spans="1:4" x14ac:dyDescent="0.2">
      <c r="A24" s="6" t="s">
        <v>27</v>
      </c>
      <c r="B24" s="6">
        <v>1999</v>
      </c>
      <c r="C24" s="6" t="s">
        <v>5</v>
      </c>
      <c r="D24" s="6">
        <v>62000</v>
      </c>
    </row>
    <row r="25" spans="1:4" x14ac:dyDescent="0.2">
      <c r="A25" s="6" t="s">
        <v>28</v>
      </c>
      <c r="B25" s="6">
        <v>1999</v>
      </c>
      <c r="C25" s="6" t="s">
        <v>5</v>
      </c>
      <c r="D25" s="6">
        <v>31500</v>
      </c>
    </row>
    <row r="26" spans="1:4" x14ac:dyDescent="0.2">
      <c r="A26" s="6" t="s">
        <v>29</v>
      </c>
      <c r="B26" s="6">
        <v>1999</v>
      </c>
      <c r="C26" s="6" t="s">
        <v>5</v>
      </c>
      <c r="D26" s="6">
        <v>26400</v>
      </c>
    </row>
    <row r="27" spans="1:4" x14ac:dyDescent="0.2">
      <c r="A27" s="6" t="s">
        <v>30</v>
      </c>
      <c r="B27" s="6">
        <v>1999</v>
      </c>
      <c r="C27" s="6" t="s">
        <v>5</v>
      </c>
      <c r="D27" s="6">
        <v>29400</v>
      </c>
    </row>
    <row r="28" spans="1:4" x14ac:dyDescent="0.2">
      <c r="A28" s="6" t="s">
        <v>31</v>
      </c>
      <c r="B28" s="6">
        <v>1999</v>
      </c>
      <c r="C28" s="6" t="s">
        <v>5</v>
      </c>
      <c r="D28" s="6">
        <v>17300</v>
      </c>
    </row>
    <row r="29" spans="1:4" x14ac:dyDescent="0.2">
      <c r="A29" s="6" t="s">
        <v>32</v>
      </c>
      <c r="B29" s="6">
        <v>1999</v>
      </c>
      <c r="C29" s="6" t="s">
        <v>5</v>
      </c>
      <c r="D29" s="6">
        <v>25700</v>
      </c>
    </row>
    <row r="30" spans="1:4" x14ac:dyDescent="0.2">
      <c r="A30" s="6" t="s">
        <v>33</v>
      </c>
      <c r="B30" s="6">
        <v>1999</v>
      </c>
      <c r="C30" s="6" t="s">
        <v>5</v>
      </c>
      <c r="D30" s="6">
        <v>14000</v>
      </c>
    </row>
    <row r="31" spans="1:4" x14ac:dyDescent="0.2">
      <c r="A31" s="6" t="s">
        <v>34</v>
      </c>
      <c r="B31" s="6">
        <v>1999</v>
      </c>
      <c r="C31" s="6" t="s">
        <v>5</v>
      </c>
      <c r="D31" s="6">
        <v>8800</v>
      </c>
    </row>
    <row r="32" spans="1:4" x14ac:dyDescent="0.2">
      <c r="A32" s="6" t="s">
        <v>35</v>
      </c>
      <c r="B32" s="6">
        <v>1999</v>
      </c>
      <c r="C32" s="6" t="s">
        <v>5</v>
      </c>
      <c r="D32" s="6">
        <v>19100</v>
      </c>
    </row>
    <row r="33" spans="1:4" x14ac:dyDescent="0.2">
      <c r="A33" s="6" t="s">
        <v>36</v>
      </c>
      <c r="B33" s="6">
        <v>1999</v>
      </c>
      <c r="C33" s="6" t="s">
        <v>5</v>
      </c>
      <c r="D33" s="6">
        <v>0</v>
      </c>
    </row>
    <row r="34" spans="1:4" x14ac:dyDescent="0.2">
      <c r="A34" s="6" t="s">
        <v>37</v>
      </c>
      <c r="B34" s="6">
        <v>1999</v>
      </c>
      <c r="C34" s="6" t="s">
        <v>5</v>
      </c>
      <c r="D34" s="6">
        <v>0</v>
      </c>
    </row>
    <row r="35" spans="1:4" x14ac:dyDescent="0.2">
      <c r="A35" s="6" t="s">
        <v>38</v>
      </c>
      <c r="B35" s="6">
        <v>1999</v>
      </c>
      <c r="C35" s="6" t="s">
        <v>5</v>
      </c>
      <c r="D35" s="6">
        <v>0</v>
      </c>
    </row>
    <row r="36" spans="1:4" x14ac:dyDescent="0.2">
      <c r="A36" s="6" t="s">
        <v>39</v>
      </c>
      <c r="B36" s="6">
        <v>1999</v>
      </c>
      <c r="C36" s="6" t="s">
        <v>5</v>
      </c>
      <c r="D36" s="6">
        <v>0</v>
      </c>
    </row>
    <row r="37" spans="1:4" x14ac:dyDescent="0.2">
      <c r="A37" s="6" t="s">
        <v>40</v>
      </c>
      <c r="B37" s="6">
        <v>1999</v>
      </c>
      <c r="C37" s="6" t="s">
        <v>5</v>
      </c>
      <c r="D37" s="6">
        <v>44900</v>
      </c>
    </row>
    <row r="38" spans="1:4" x14ac:dyDescent="0.2">
      <c r="A38" s="6" t="s">
        <v>41</v>
      </c>
      <c r="B38" s="6">
        <v>1999</v>
      </c>
      <c r="C38" s="6" t="s">
        <v>5</v>
      </c>
      <c r="D38" s="6">
        <v>38600</v>
      </c>
    </row>
    <row r="39" spans="1:4" x14ac:dyDescent="0.2">
      <c r="A39" s="6" t="s">
        <v>42</v>
      </c>
      <c r="B39" s="6">
        <v>1999</v>
      </c>
      <c r="C39" s="6" t="s">
        <v>5</v>
      </c>
      <c r="D39" s="6">
        <v>40800</v>
      </c>
    </row>
    <row r="40" spans="1:4" x14ac:dyDescent="0.2">
      <c r="A40" s="6" t="s">
        <v>4</v>
      </c>
      <c r="B40" s="6">
        <v>2011</v>
      </c>
      <c r="C40" s="6" t="s">
        <v>5</v>
      </c>
      <c r="D40" s="6">
        <v>21200</v>
      </c>
    </row>
    <row r="41" spans="1:4" x14ac:dyDescent="0.2">
      <c r="A41" s="6" t="s">
        <v>6</v>
      </c>
      <c r="B41" s="6">
        <v>2011</v>
      </c>
      <c r="C41" s="6" t="s">
        <v>5</v>
      </c>
      <c r="D41" s="6">
        <v>0</v>
      </c>
    </row>
    <row r="42" spans="1:4" x14ac:dyDescent="0.2">
      <c r="A42" s="6" t="s">
        <v>7</v>
      </c>
      <c r="B42" s="6">
        <v>2011</v>
      </c>
      <c r="C42" s="6" t="s">
        <v>5</v>
      </c>
      <c r="D42" s="6">
        <v>14000</v>
      </c>
    </row>
    <row r="43" spans="1:4" x14ac:dyDescent="0.2">
      <c r="A43" s="6" t="s">
        <v>8</v>
      </c>
      <c r="B43" s="6">
        <v>2011</v>
      </c>
      <c r="C43" s="6" t="s">
        <v>5</v>
      </c>
      <c r="D43" s="6">
        <v>18200</v>
      </c>
    </row>
    <row r="44" spans="1:4" x14ac:dyDescent="0.2">
      <c r="A44" s="6" t="s">
        <v>9</v>
      </c>
      <c r="B44" s="6">
        <v>2011</v>
      </c>
      <c r="C44" s="6" t="s">
        <v>5</v>
      </c>
      <c r="D44" s="6">
        <v>38700</v>
      </c>
    </row>
    <row r="45" spans="1:4" x14ac:dyDescent="0.2">
      <c r="A45" s="6" t="s">
        <v>10</v>
      </c>
      <c r="B45" s="6">
        <v>2011</v>
      </c>
      <c r="C45" s="6" t="s">
        <v>5</v>
      </c>
      <c r="D45" s="6">
        <v>24000</v>
      </c>
    </row>
    <row r="46" spans="1:4" x14ac:dyDescent="0.2">
      <c r="A46" s="6" t="s">
        <v>11</v>
      </c>
      <c r="B46" s="6">
        <v>2011</v>
      </c>
      <c r="C46" s="6" t="s">
        <v>5</v>
      </c>
      <c r="D46" s="6">
        <v>14800</v>
      </c>
    </row>
    <row r="47" spans="1:4" x14ac:dyDescent="0.2">
      <c r="A47" s="6" t="s">
        <v>12</v>
      </c>
      <c r="B47" s="6">
        <v>2011</v>
      </c>
      <c r="C47" s="6" t="s">
        <v>5</v>
      </c>
      <c r="D47" s="6">
        <v>11200</v>
      </c>
    </row>
    <row r="48" spans="1:4" x14ac:dyDescent="0.2">
      <c r="A48" s="6" t="s">
        <v>13</v>
      </c>
      <c r="B48" s="6">
        <v>2011</v>
      </c>
      <c r="C48" s="6" t="s">
        <v>5</v>
      </c>
      <c r="D48" s="6">
        <v>13900</v>
      </c>
    </row>
    <row r="49" spans="1:4" x14ac:dyDescent="0.2">
      <c r="A49" s="6" t="s">
        <v>14</v>
      </c>
      <c r="B49" s="6">
        <v>2011</v>
      </c>
      <c r="C49" s="6" t="s">
        <v>5</v>
      </c>
      <c r="D49" s="6">
        <v>9800</v>
      </c>
    </row>
    <row r="50" spans="1:4" x14ac:dyDescent="0.2">
      <c r="A50" s="6" t="s">
        <v>15</v>
      </c>
      <c r="B50" s="6">
        <v>2011</v>
      </c>
      <c r="C50" s="6" t="s">
        <v>5</v>
      </c>
      <c r="D50" s="6">
        <v>20700</v>
      </c>
    </row>
    <row r="51" spans="1:4" x14ac:dyDescent="0.2">
      <c r="A51" s="6" t="s">
        <v>16</v>
      </c>
      <c r="B51" s="6">
        <v>2011</v>
      </c>
      <c r="C51" s="6" t="s">
        <v>5</v>
      </c>
      <c r="D51" s="6">
        <v>0</v>
      </c>
    </row>
    <row r="52" spans="1:4" x14ac:dyDescent="0.2">
      <c r="A52" s="6" t="s">
        <v>17</v>
      </c>
      <c r="B52" s="6">
        <v>2011</v>
      </c>
      <c r="C52" s="6" t="s">
        <v>5</v>
      </c>
      <c r="D52" s="6">
        <v>27900</v>
      </c>
    </row>
    <row r="53" spans="1:4" x14ac:dyDescent="0.2">
      <c r="A53" s="6" t="s">
        <v>18</v>
      </c>
      <c r="B53" s="6">
        <v>2011</v>
      </c>
      <c r="C53" s="6" t="s">
        <v>5</v>
      </c>
      <c r="D53" s="6">
        <v>0</v>
      </c>
    </row>
    <row r="54" spans="1:4" x14ac:dyDescent="0.2">
      <c r="A54" s="6" t="s">
        <v>19</v>
      </c>
      <c r="B54" s="6">
        <v>2011</v>
      </c>
      <c r="C54" s="6" t="s">
        <v>5</v>
      </c>
      <c r="D54" s="6">
        <v>0</v>
      </c>
    </row>
    <row r="55" spans="1:4" x14ac:dyDescent="0.2">
      <c r="A55" s="6" t="s">
        <v>20</v>
      </c>
      <c r="B55" s="6">
        <v>2011</v>
      </c>
      <c r="C55" s="6" t="s">
        <v>5</v>
      </c>
      <c r="D55" s="6">
        <v>10700</v>
      </c>
    </row>
    <row r="56" spans="1:4" x14ac:dyDescent="0.2">
      <c r="A56" s="6" t="s">
        <v>21</v>
      </c>
      <c r="B56" s="6">
        <v>2011</v>
      </c>
      <c r="C56" s="6" t="s">
        <v>5</v>
      </c>
      <c r="D56" s="6">
        <v>0</v>
      </c>
    </row>
    <row r="57" spans="1:4" x14ac:dyDescent="0.2">
      <c r="A57" s="6" t="s">
        <v>22</v>
      </c>
      <c r="B57" s="6">
        <v>2011</v>
      </c>
      <c r="C57" s="6" t="s">
        <v>5</v>
      </c>
      <c r="D57" s="6">
        <v>8800</v>
      </c>
    </row>
    <row r="58" spans="1:4" x14ac:dyDescent="0.2">
      <c r="A58" s="6" t="s">
        <v>23</v>
      </c>
      <c r="B58" s="6">
        <v>2011</v>
      </c>
      <c r="C58" s="6" t="s">
        <v>5</v>
      </c>
      <c r="D58" s="6">
        <v>28300</v>
      </c>
    </row>
    <row r="59" spans="1:4" x14ac:dyDescent="0.2">
      <c r="A59" s="6" t="s">
        <v>24</v>
      </c>
      <c r="B59" s="6">
        <v>2011</v>
      </c>
      <c r="C59" s="6" t="s">
        <v>5</v>
      </c>
      <c r="D59" s="6">
        <v>12400</v>
      </c>
    </row>
    <row r="60" spans="1:4" x14ac:dyDescent="0.2">
      <c r="A60" s="6" t="s">
        <v>25</v>
      </c>
      <c r="B60" s="6">
        <v>2011</v>
      </c>
      <c r="C60" s="6" t="s">
        <v>5</v>
      </c>
      <c r="D60" s="6">
        <v>13800</v>
      </c>
    </row>
    <row r="61" spans="1:4" x14ac:dyDescent="0.2">
      <c r="A61" s="6" t="s">
        <v>26</v>
      </c>
      <c r="B61" s="6">
        <v>2011</v>
      </c>
      <c r="C61" s="6" t="s">
        <v>5</v>
      </c>
      <c r="D61" s="6">
        <v>27500</v>
      </c>
    </row>
    <row r="62" spans="1:4" x14ac:dyDescent="0.2">
      <c r="A62" s="6" t="s">
        <v>27</v>
      </c>
      <c r="B62" s="6">
        <v>2011</v>
      </c>
      <c r="C62" s="6" t="s">
        <v>5</v>
      </c>
      <c r="D62" s="6">
        <v>40600</v>
      </c>
    </row>
    <row r="63" spans="1:4" x14ac:dyDescent="0.2">
      <c r="A63" s="6" t="s">
        <v>28</v>
      </c>
      <c r="B63" s="6">
        <v>2011</v>
      </c>
      <c r="C63" s="6" t="s">
        <v>5</v>
      </c>
      <c r="D63" s="6">
        <v>14200</v>
      </c>
    </row>
    <row r="64" spans="1:4" x14ac:dyDescent="0.2">
      <c r="A64" s="6" t="s">
        <v>29</v>
      </c>
      <c r="B64" s="6">
        <v>2011</v>
      </c>
      <c r="C64" s="6" t="s">
        <v>5</v>
      </c>
      <c r="D64" s="6">
        <v>9900</v>
      </c>
    </row>
    <row r="65" spans="1:4" x14ac:dyDescent="0.2">
      <c r="A65" s="6" t="s">
        <v>30</v>
      </c>
      <c r="B65" s="6">
        <v>2011</v>
      </c>
      <c r="C65" s="6" t="s">
        <v>5</v>
      </c>
      <c r="D65" s="6">
        <v>18000</v>
      </c>
    </row>
    <row r="66" spans="1:4" x14ac:dyDescent="0.2">
      <c r="A66" s="6" t="s">
        <v>31</v>
      </c>
      <c r="B66" s="6">
        <v>2011</v>
      </c>
      <c r="C66" s="6" t="s">
        <v>5</v>
      </c>
      <c r="D66" s="6">
        <v>8300</v>
      </c>
    </row>
    <row r="67" spans="1:4" x14ac:dyDescent="0.2">
      <c r="A67" s="6" t="s">
        <v>32</v>
      </c>
      <c r="B67" s="6">
        <v>2011</v>
      </c>
      <c r="C67" s="6" t="s">
        <v>5</v>
      </c>
      <c r="D67" s="6">
        <v>10300</v>
      </c>
    </row>
    <row r="68" spans="1:4" x14ac:dyDescent="0.2">
      <c r="A68" s="6" t="s">
        <v>33</v>
      </c>
      <c r="B68" s="6">
        <v>2011</v>
      </c>
      <c r="C68" s="6" t="s">
        <v>5</v>
      </c>
      <c r="D68" s="6">
        <v>10400</v>
      </c>
    </row>
    <row r="69" spans="1:4" x14ac:dyDescent="0.2">
      <c r="A69" s="6" t="s">
        <v>34</v>
      </c>
      <c r="B69" s="6">
        <v>2011</v>
      </c>
      <c r="C69" s="6" t="s">
        <v>5</v>
      </c>
      <c r="D69" s="6">
        <v>8200</v>
      </c>
    </row>
    <row r="70" spans="1:4" x14ac:dyDescent="0.2">
      <c r="A70" s="6" t="s">
        <v>35</v>
      </c>
      <c r="B70" s="6">
        <v>2011</v>
      </c>
      <c r="C70" s="6" t="s">
        <v>5</v>
      </c>
      <c r="D70" s="6">
        <v>17000</v>
      </c>
    </row>
    <row r="71" spans="1:4" x14ac:dyDescent="0.2">
      <c r="A71" s="6" t="s">
        <v>36</v>
      </c>
      <c r="B71" s="6">
        <v>2011</v>
      </c>
      <c r="C71" s="6" t="s">
        <v>5</v>
      </c>
      <c r="D71" s="6">
        <v>0</v>
      </c>
    </row>
    <row r="72" spans="1:4" x14ac:dyDescent="0.2">
      <c r="A72" s="6" t="s">
        <v>37</v>
      </c>
      <c r="B72" s="6">
        <v>2011</v>
      </c>
      <c r="C72" s="6" t="s">
        <v>5</v>
      </c>
      <c r="D72" s="6">
        <v>12900</v>
      </c>
    </row>
    <row r="73" spans="1:4" x14ac:dyDescent="0.2">
      <c r="A73" s="6" t="s">
        <v>38</v>
      </c>
      <c r="B73" s="6">
        <v>2011</v>
      </c>
      <c r="C73" s="6" t="s">
        <v>5</v>
      </c>
      <c r="D73" s="6">
        <v>11300</v>
      </c>
    </row>
    <row r="74" spans="1:4" x14ac:dyDescent="0.2">
      <c r="A74" s="6" t="s">
        <v>39</v>
      </c>
      <c r="B74" s="6">
        <v>2011</v>
      </c>
      <c r="C74" s="6" t="s">
        <v>5</v>
      </c>
      <c r="D74" s="6">
        <v>6500</v>
      </c>
    </row>
    <row r="75" spans="1:4" x14ac:dyDescent="0.2">
      <c r="A75" s="6" t="s">
        <v>40</v>
      </c>
      <c r="B75" s="6">
        <v>2011</v>
      </c>
      <c r="C75" s="6" t="s">
        <v>5</v>
      </c>
      <c r="D75" s="6">
        <v>23300</v>
      </c>
    </row>
    <row r="76" spans="1:4" x14ac:dyDescent="0.2">
      <c r="A76" s="6" t="s">
        <v>41</v>
      </c>
      <c r="B76" s="6">
        <v>2011</v>
      </c>
      <c r="C76" s="6" t="s">
        <v>5</v>
      </c>
      <c r="D76" s="6">
        <v>33300</v>
      </c>
    </row>
    <row r="77" spans="1:4" x14ac:dyDescent="0.2">
      <c r="A77" s="6" t="s">
        <v>42</v>
      </c>
      <c r="B77" s="6">
        <v>2011</v>
      </c>
      <c r="C77" s="6" t="s">
        <v>5</v>
      </c>
      <c r="D77" s="6">
        <v>24300</v>
      </c>
    </row>
    <row r="78" spans="1:4" x14ac:dyDescent="0.2">
      <c r="A78" s="6" t="s">
        <v>4</v>
      </c>
      <c r="B78" s="6">
        <v>2012</v>
      </c>
      <c r="C78" s="6" t="s">
        <v>5</v>
      </c>
      <c r="D78" s="6">
        <v>19700</v>
      </c>
    </row>
    <row r="79" spans="1:4" x14ac:dyDescent="0.2">
      <c r="A79" s="6" t="s">
        <v>6</v>
      </c>
      <c r="B79" s="6">
        <v>2012</v>
      </c>
      <c r="C79" s="6" t="s">
        <v>5</v>
      </c>
      <c r="D79" s="6">
        <v>5900</v>
      </c>
    </row>
    <row r="80" spans="1:4" x14ac:dyDescent="0.2">
      <c r="A80" s="6" t="s">
        <v>7</v>
      </c>
      <c r="B80" s="6">
        <v>2012</v>
      </c>
      <c r="C80" s="6" t="s">
        <v>5</v>
      </c>
      <c r="D80" s="6">
        <v>12000</v>
      </c>
    </row>
    <row r="81" spans="1:4" x14ac:dyDescent="0.2">
      <c r="A81" s="6" t="s">
        <v>8</v>
      </c>
      <c r="B81" s="6">
        <v>2012</v>
      </c>
      <c r="C81" s="6" t="s">
        <v>5</v>
      </c>
      <c r="D81" s="6">
        <v>18600</v>
      </c>
    </row>
    <row r="82" spans="1:4" x14ac:dyDescent="0.2">
      <c r="A82" s="6" t="s">
        <v>9</v>
      </c>
      <c r="B82" s="6">
        <v>2012</v>
      </c>
      <c r="C82" s="6" t="s">
        <v>5</v>
      </c>
      <c r="D82" s="6">
        <v>34600</v>
      </c>
    </row>
    <row r="83" spans="1:4" x14ac:dyDescent="0.2">
      <c r="A83" s="6" t="s">
        <v>10</v>
      </c>
      <c r="B83" s="6">
        <v>2012</v>
      </c>
      <c r="C83" s="6" t="s">
        <v>5</v>
      </c>
      <c r="D83" s="6">
        <v>20900</v>
      </c>
    </row>
    <row r="84" spans="1:4" x14ac:dyDescent="0.2">
      <c r="A84" s="6" t="s">
        <v>11</v>
      </c>
      <c r="B84" s="6">
        <v>2012</v>
      </c>
      <c r="C84" s="6" t="s">
        <v>5</v>
      </c>
      <c r="D84" s="6">
        <v>14100</v>
      </c>
    </row>
    <row r="85" spans="1:4" x14ac:dyDescent="0.2">
      <c r="A85" s="6" t="s">
        <v>12</v>
      </c>
      <c r="B85" s="6">
        <v>2012</v>
      </c>
      <c r="C85" s="6" t="s">
        <v>5</v>
      </c>
      <c r="D85" s="6">
        <v>9200</v>
      </c>
    </row>
    <row r="86" spans="1:4" x14ac:dyDescent="0.2">
      <c r="A86" s="6" t="s">
        <v>13</v>
      </c>
      <c r="B86" s="6">
        <v>2012</v>
      </c>
      <c r="C86" s="6" t="s">
        <v>5</v>
      </c>
      <c r="D86" s="6">
        <v>12000</v>
      </c>
    </row>
    <row r="87" spans="1:4" x14ac:dyDescent="0.2">
      <c r="A87" s="6" t="s">
        <v>14</v>
      </c>
      <c r="B87" s="6">
        <v>2012</v>
      </c>
      <c r="C87" s="6" t="s">
        <v>5</v>
      </c>
      <c r="D87" s="6">
        <v>10400</v>
      </c>
    </row>
    <row r="88" spans="1:4" x14ac:dyDescent="0.2">
      <c r="A88" s="6" t="s">
        <v>15</v>
      </c>
      <c r="B88" s="6">
        <v>2012</v>
      </c>
      <c r="C88" s="6" t="s">
        <v>5</v>
      </c>
      <c r="D88" s="6">
        <v>20100</v>
      </c>
    </row>
    <row r="89" spans="1:4" x14ac:dyDescent="0.2">
      <c r="A89" s="6" t="s">
        <v>16</v>
      </c>
      <c r="B89" s="6">
        <v>2012</v>
      </c>
      <c r="C89" s="6" t="s">
        <v>5</v>
      </c>
      <c r="D89" s="6">
        <v>0</v>
      </c>
    </row>
    <row r="90" spans="1:4" x14ac:dyDescent="0.2">
      <c r="A90" s="6" t="s">
        <v>17</v>
      </c>
      <c r="B90" s="6">
        <v>2012</v>
      </c>
      <c r="C90" s="6" t="s">
        <v>5</v>
      </c>
      <c r="D90" s="6">
        <v>27200</v>
      </c>
    </row>
    <row r="91" spans="1:4" x14ac:dyDescent="0.2">
      <c r="A91" s="6" t="s">
        <v>18</v>
      </c>
      <c r="B91" s="6">
        <v>2012</v>
      </c>
      <c r="C91" s="6" t="s">
        <v>5</v>
      </c>
      <c r="D91" s="6">
        <v>0</v>
      </c>
    </row>
    <row r="92" spans="1:4" x14ac:dyDescent="0.2">
      <c r="A92" s="6" t="s">
        <v>19</v>
      </c>
      <c r="B92" s="6">
        <v>2012</v>
      </c>
      <c r="C92" s="6" t="s">
        <v>5</v>
      </c>
      <c r="D92" s="6">
        <v>0</v>
      </c>
    </row>
    <row r="93" spans="1:4" x14ac:dyDescent="0.2">
      <c r="A93" s="6" t="s">
        <v>20</v>
      </c>
      <c r="B93" s="6">
        <v>2012</v>
      </c>
      <c r="C93" s="6" t="s">
        <v>5</v>
      </c>
      <c r="D93" s="6">
        <v>14300</v>
      </c>
    </row>
    <row r="94" spans="1:4" x14ac:dyDescent="0.2">
      <c r="A94" s="6" t="s">
        <v>21</v>
      </c>
      <c r="B94" s="6">
        <v>2012</v>
      </c>
      <c r="C94" s="6" t="s">
        <v>5</v>
      </c>
      <c r="D94" s="6">
        <v>0</v>
      </c>
    </row>
    <row r="95" spans="1:4" x14ac:dyDescent="0.2">
      <c r="A95" s="6" t="s">
        <v>22</v>
      </c>
      <c r="B95" s="6">
        <v>2012</v>
      </c>
      <c r="C95" s="6" t="s">
        <v>5</v>
      </c>
      <c r="D95" s="6">
        <v>6800</v>
      </c>
    </row>
    <row r="96" spans="1:4" x14ac:dyDescent="0.2">
      <c r="A96" s="6" t="s">
        <v>23</v>
      </c>
      <c r="B96" s="6">
        <v>2012</v>
      </c>
      <c r="C96" s="6" t="s">
        <v>5</v>
      </c>
      <c r="D96" s="6">
        <v>26900</v>
      </c>
    </row>
    <row r="97" spans="1:4" x14ac:dyDescent="0.2">
      <c r="A97" s="6" t="s">
        <v>24</v>
      </c>
      <c r="B97" s="6">
        <v>2012</v>
      </c>
      <c r="C97" s="6" t="s">
        <v>5</v>
      </c>
      <c r="D97" s="6">
        <v>10900</v>
      </c>
    </row>
    <row r="98" spans="1:4" x14ac:dyDescent="0.2">
      <c r="A98" s="6" t="s">
        <v>25</v>
      </c>
      <c r="B98" s="6">
        <v>2012</v>
      </c>
      <c r="C98" s="6" t="s">
        <v>5</v>
      </c>
      <c r="D98" s="6">
        <v>13200</v>
      </c>
    </row>
    <row r="99" spans="1:4" x14ac:dyDescent="0.2">
      <c r="A99" s="6" t="s">
        <v>26</v>
      </c>
      <c r="B99" s="6">
        <v>2012</v>
      </c>
      <c r="C99" s="6" t="s">
        <v>5</v>
      </c>
      <c r="D99" s="6">
        <v>28400</v>
      </c>
    </row>
    <row r="100" spans="1:4" x14ac:dyDescent="0.2">
      <c r="A100" s="6" t="s">
        <v>27</v>
      </c>
      <c r="B100" s="6">
        <v>2012</v>
      </c>
      <c r="C100" s="6" t="s">
        <v>5</v>
      </c>
      <c r="D100" s="6">
        <v>39100</v>
      </c>
    </row>
    <row r="101" spans="1:4" x14ac:dyDescent="0.2">
      <c r="A101" s="6" t="s">
        <v>28</v>
      </c>
      <c r="B101" s="6">
        <v>2012</v>
      </c>
      <c r="C101" s="6" t="s">
        <v>5</v>
      </c>
      <c r="D101" s="6">
        <v>9900</v>
      </c>
    </row>
    <row r="102" spans="1:4" x14ac:dyDescent="0.2">
      <c r="A102" s="6" t="s">
        <v>29</v>
      </c>
      <c r="B102" s="6">
        <v>2012</v>
      </c>
      <c r="C102" s="6" t="s">
        <v>5</v>
      </c>
      <c r="D102" s="6">
        <v>12400</v>
      </c>
    </row>
    <row r="103" spans="1:4" x14ac:dyDescent="0.2">
      <c r="A103" s="6" t="s">
        <v>30</v>
      </c>
      <c r="B103" s="6">
        <v>2012</v>
      </c>
      <c r="C103" s="6" t="s">
        <v>5</v>
      </c>
      <c r="D103" s="6">
        <v>16900</v>
      </c>
    </row>
    <row r="104" spans="1:4" x14ac:dyDescent="0.2">
      <c r="A104" s="6" t="s">
        <v>31</v>
      </c>
      <c r="B104" s="6">
        <v>2012</v>
      </c>
      <c r="C104" s="6" t="s">
        <v>5</v>
      </c>
      <c r="D104" s="6">
        <v>10700</v>
      </c>
    </row>
    <row r="105" spans="1:4" x14ac:dyDescent="0.2">
      <c r="A105" s="6" t="s">
        <v>32</v>
      </c>
      <c r="B105" s="6">
        <v>2012</v>
      </c>
      <c r="C105" s="6" t="s">
        <v>5</v>
      </c>
      <c r="D105" s="6">
        <v>8100</v>
      </c>
    </row>
    <row r="106" spans="1:4" x14ac:dyDescent="0.2">
      <c r="A106" s="6" t="s">
        <v>33</v>
      </c>
      <c r="B106" s="6">
        <v>2012</v>
      </c>
      <c r="C106" s="6" t="s">
        <v>5</v>
      </c>
      <c r="D106" s="6">
        <v>8300</v>
      </c>
    </row>
    <row r="107" spans="1:4" x14ac:dyDescent="0.2">
      <c r="A107" s="6" t="s">
        <v>34</v>
      </c>
      <c r="B107" s="6">
        <v>2012</v>
      </c>
      <c r="C107" s="6" t="s">
        <v>5</v>
      </c>
      <c r="D107" s="6">
        <v>8200</v>
      </c>
    </row>
    <row r="108" spans="1:4" x14ac:dyDescent="0.2">
      <c r="A108" s="6" t="s">
        <v>35</v>
      </c>
      <c r="B108" s="6">
        <v>2012</v>
      </c>
      <c r="C108" s="6" t="s">
        <v>5</v>
      </c>
      <c r="D108" s="6">
        <v>16200</v>
      </c>
    </row>
    <row r="109" spans="1:4" x14ac:dyDescent="0.2">
      <c r="A109" s="6" t="s">
        <v>36</v>
      </c>
      <c r="B109" s="6">
        <v>2012</v>
      </c>
      <c r="C109" s="6" t="s">
        <v>5</v>
      </c>
      <c r="D109" s="6">
        <v>0</v>
      </c>
    </row>
    <row r="110" spans="1:4" x14ac:dyDescent="0.2">
      <c r="A110" s="6" t="s">
        <v>37</v>
      </c>
      <c r="B110" s="6">
        <v>2012</v>
      </c>
      <c r="C110" s="6" t="s">
        <v>5</v>
      </c>
      <c r="D110" s="6">
        <v>11400</v>
      </c>
    </row>
    <row r="111" spans="1:4" x14ac:dyDescent="0.2">
      <c r="A111" s="6" t="s">
        <v>38</v>
      </c>
      <c r="B111" s="6">
        <v>2012</v>
      </c>
      <c r="C111" s="6" t="s">
        <v>5</v>
      </c>
      <c r="D111" s="6">
        <v>10700</v>
      </c>
    </row>
    <row r="112" spans="1:4" x14ac:dyDescent="0.2">
      <c r="A112" s="6" t="s">
        <v>39</v>
      </c>
      <c r="B112" s="6">
        <v>2012</v>
      </c>
      <c r="C112" s="6" t="s">
        <v>5</v>
      </c>
      <c r="D112" s="6">
        <v>7200</v>
      </c>
    </row>
    <row r="113" spans="1:4" x14ac:dyDescent="0.2">
      <c r="A113" s="6" t="s">
        <v>40</v>
      </c>
      <c r="B113" s="6">
        <v>2012</v>
      </c>
      <c r="C113" s="6" t="s">
        <v>5</v>
      </c>
      <c r="D113" s="6">
        <v>21300</v>
      </c>
    </row>
    <row r="114" spans="1:4" x14ac:dyDescent="0.2">
      <c r="A114" s="6" t="s">
        <v>41</v>
      </c>
      <c r="B114" s="6">
        <v>2012</v>
      </c>
      <c r="C114" s="6" t="s">
        <v>5</v>
      </c>
      <c r="D114" s="6">
        <v>31800</v>
      </c>
    </row>
    <row r="115" spans="1:4" x14ac:dyDescent="0.2">
      <c r="A115" s="6" t="s">
        <v>42</v>
      </c>
      <c r="B115" s="6">
        <v>2012</v>
      </c>
      <c r="C115" s="6" t="s">
        <v>5</v>
      </c>
      <c r="D115" s="6">
        <v>23700</v>
      </c>
    </row>
    <row r="116" spans="1:4" x14ac:dyDescent="0.2">
      <c r="A116" s="6" t="s">
        <v>4</v>
      </c>
      <c r="B116" s="6">
        <v>2019</v>
      </c>
      <c r="C116" s="6" t="s">
        <v>5</v>
      </c>
      <c r="D116" s="6">
        <v>16000</v>
      </c>
    </row>
    <row r="117" spans="1:4" x14ac:dyDescent="0.2">
      <c r="A117" s="6" t="s">
        <v>6</v>
      </c>
      <c r="B117" s="6">
        <v>2019</v>
      </c>
      <c r="C117" s="6" t="s">
        <v>5</v>
      </c>
      <c r="D117" s="6">
        <v>5200</v>
      </c>
    </row>
    <row r="118" spans="1:4" x14ac:dyDescent="0.2">
      <c r="A118" s="6" t="s">
        <v>7</v>
      </c>
      <c r="B118" s="6">
        <v>2019</v>
      </c>
      <c r="C118" s="6" t="s">
        <v>5</v>
      </c>
      <c r="D118" s="6">
        <v>12400</v>
      </c>
    </row>
    <row r="119" spans="1:4" x14ac:dyDescent="0.2">
      <c r="A119" s="6" t="s">
        <v>8</v>
      </c>
      <c r="B119" s="6">
        <v>2019</v>
      </c>
      <c r="C119" s="6" t="s">
        <v>5</v>
      </c>
      <c r="D119" s="6">
        <v>12900</v>
      </c>
    </row>
    <row r="120" spans="1:4" x14ac:dyDescent="0.2">
      <c r="A120" s="6" t="s">
        <v>9</v>
      </c>
      <c r="B120" s="6">
        <v>2019</v>
      </c>
      <c r="C120" s="6" t="s">
        <v>5</v>
      </c>
      <c r="D120" s="6">
        <v>29200</v>
      </c>
    </row>
    <row r="121" spans="1:4" x14ac:dyDescent="0.2">
      <c r="A121" s="6" t="s">
        <v>10</v>
      </c>
      <c r="B121" s="6">
        <v>2019</v>
      </c>
      <c r="C121" s="6" t="s">
        <v>5</v>
      </c>
      <c r="D121" s="6">
        <v>13300</v>
      </c>
    </row>
    <row r="122" spans="1:4" x14ac:dyDescent="0.2">
      <c r="A122" s="6" t="s">
        <v>11</v>
      </c>
      <c r="B122" s="6">
        <v>2019</v>
      </c>
      <c r="C122" s="6" t="s">
        <v>5</v>
      </c>
      <c r="D122" s="6">
        <v>12800</v>
      </c>
    </row>
    <row r="123" spans="1:4" x14ac:dyDescent="0.2">
      <c r="A123" s="6" t="s">
        <v>12</v>
      </c>
      <c r="B123" s="6">
        <v>2019</v>
      </c>
      <c r="C123" s="6" t="s">
        <v>5</v>
      </c>
      <c r="D123" s="6">
        <v>6700</v>
      </c>
    </row>
    <row r="124" spans="1:4" x14ac:dyDescent="0.2">
      <c r="A124" s="6" t="s">
        <v>13</v>
      </c>
      <c r="B124" s="6">
        <v>2019</v>
      </c>
      <c r="C124" s="6" t="s">
        <v>5</v>
      </c>
      <c r="D124" s="6">
        <v>9000</v>
      </c>
    </row>
    <row r="125" spans="1:4" x14ac:dyDescent="0.2">
      <c r="A125" s="6" t="s">
        <v>14</v>
      </c>
      <c r="B125" s="6">
        <v>2019</v>
      </c>
      <c r="C125" s="6" t="s">
        <v>5</v>
      </c>
      <c r="D125" s="6">
        <v>8100</v>
      </c>
    </row>
    <row r="126" spans="1:4" x14ac:dyDescent="0.2">
      <c r="A126" s="6" t="s">
        <v>15</v>
      </c>
      <c r="B126" s="6">
        <v>2019</v>
      </c>
      <c r="C126" s="6" t="s">
        <v>5</v>
      </c>
      <c r="D126" s="6">
        <v>14700</v>
      </c>
    </row>
    <row r="127" spans="1:4" x14ac:dyDescent="0.2">
      <c r="A127" s="6" t="s">
        <v>16</v>
      </c>
      <c r="B127" s="6">
        <v>2019</v>
      </c>
      <c r="C127" s="6" t="s">
        <v>5</v>
      </c>
      <c r="D127" s="6">
        <v>0</v>
      </c>
    </row>
    <row r="128" spans="1:4" x14ac:dyDescent="0.2">
      <c r="A128" s="6" t="s">
        <v>17</v>
      </c>
      <c r="B128" s="6">
        <v>2019</v>
      </c>
      <c r="C128" s="6" t="s">
        <v>5</v>
      </c>
      <c r="D128" s="6">
        <v>23700</v>
      </c>
    </row>
    <row r="129" spans="1:4" x14ac:dyDescent="0.2">
      <c r="A129" s="6" t="s">
        <v>18</v>
      </c>
      <c r="B129" s="6">
        <v>2019</v>
      </c>
      <c r="C129" s="6" t="s">
        <v>5</v>
      </c>
      <c r="D129" s="6">
        <v>0</v>
      </c>
    </row>
    <row r="130" spans="1:4" x14ac:dyDescent="0.2">
      <c r="A130" s="6" t="s">
        <v>19</v>
      </c>
      <c r="B130" s="6">
        <v>2019</v>
      </c>
      <c r="C130" s="6" t="s">
        <v>5</v>
      </c>
      <c r="D130" s="6">
        <v>0</v>
      </c>
    </row>
    <row r="131" spans="1:4" x14ac:dyDescent="0.2">
      <c r="A131" s="6" t="s">
        <v>20</v>
      </c>
      <c r="B131" s="6">
        <v>2019</v>
      </c>
      <c r="C131" s="6" t="s">
        <v>5</v>
      </c>
      <c r="D131" s="6">
        <v>9200</v>
      </c>
    </row>
    <row r="132" spans="1:4" x14ac:dyDescent="0.2">
      <c r="A132" s="6" t="s">
        <v>21</v>
      </c>
      <c r="B132" s="6">
        <v>2019</v>
      </c>
      <c r="C132" s="6" t="s">
        <v>5</v>
      </c>
      <c r="D132" s="6">
        <v>5300</v>
      </c>
    </row>
    <row r="133" spans="1:4" x14ac:dyDescent="0.2">
      <c r="A133" s="6" t="s">
        <v>22</v>
      </c>
      <c r="B133" s="6">
        <v>2019</v>
      </c>
      <c r="C133" s="6" t="s">
        <v>5</v>
      </c>
      <c r="D133" s="6">
        <v>7400</v>
      </c>
    </row>
    <row r="134" spans="1:4" x14ac:dyDescent="0.2">
      <c r="A134" s="6" t="s">
        <v>23</v>
      </c>
      <c r="B134" s="6">
        <v>2019</v>
      </c>
      <c r="C134" s="6" t="s">
        <v>5</v>
      </c>
      <c r="D134" s="6">
        <v>22800</v>
      </c>
    </row>
    <row r="135" spans="1:4" x14ac:dyDescent="0.2">
      <c r="A135" s="6" t="s">
        <v>24</v>
      </c>
      <c r="B135" s="6">
        <v>2019</v>
      </c>
      <c r="C135" s="6" t="s">
        <v>5</v>
      </c>
      <c r="D135" s="6">
        <v>7900</v>
      </c>
    </row>
    <row r="136" spans="1:4" x14ac:dyDescent="0.2">
      <c r="A136" s="6" t="s">
        <v>25</v>
      </c>
      <c r="B136" s="6">
        <v>2019</v>
      </c>
      <c r="C136" s="6" t="s">
        <v>5</v>
      </c>
      <c r="D136" s="6">
        <v>8800</v>
      </c>
    </row>
    <row r="137" spans="1:4" x14ac:dyDescent="0.2">
      <c r="A137" s="6" t="s">
        <v>26</v>
      </c>
      <c r="B137" s="6">
        <v>2019</v>
      </c>
      <c r="C137" s="6" t="s">
        <v>5</v>
      </c>
      <c r="D137" s="6">
        <v>23800</v>
      </c>
    </row>
    <row r="138" spans="1:4" x14ac:dyDescent="0.2">
      <c r="A138" s="6" t="s">
        <v>27</v>
      </c>
      <c r="B138" s="6">
        <v>2019</v>
      </c>
      <c r="C138" s="6" t="s">
        <v>5</v>
      </c>
      <c r="D138" s="6">
        <v>39800</v>
      </c>
    </row>
    <row r="139" spans="1:4" x14ac:dyDescent="0.2">
      <c r="A139" s="6" t="s">
        <v>28</v>
      </c>
      <c r="B139" s="6">
        <v>2019</v>
      </c>
      <c r="C139" s="6" t="s">
        <v>5</v>
      </c>
      <c r="D139" s="6">
        <v>11200</v>
      </c>
    </row>
    <row r="140" spans="1:4" x14ac:dyDescent="0.2">
      <c r="A140" s="6" t="s">
        <v>29</v>
      </c>
      <c r="B140" s="6">
        <v>2019</v>
      </c>
      <c r="C140" s="6" t="s">
        <v>5</v>
      </c>
      <c r="D140" s="6">
        <v>10200</v>
      </c>
    </row>
    <row r="141" spans="1:4" x14ac:dyDescent="0.2">
      <c r="A141" s="6" t="s">
        <v>30</v>
      </c>
      <c r="B141" s="6">
        <v>2019</v>
      </c>
      <c r="C141" s="6" t="s">
        <v>5</v>
      </c>
      <c r="D141" s="6">
        <v>18500</v>
      </c>
    </row>
    <row r="142" spans="1:4" x14ac:dyDescent="0.2">
      <c r="A142" s="6" t="s">
        <v>31</v>
      </c>
      <c r="B142" s="6">
        <v>2019</v>
      </c>
      <c r="C142" s="6" t="s">
        <v>5</v>
      </c>
      <c r="D142" s="6">
        <v>9400</v>
      </c>
    </row>
    <row r="143" spans="1:4" x14ac:dyDescent="0.2">
      <c r="A143" s="6" t="s">
        <v>32</v>
      </c>
      <c r="B143" s="6">
        <v>2019</v>
      </c>
      <c r="C143" s="6" t="s">
        <v>5</v>
      </c>
      <c r="D143" s="6">
        <v>8800</v>
      </c>
    </row>
    <row r="144" spans="1:4" x14ac:dyDescent="0.2">
      <c r="A144" s="6" t="s">
        <v>33</v>
      </c>
      <c r="B144" s="6">
        <v>2019</v>
      </c>
      <c r="C144" s="6" t="s">
        <v>5</v>
      </c>
      <c r="D144" s="6">
        <v>7400</v>
      </c>
    </row>
    <row r="145" spans="1:4" x14ac:dyDescent="0.2">
      <c r="A145" s="6" t="s">
        <v>34</v>
      </c>
      <c r="B145" s="6">
        <v>2019</v>
      </c>
      <c r="C145" s="6" t="s">
        <v>5</v>
      </c>
      <c r="D145" s="6">
        <v>6600</v>
      </c>
    </row>
    <row r="146" spans="1:4" x14ac:dyDescent="0.2">
      <c r="A146" s="6" t="s">
        <v>35</v>
      </c>
      <c r="B146" s="6">
        <v>2019</v>
      </c>
      <c r="C146" s="6" t="s">
        <v>5</v>
      </c>
      <c r="D146" s="6">
        <v>12600</v>
      </c>
    </row>
    <row r="147" spans="1:4" x14ac:dyDescent="0.2">
      <c r="A147" s="6" t="s">
        <v>36</v>
      </c>
      <c r="B147" s="6">
        <v>2019</v>
      </c>
      <c r="C147" s="6" t="s">
        <v>5</v>
      </c>
      <c r="D147" s="6">
        <v>0</v>
      </c>
    </row>
    <row r="148" spans="1:4" x14ac:dyDescent="0.2">
      <c r="A148" s="6" t="s">
        <v>37</v>
      </c>
      <c r="B148" s="6">
        <v>2019</v>
      </c>
      <c r="C148" s="6" t="s">
        <v>5</v>
      </c>
      <c r="D148" s="6">
        <v>7900</v>
      </c>
    </row>
    <row r="149" spans="1:4" x14ac:dyDescent="0.2">
      <c r="A149" s="6" t="s">
        <v>38</v>
      </c>
      <c r="B149" s="6">
        <v>2019</v>
      </c>
      <c r="C149" s="6" t="s">
        <v>5</v>
      </c>
      <c r="D149" s="6">
        <v>7900</v>
      </c>
    </row>
    <row r="150" spans="1:4" x14ac:dyDescent="0.2">
      <c r="A150" s="6" t="s">
        <v>39</v>
      </c>
      <c r="B150" s="6">
        <v>2019</v>
      </c>
      <c r="C150" s="6" t="s">
        <v>5</v>
      </c>
      <c r="D150" s="6">
        <v>6000</v>
      </c>
    </row>
    <row r="151" spans="1:4" x14ac:dyDescent="0.2">
      <c r="A151" s="6" t="s">
        <v>40</v>
      </c>
      <c r="B151" s="6">
        <v>2019</v>
      </c>
      <c r="C151" s="6" t="s">
        <v>5</v>
      </c>
      <c r="D151" s="6">
        <v>17700</v>
      </c>
    </row>
    <row r="152" spans="1:4" x14ac:dyDescent="0.2">
      <c r="A152" s="6" t="s">
        <v>41</v>
      </c>
      <c r="B152" s="6">
        <v>2019</v>
      </c>
      <c r="C152" s="6" t="s">
        <v>5</v>
      </c>
      <c r="D152" s="6">
        <v>26100</v>
      </c>
    </row>
    <row r="153" spans="1:4" x14ac:dyDescent="0.2">
      <c r="A153" s="6" t="s">
        <v>42</v>
      </c>
      <c r="B153" s="6">
        <v>2019</v>
      </c>
      <c r="C153" s="6" t="s">
        <v>5</v>
      </c>
      <c r="D153" s="6">
        <v>15700</v>
      </c>
    </row>
    <row r="154" spans="1:4" x14ac:dyDescent="0.2">
      <c r="A154" s="6" t="s">
        <v>4</v>
      </c>
      <c r="B154" s="6">
        <v>1999</v>
      </c>
      <c r="C154" s="6" t="s">
        <v>43</v>
      </c>
      <c r="D154" s="7">
        <v>677000</v>
      </c>
    </row>
    <row r="155" spans="1:4" x14ac:dyDescent="0.2">
      <c r="A155" s="6" t="s">
        <v>6</v>
      </c>
      <c r="B155" s="6">
        <v>1999</v>
      </c>
      <c r="C155" s="6" t="s">
        <v>43</v>
      </c>
      <c r="D155" s="7">
        <v>379400</v>
      </c>
    </row>
    <row r="156" spans="1:4" x14ac:dyDescent="0.2">
      <c r="A156" s="6" t="s">
        <v>7</v>
      </c>
      <c r="B156" s="6">
        <v>1999</v>
      </c>
      <c r="C156" s="6" t="s">
        <v>43</v>
      </c>
      <c r="D156" s="7">
        <v>311700</v>
      </c>
    </row>
    <row r="157" spans="1:4" x14ac:dyDescent="0.2">
      <c r="A157" s="6" t="s">
        <v>8</v>
      </c>
      <c r="B157" s="6">
        <v>1999</v>
      </c>
      <c r="C157" s="6" t="s">
        <v>43</v>
      </c>
      <c r="D157" s="7">
        <v>290300</v>
      </c>
    </row>
    <row r="158" spans="1:4" x14ac:dyDescent="0.2">
      <c r="A158" s="6" t="s">
        <v>9</v>
      </c>
      <c r="B158" s="6">
        <v>1999</v>
      </c>
      <c r="C158" s="6" t="s">
        <v>43</v>
      </c>
      <c r="D158" s="7">
        <v>474800</v>
      </c>
    </row>
    <row r="159" spans="1:4" x14ac:dyDescent="0.2">
      <c r="A159" s="6" t="s">
        <v>10</v>
      </c>
      <c r="B159" s="6">
        <v>1999</v>
      </c>
      <c r="C159" s="6" t="s">
        <v>43</v>
      </c>
      <c r="D159" s="7">
        <v>167700</v>
      </c>
    </row>
    <row r="160" spans="1:4" x14ac:dyDescent="0.2">
      <c r="A160" s="6" t="s">
        <v>11</v>
      </c>
      <c r="B160" s="6">
        <v>1999</v>
      </c>
      <c r="C160" s="6" t="s">
        <v>43</v>
      </c>
      <c r="D160" s="7">
        <v>146600</v>
      </c>
    </row>
    <row r="161" spans="1:4" x14ac:dyDescent="0.2">
      <c r="A161" s="6" t="s">
        <v>12</v>
      </c>
      <c r="B161" s="6">
        <v>1999</v>
      </c>
      <c r="C161" s="6" t="s">
        <v>43</v>
      </c>
      <c r="D161" s="7">
        <v>157500</v>
      </c>
    </row>
    <row r="162" spans="1:4" x14ac:dyDescent="0.2">
      <c r="A162" s="6" t="s">
        <v>13</v>
      </c>
      <c r="B162" s="6">
        <v>1999</v>
      </c>
      <c r="C162" s="6" t="s">
        <v>43</v>
      </c>
      <c r="D162" s="7">
        <v>234300</v>
      </c>
    </row>
    <row r="163" spans="1:4" x14ac:dyDescent="0.2">
      <c r="A163" s="6" t="s">
        <v>14</v>
      </c>
      <c r="B163" s="6">
        <v>1999</v>
      </c>
      <c r="C163" s="6" t="s">
        <v>43</v>
      </c>
      <c r="D163" s="7">
        <v>184500</v>
      </c>
    </row>
    <row r="164" spans="1:4" x14ac:dyDescent="0.2">
      <c r="A164" s="6" t="s">
        <v>15</v>
      </c>
      <c r="B164" s="6">
        <v>1999</v>
      </c>
      <c r="C164" s="6" t="s">
        <v>43</v>
      </c>
      <c r="D164" s="7">
        <v>254000</v>
      </c>
    </row>
    <row r="165" spans="1:4" x14ac:dyDescent="0.2">
      <c r="A165" s="6" t="s">
        <v>16</v>
      </c>
      <c r="B165" s="6">
        <v>1999</v>
      </c>
      <c r="C165" s="6" t="s">
        <v>43</v>
      </c>
      <c r="D165" s="7">
        <v>205800</v>
      </c>
    </row>
    <row r="166" spans="1:4" x14ac:dyDescent="0.2">
      <c r="A166" s="6" t="s">
        <v>17</v>
      </c>
      <c r="B166" s="6">
        <v>1999</v>
      </c>
      <c r="C166" s="6" t="s">
        <v>43</v>
      </c>
      <c r="D166" s="7">
        <v>171900</v>
      </c>
    </row>
    <row r="167" spans="1:4" x14ac:dyDescent="0.2">
      <c r="A167" s="6" t="s">
        <v>18</v>
      </c>
      <c r="B167" s="6">
        <v>1999</v>
      </c>
      <c r="C167" s="6" t="s">
        <v>43</v>
      </c>
      <c r="D167" s="7">
        <v>55600</v>
      </c>
    </row>
    <row r="168" spans="1:4" x14ac:dyDescent="0.2">
      <c r="A168" s="6" t="s">
        <v>19</v>
      </c>
      <c r="B168" s="6">
        <v>1999</v>
      </c>
      <c r="C168" s="6" t="s">
        <v>43</v>
      </c>
      <c r="D168" s="7">
        <v>127100</v>
      </c>
    </row>
    <row r="169" spans="1:4" x14ac:dyDescent="0.2">
      <c r="A169" s="6" t="s">
        <v>20</v>
      </c>
      <c r="B169" s="6">
        <v>1999</v>
      </c>
      <c r="C169" s="6" t="s">
        <v>43</v>
      </c>
      <c r="D169" s="7">
        <v>392200</v>
      </c>
    </row>
    <row r="170" spans="1:4" x14ac:dyDescent="0.2">
      <c r="A170" s="6" t="s">
        <v>21</v>
      </c>
      <c r="B170" s="6">
        <v>1999</v>
      </c>
      <c r="C170" s="6" t="s">
        <v>43</v>
      </c>
      <c r="D170" s="7">
        <v>127200</v>
      </c>
    </row>
    <row r="171" spans="1:4" x14ac:dyDescent="0.2">
      <c r="A171" s="6" t="s">
        <v>22</v>
      </c>
      <c r="B171" s="6">
        <v>1999</v>
      </c>
      <c r="C171" s="6" t="s">
        <v>43</v>
      </c>
      <c r="D171" s="7">
        <v>143200</v>
      </c>
    </row>
    <row r="172" spans="1:4" x14ac:dyDescent="0.2">
      <c r="A172" s="6" t="s">
        <v>23</v>
      </c>
      <c r="B172" s="6">
        <v>1999</v>
      </c>
      <c r="C172" s="6" t="s">
        <v>43</v>
      </c>
      <c r="D172" s="7">
        <v>80700</v>
      </c>
    </row>
    <row r="173" spans="1:4" x14ac:dyDescent="0.2">
      <c r="A173" s="6" t="s">
        <v>24</v>
      </c>
      <c r="B173" s="6">
        <v>1999</v>
      </c>
      <c r="C173" s="6" t="s">
        <v>43</v>
      </c>
      <c r="D173" s="7">
        <v>220700</v>
      </c>
    </row>
    <row r="174" spans="1:4" x14ac:dyDescent="0.2">
      <c r="A174" s="6" t="s">
        <v>25</v>
      </c>
      <c r="B174" s="6">
        <v>1999</v>
      </c>
      <c r="C174" s="6" t="s">
        <v>43</v>
      </c>
      <c r="D174" s="7">
        <v>217200</v>
      </c>
    </row>
    <row r="175" spans="1:4" x14ac:dyDescent="0.2">
      <c r="A175" s="6" t="s">
        <v>26</v>
      </c>
      <c r="B175" s="6">
        <v>1999</v>
      </c>
      <c r="C175" s="6" t="s">
        <v>43</v>
      </c>
      <c r="D175" s="7">
        <v>138500</v>
      </c>
    </row>
    <row r="176" spans="1:4" x14ac:dyDescent="0.2">
      <c r="A176" s="6" t="s">
        <v>27</v>
      </c>
      <c r="B176" s="6">
        <v>1999</v>
      </c>
      <c r="C176" s="6" t="s">
        <v>43</v>
      </c>
      <c r="D176" s="7">
        <v>242500</v>
      </c>
    </row>
    <row r="177" spans="1:4" x14ac:dyDescent="0.2">
      <c r="A177" s="6" t="s">
        <v>28</v>
      </c>
      <c r="B177" s="6">
        <v>1999</v>
      </c>
      <c r="C177" s="6" t="s">
        <v>43</v>
      </c>
      <c r="D177" s="7">
        <v>567800</v>
      </c>
    </row>
    <row r="178" spans="1:4" x14ac:dyDescent="0.2">
      <c r="A178" s="6" t="s">
        <v>29</v>
      </c>
      <c r="B178" s="6">
        <v>1999</v>
      </c>
      <c r="C178" s="6" t="s">
        <v>43</v>
      </c>
      <c r="D178" s="7">
        <v>430700</v>
      </c>
    </row>
    <row r="179" spans="1:4" x14ac:dyDescent="0.2">
      <c r="A179" s="6" t="s">
        <v>30</v>
      </c>
      <c r="B179" s="6">
        <v>1999</v>
      </c>
      <c r="C179" s="6" t="s">
        <v>43</v>
      </c>
      <c r="D179" s="7">
        <v>286500</v>
      </c>
    </row>
    <row r="180" spans="1:4" x14ac:dyDescent="0.2">
      <c r="A180" s="6" t="s">
        <v>31</v>
      </c>
      <c r="B180" s="6">
        <v>1999</v>
      </c>
      <c r="C180" s="6" t="s">
        <v>43</v>
      </c>
      <c r="D180" s="7">
        <v>290200</v>
      </c>
    </row>
    <row r="181" spans="1:4" x14ac:dyDescent="0.2">
      <c r="A181" s="6" t="s">
        <v>32</v>
      </c>
      <c r="B181" s="6">
        <v>1999</v>
      </c>
      <c r="C181" s="6" t="s">
        <v>43</v>
      </c>
      <c r="D181" s="7">
        <v>469200</v>
      </c>
    </row>
    <row r="182" spans="1:4" x14ac:dyDescent="0.2">
      <c r="A182" s="6" t="s">
        <v>33</v>
      </c>
      <c r="B182" s="6">
        <v>1999</v>
      </c>
      <c r="C182" s="6" t="s">
        <v>43</v>
      </c>
      <c r="D182" s="7">
        <v>175000</v>
      </c>
    </row>
    <row r="183" spans="1:4" x14ac:dyDescent="0.2">
      <c r="A183" s="6" t="s">
        <v>34</v>
      </c>
      <c r="B183" s="6">
        <v>1999</v>
      </c>
      <c r="C183" s="6" t="s">
        <v>43</v>
      </c>
      <c r="D183" s="7">
        <v>46400</v>
      </c>
    </row>
    <row r="184" spans="1:4" x14ac:dyDescent="0.2">
      <c r="A184" s="6" t="s">
        <v>35</v>
      </c>
      <c r="B184" s="6">
        <v>1999</v>
      </c>
      <c r="C184" s="6" t="s">
        <v>43</v>
      </c>
      <c r="D184" s="7">
        <v>265100</v>
      </c>
    </row>
    <row r="185" spans="1:4" x14ac:dyDescent="0.2">
      <c r="A185" s="6" t="s">
        <v>36</v>
      </c>
      <c r="B185" s="6">
        <v>1999</v>
      </c>
      <c r="C185" s="6" t="s">
        <v>43</v>
      </c>
      <c r="D185" s="7">
        <v>119100</v>
      </c>
    </row>
    <row r="186" spans="1:4" x14ac:dyDescent="0.2">
      <c r="A186" s="6" t="s">
        <v>37</v>
      </c>
      <c r="B186" s="6">
        <v>1999</v>
      </c>
      <c r="C186" s="6" t="s">
        <v>43</v>
      </c>
      <c r="D186" s="7">
        <v>0</v>
      </c>
    </row>
    <row r="187" spans="1:4" x14ac:dyDescent="0.2">
      <c r="A187" s="6" t="s">
        <v>38</v>
      </c>
      <c r="B187" s="6">
        <v>1999</v>
      </c>
      <c r="C187" s="6" t="s">
        <v>43</v>
      </c>
      <c r="D187" s="7">
        <v>0</v>
      </c>
    </row>
    <row r="188" spans="1:4" x14ac:dyDescent="0.2">
      <c r="A188" s="6" t="s">
        <v>39</v>
      </c>
      <c r="B188" s="6">
        <v>1999</v>
      </c>
      <c r="C188" s="6" t="s">
        <v>43</v>
      </c>
      <c r="D188" s="7">
        <v>0</v>
      </c>
    </row>
    <row r="189" spans="1:4" x14ac:dyDescent="0.2">
      <c r="A189" s="6" t="s">
        <v>40</v>
      </c>
      <c r="B189" s="6">
        <v>1999</v>
      </c>
      <c r="C189" s="6" t="s">
        <v>43</v>
      </c>
      <c r="D189" s="7">
        <v>173500</v>
      </c>
    </row>
    <row r="190" spans="1:4" x14ac:dyDescent="0.2">
      <c r="A190" s="6" t="s">
        <v>41</v>
      </c>
      <c r="B190" s="6">
        <v>1999</v>
      </c>
      <c r="C190" s="6" t="s">
        <v>43</v>
      </c>
      <c r="D190" s="7">
        <v>205300</v>
      </c>
    </row>
    <row r="191" spans="1:4" x14ac:dyDescent="0.2">
      <c r="A191" s="6" t="s">
        <v>42</v>
      </c>
      <c r="B191" s="6">
        <v>1999</v>
      </c>
      <c r="C191" s="6" t="s">
        <v>43</v>
      </c>
      <c r="D191" s="7">
        <v>209700</v>
      </c>
    </row>
    <row r="192" spans="1:4" x14ac:dyDescent="0.2">
      <c r="A192" s="6" t="s">
        <v>4</v>
      </c>
      <c r="B192" s="6">
        <v>2011</v>
      </c>
      <c r="C192" s="6" t="s">
        <v>43</v>
      </c>
      <c r="D192" s="7">
        <v>585600</v>
      </c>
    </row>
    <row r="193" spans="1:4" x14ac:dyDescent="0.2">
      <c r="A193" s="6" t="s">
        <v>6</v>
      </c>
      <c r="B193" s="6">
        <v>2011</v>
      </c>
      <c r="C193" s="6" t="s">
        <v>43</v>
      </c>
      <c r="D193" s="7">
        <v>348200</v>
      </c>
    </row>
    <row r="194" spans="1:4" x14ac:dyDescent="0.2">
      <c r="A194" s="6" t="s">
        <v>7</v>
      </c>
      <c r="B194" s="6">
        <v>2011</v>
      </c>
      <c r="C194" s="6" t="s">
        <v>43</v>
      </c>
      <c r="D194" s="7">
        <v>306400</v>
      </c>
    </row>
    <row r="195" spans="1:4" x14ac:dyDescent="0.2">
      <c r="A195" s="6" t="s">
        <v>8</v>
      </c>
      <c r="B195" s="6">
        <v>2011</v>
      </c>
      <c r="C195" s="6" t="s">
        <v>43</v>
      </c>
      <c r="D195" s="7">
        <v>284100</v>
      </c>
    </row>
    <row r="196" spans="1:4" x14ac:dyDescent="0.2">
      <c r="A196" s="6" t="s">
        <v>9</v>
      </c>
      <c r="B196" s="6">
        <v>2011</v>
      </c>
      <c r="C196" s="6" t="s">
        <v>43</v>
      </c>
      <c r="D196" s="7">
        <v>439900</v>
      </c>
    </row>
    <row r="197" spans="1:4" x14ac:dyDescent="0.2">
      <c r="A197" s="6" t="s">
        <v>10</v>
      </c>
      <c r="B197" s="6">
        <v>2011</v>
      </c>
      <c r="C197" s="6" t="s">
        <v>43</v>
      </c>
      <c r="D197" s="7">
        <v>167100</v>
      </c>
    </row>
    <row r="198" spans="1:4" x14ac:dyDescent="0.2">
      <c r="A198" s="6" t="s">
        <v>11</v>
      </c>
      <c r="B198" s="6">
        <v>2011</v>
      </c>
      <c r="C198" s="6" t="s">
        <v>43</v>
      </c>
      <c r="D198" s="7">
        <v>158800</v>
      </c>
    </row>
    <row r="199" spans="1:4" x14ac:dyDescent="0.2">
      <c r="A199" s="6" t="s">
        <v>12</v>
      </c>
      <c r="B199" s="6">
        <v>2011</v>
      </c>
      <c r="C199" s="6" t="s">
        <v>43</v>
      </c>
      <c r="D199" s="7">
        <v>150700</v>
      </c>
    </row>
    <row r="200" spans="1:4" x14ac:dyDescent="0.2">
      <c r="A200" s="6" t="s">
        <v>13</v>
      </c>
      <c r="B200" s="6">
        <v>2011</v>
      </c>
      <c r="C200" s="6" t="s">
        <v>43</v>
      </c>
      <c r="D200" s="7">
        <v>225400</v>
      </c>
    </row>
    <row r="201" spans="1:4" x14ac:dyDescent="0.2">
      <c r="A201" s="6" t="s">
        <v>14</v>
      </c>
      <c r="B201" s="6">
        <v>2011</v>
      </c>
      <c r="C201" s="6" t="s">
        <v>43</v>
      </c>
      <c r="D201" s="7">
        <v>170800</v>
      </c>
    </row>
    <row r="202" spans="1:4" x14ac:dyDescent="0.2">
      <c r="A202" s="6" t="s">
        <v>15</v>
      </c>
      <c r="B202" s="6">
        <v>2011</v>
      </c>
      <c r="C202" s="6" t="s">
        <v>43</v>
      </c>
      <c r="D202" s="7">
        <v>246800</v>
      </c>
    </row>
    <row r="203" spans="1:4" x14ac:dyDescent="0.2">
      <c r="A203" s="6" t="s">
        <v>16</v>
      </c>
      <c r="B203" s="6">
        <v>2011</v>
      </c>
      <c r="C203" s="6" t="s">
        <v>43</v>
      </c>
      <c r="D203" s="7">
        <v>146200</v>
      </c>
    </row>
    <row r="204" spans="1:4" x14ac:dyDescent="0.2">
      <c r="A204" s="6" t="s">
        <v>17</v>
      </c>
      <c r="B204" s="6">
        <v>2011</v>
      </c>
      <c r="C204" s="6" t="s">
        <v>43</v>
      </c>
      <c r="D204" s="7">
        <v>181600</v>
      </c>
    </row>
    <row r="205" spans="1:4" x14ac:dyDescent="0.2">
      <c r="A205" s="6" t="s">
        <v>18</v>
      </c>
      <c r="B205" s="6">
        <v>2011</v>
      </c>
      <c r="C205" s="6" t="s">
        <v>43</v>
      </c>
      <c r="D205" s="7">
        <v>45400</v>
      </c>
    </row>
    <row r="206" spans="1:4" x14ac:dyDescent="0.2">
      <c r="A206" s="6" t="s">
        <v>19</v>
      </c>
      <c r="B206" s="6">
        <v>2011</v>
      </c>
      <c r="C206" s="6" t="s">
        <v>43</v>
      </c>
      <c r="D206" s="7">
        <v>106900</v>
      </c>
    </row>
    <row r="207" spans="1:4" x14ac:dyDescent="0.2">
      <c r="A207" s="6" t="s">
        <v>20</v>
      </c>
      <c r="B207" s="6">
        <v>2011</v>
      </c>
      <c r="C207" s="6" t="s">
        <v>43</v>
      </c>
      <c r="D207" s="7">
        <v>307100</v>
      </c>
    </row>
    <row r="208" spans="1:4" x14ac:dyDescent="0.2">
      <c r="A208" s="6" t="s">
        <v>21</v>
      </c>
      <c r="B208" s="6">
        <v>2011</v>
      </c>
      <c r="C208" s="6" t="s">
        <v>43</v>
      </c>
      <c r="D208" s="7">
        <v>117600</v>
      </c>
    </row>
    <row r="209" spans="1:4" x14ac:dyDescent="0.2">
      <c r="A209" s="6" t="s">
        <v>22</v>
      </c>
      <c r="B209" s="6">
        <v>2011</v>
      </c>
      <c r="C209" s="6" t="s">
        <v>43</v>
      </c>
      <c r="D209" s="7">
        <v>130800.00000000001</v>
      </c>
    </row>
    <row r="210" spans="1:4" x14ac:dyDescent="0.2">
      <c r="A210" s="6" t="s">
        <v>23</v>
      </c>
      <c r="B210" s="6">
        <v>2011</v>
      </c>
      <c r="C210" s="6" t="s">
        <v>43</v>
      </c>
      <c r="D210" s="7">
        <v>104900</v>
      </c>
    </row>
    <row r="211" spans="1:4" x14ac:dyDescent="0.2">
      <c r="A211" s="6" t="s">
        <v>24</v>
      </c>
      <c r="B211" s="6">
        <v>2011</v>
      </c>
      <c r="C211" s="6" t="s">
        <v>43</v>
      </c>
      <c r="D211" s="7">
        <v>189100</v>
      </c>
    </row>
    <row r="212" spans="1:4" x14ac:dyDescent="0.2">
      <c r="A212" s="6" t="s">
        <v>25</v>
      </c>
      <c r="B212" s="6">
        <v>2011</v>
      </c>
      <c r="C212" s="6" t="s">
        <v>43</v>
      </c>
      <c r="D212" s="7">
        <v>174500</v>
      </c>
    </row>
    <row r="213" spans="1:4" x14ac:dyDescent="0.2">
      <c r="A213" s="6" t="s">
        <v>26</v>
      </c>
      <c r="B213" s="6">
        <v>2011</v>
      </c>
      <c r="C213" s="6" t="s">
        <v>43</v>
      </c>
      <c r="D213" s="7">
        <v>141100</v>
      </c>
    </row>
    <row r="214" spans="1:4" x14ac:dyDescent="0.2">
      <c r="A214" s="6" t="s">
        <v>27</v>
      </c>
      <c r="B214" s="6">
        <v>2011</v>
      </c>
      <c r="C214" s="6" t="s">
        <v>43</v>
      </c>
      <c r="D214" s="7">
        <v>243200</v>
      </c>
    </row>
    <row r="215" spans="1:4" x14ac:dyDescent="0.2">
      <c r="A215" s="6" t="s">
        <v>28</v>
      </c>
      <c r="B215" s="6">
        <v>2011</v>
      </c>
      <c r="C215" s="6" t="s">
        <v>43</v>
      </c>
      <c r="D215" s="7">
        <v>469300</v>
      </c>
    </row>
    <row r="216" spans="1:4" x14ac:dyDescent="0.2">
      <c r="A216" s="6" t="s">
        <v>29</v>
      </c>
      <c r="B216" s="6">
        <v>2011</v>
      </c>
      <c r="C216" s="6" t="s">
        <v>43</v>
      </c>
      <c r="D216" s="7">
        <v>359700</v>
      </c>
    </row>
    <row r="217" spans="1:4" x14ac:dyDescent="0.2">
      <c r="A217" s="6" t="s">
        <v>30</v>
      </c>
      <c r="B217" s="6">
        <v>2011</v>
      </c>
      <c r="C217" s="6" t="s">
        <v>43</v>
      </c>
      <c r="D217" s="7">
        <v>258200</v>
      </c>
    </row>
    <row r="218" spans="1:4" x14ac:dyDescent="0.2">
      <c r="A218" s="6" t="s">
        <v>31</v>
      </c>
      <c r="B218" s="6">
        <v>2011</v>
      </c>
      <c r="C218" s="6" t="s">
        <v>43</v>
      </c>
      <c r="D218" s="7">
        <v>247700</v>
      </c>
    </row>
    <row r="219" spans="1:4" x14ac:dyDescent="0.2">
      <c r="A219" s="6" t="s">
        <v>32</v>
      </c>
      <c r="B219" s="6">
        <v>2011</v>
      </c>
      <c r="C219" s="6" t="s">
        <v>43</v>
      </c>
      <c r="D219" s="7">
        <v>432900</v>
      </c>
    </row>
    <row r="220" spans="1:4" x14ac:dyDescent="0.2">
      <c r="A220" s="6" t="s">
        <v>33</v>
      </c>
      <c r="B220" s="6">
        <v>2011</v>
      </c>
      <c r="C220" s="6" t="s">
        <v>43</v>
      </c>
      <c r="D220" s="7">
        <v>142500</v>
      </c>
    </row>
    <row r="221" spans="1:4" x14ac:dyDescent="0.2">
      <c r="A221" s="6" t="s">
        <v>34</v>
      </c>
      <c r="B221" s="6">
        <v>2011</v>
      </c>
      <c r="C221" s="6" t="s">
        <v>43</v>
      </c>
      <c r="D221" s="7">
        <v>46400</v>
      </c>
    </row>
    <row r="222" spans="1:4" x14ac:dyDescent="0.2">
      <c r="A222" s="6" t="s">
        <v>35</v>
      </c>
      <c r="B222" s="6">
        <v>2011</v>
      </c>
      <c r="C222" s="6" t="s">
        <v>43</v>
      </c>
      <c r="D222" s="7">
        <v>214800</v>
      </c>
    </row>
    <row r="223" spans="1:4" x14ac:dyDescent="0.2">
      <c r="A223" s="6" t="s">
        <v>36</v>
      </c>
      <c r="B223" s="6">
        <v>2011</v>
      </c>
      <c r="C223" s="6" t="s">
        <v>43</v>
      </c>
      <c r="D223" s="7">
        <v>100900</v>
      </c>
    </row>
    <row r="224" spans="1:4" x14ac:dyDescent="0.2">
      <c r="A224" s="6" t="s">
        <v>37</v>
      </c>
      <c r="B224" s="6">
        <v>2011</v>
      </c>
      <c r="C224" s="6" t="s">
        <v>43</v>
      </c>
      <c r="D224" s="7">
        <v>156300</v>
      </c>
    </row>
    <row r="225" spans="1:4" x14ac:dyDescent="0.2">
      <c r="A225" s="6" t="s">
        <v>38</v>
      </c>
      <c r="B225" s="6">
        <v>2011</v>
      </c>
      <c r="C225" s="6" t="s">
        <v>43</v>
      </c>
      <c r="D225" s="7">
        <v>171900</v>
      </c>
    </row>
    <row r="226" spans="1:4" x14ac:dyDescent="0.2">
      <c r="A226" s="6" t="s">
        <v>39</v>
      </c>
      <c r="B226" s="6">
        <v>2011</v>
      </c>
      <c r="C226" s="6" t="s">
        <v>43</v>
      </c>
      <c r="D226" s="7">
        <v>68700</v>
      </c>
    </row>
    <row r="227" spans="1:4" x14ac:dyDescent="0.2">
      <c r="A227" s="6" t="s">
        <v>40</v>
      </c>
      <c r="B227" s="6">
        <v>2011</v>
      </c>
      <c r="C227" s="6" t="s">
        <v>43</v>
      </c>
      <c r="D227" s="7">
        <v>199900</v>
      </c>
    </row>
    <row r="228" spans="1:4" x14ac:dyDescent="0.2">
      <c r="A228" s="6" t="s">
        <v>41</v>
      </c>
      <c r="B228" s="6">
        <v>2011</v>
      </c>
      <c r="C228" s="6" t="s">
        <v>43</v>
      </c>
      <c r="D228" s="7">
        <v>199400</v>
      </c>
    </row>
    <row r="229" spans="1:4" x14ac:dyDescent="0.2">
      <c r="A229" s="6" t="s">
        <v>42</v>
      </c>
      <c r="B229" s="6">
        <v>2011</v>
      </c>
      <c r="C229" s="6" t="s">
        <v>43</v>
      </c>
      <c r="D229" s="7">
        <v>245300</v>
      </c>
    </row>
    <row r="230" spans="1:4" x14ac:dyDescent="0.2">
      <c r="A230" s="6" t="s">
        <v>4</v>
      </c>
      <c r="B230" s="6">
        <v>2012</v>
      </c>
      <c r="C230" s="6" t="s">
        <v>43</v>
      </c>
      <c r="D230" s="7">
        <v>595600</v>
      </c>
    </row>
    <row r="231" spans="1:4" x14ac:dyDescent="0.2">
      <c r="A231" s="6" t="s">
        <v>6</v>
      </c>
      <c r="B231" s="6">
        <v>2012</v>
      </c>
      <c r="C231" s="6" t="s">
        <v>43</v>
      </c>
      <c r="D231" s="7">
        <v>353100</v>
      </c>
    </row>
    <row r="232" spans="1:4" x14ac:dyDescent="0.2">
      <c r="A232" s="6" t="s">
        <v>7</v>
      </c>
      <c r="B232" s="6">
        <v>2012</v>
      </c>
      <c r="C232" s="6" t="s">
        <v>43</v>
      </c>
      <c r="D232" s="7">
        <v>315200</v>
      </c>
    </row>
    <row r="233" spans="1:4" x14ac:dyDescent="0.2">
      <c r="A233" s="6" t="s">
        <v>8</v>
      </c>
      <c r="B233" s="6">
        <v>2012</v>
      </c>
      <c r="C233" s="6" t="s">
        <v>43</v>
      </c>
      <c r="D233" s="7">
        <v>288400</v>
      </c>
    </row>
    <row r="234" spans="1:4" x14ac:dyDescent="0.2">
      <c r="A234" s="6" t="s">
        <v>9</v>
      </c>
      <c r="B234" s="6">
        <v>2012</v>
      </c>
      <c r="C234" s="6" t="s">
        <v>43</v>
      </c>
      <c r="D234" s="7">
        <v>450800</v>
      </c>
    </row>
    <row r="235" spans="1:4" x14ac:dyDescent="0.2">
      <c r="A235" s="6" t="s">
        <v>10</v>
      </c>
      <c r="B235" s="6">
        <v>2012</v>
      </c>
      <c r="C235" s="6" t="s">
        <v>43</v>
      </c>
      <c r="D235" s="7">
        <v>163100</v>
      </c>
    </row>
    <row r="236" spans="1:4" x14ac:dyDescent="0.2">
      <c r="A236" s="6" t="s">
        <v>11</v>
      </c>
      <c r="B236" s="6">
        <v>2012</v>
      </c>
      <c r="C236" s="6" t="s">
        <v>43</v>
      </c>
      <c r="D236" s="7">
        <v>155000</v>
      </c>
    </row>
    <row r="237" spans="1:4" x14ac:dyDescent="0.2">
      <c r="A237" s="6" t="s">
        <v>12</v>
      </c>
      <c r="B237" s="6">
        <v>2012</v>
      </c>
      <c r="C237" s="6" t="s">
        <v>43</v>
      </c>
      <c r="D237" s="7">
        <v>152500</v>
      </c>
    </row>
    <row r="238" spans="1:4" x14ac:dyDescent="0.2">
      <c r="A238" s="6" t="s">
        <v>13</v>
      </c>
      <c r="B238" s="6">
        <v>2012</v>
      </c>
      <c r="C238" s="6" t="s">
        <v>43</v>
      </c>
      <c r="D238" s="7">
        <v>222900</v>
      </c>
    </row>
    <row r="239" spans="1:4" x14ac:dyDescent="0.2">
      <c r="A239" s="6" t="s">
        <v>14</v>
      </c>
      <c r="B239" s="6">
        <v>2012</v>
      </c>
      <c r="C239" s="6" t="s">
        <v>43</v>
      </c>
      <c r="D239" s="7">
        <v>175800</v>
      </c>
    </row>
    <row r="240" spans="1:4" x14ac:dyDescent="0.2">
      <c r="A240" s="6" t="s">
        <v>15</v>
      </c>
      <c r="B240" s="6">
        <v>2012</v>
      </c>
      <c r="C240" s="6" t="s">
        <v>43</v>
      </c>
      <c r="D240" s="7">
        <v>250300</v>
      </c>
    </row>
    <row r="241" spans="1:4" x14ac:dyDescent="0.2">
      <c r="A241" s="6" t="s">
        <v>16</v>
      </c>
      <c r="B241" s="6">
        <v>2012</v>
      </c>
      <c r="C241" s="6" t="s">
        <v>43</v>
      </c>
      <c r="D241" s="7">
        <v>144200</v>
      </c>
    </row>
    <row r="242" spans="1:4" x14ac:dyDescent="0.2">
      <c r="A242" s="6" t="s">
        <v>17</v>
      </c>
      <c r="B242" s="6">
        <v>2012</v>
      </c>
      <c r="C242" s="6" t="s">
        <v>43</v>
      </c>
      <c r="D242" s="7">
        <v>179500</v>
      </c>
    </row>
    <row r="243" spans="1:4" x14ac:dyDescent="0.2">
      <c r="A243" s="6" t="s">
        <v>18</v>
      </c>
      <c r="B243" s="6">
        <v>2012</v>
      </c>
      <c r="C243" s="6" t="s">
        <v>43</v>
      </c>
      <c r="D243" s="7">
        <v>44100</v>
      </c>
    </row>
    <row r="244" spans="1:4" x14ac:dyDescent="0.2">
      <c r="A244" s="6" t="s">
        <v>19</v>
      </c>
      <c r="B244" s="6">
        <v>2012</v>
      </c>
      <c r="C244" s="6" t="s">
        <v>43</v>
      </c>
      <c r="D244" s="7">
        <v>96400</v>
      </c>
    </row>
    <row r="245" spans="1:4" x14ac:dyDescent="0.2">
      <c r="A245" s="6" t="s">
        <v>20</v>
      </c>
      <c r="B245" s="6">
        <v>2012</v>
      </c>
      <c r="C245" s="6" t="s">
        <v>43</v>
      </c>
      <c r="D245" s="7">
        <v>331200</v>
      </c>
    </row>
    <row r="246" spans="1:4" x14ac:dyDescent="0.2">
      <c r="A246" s="6" t="s">
        <v>21</v>
      </c>
      <c r="B246" s="6">
        <v>2012</v>
      </c>
      <c r="C246" s="6" t="s">
        <v>43</v>
      </c>
      <c r="D246" s="7">
        <v>120800</v>
      </c>
    </row>
    <row r="247" spans="1:4" x14ac:dyDescent="0.2">
      <c r="A247" s="6" t="s">
        <v>22</v>
      </c>
      <c r="B247" s="6">
        <v>2012</v>
      </c>
      <c r="C247" s="6" t="s">
        <v>43</v>
      </c>
      <c r="D247" s="7">
        <v>132100</v>
      </c>
    </row>
    <row r="248" spans="1:4" x14ac:dyDescent="0.2">
      <c r="A248" s="6" t="s">
        <v>23</v>
      </c>
      <c r="B248" s="6">
        <v>2012</v>
      </c>
      <c r="C248" s="6" t="s">
        <v>43</v>
      </c>
      <c r="D248" s="7">
        <v>104300</v>
      </c>
    </row>
    <row r="249" spans="1:4" x14ac:dyDescent="0.2">
      <c r="A249" s="6" t="s">
        <v>24</v>
      </c>
      <c r="B249" s="6">
        <v>2012</v>
      </c>
      <c r="C249" s="6" t="s">
        <v>43</v>
      </c>
      <c r="D249" s="7">
        <v>187600</v>
      </c>
    </row>
    <row r="250" spans="1:4" x14ac:dyDescent="0.2">
      <c r="A250" s="6" t="s">
        <v>25</v>
      </c>
      <c r="B250" s="6">
        <v>2012</v>
      </c>
      <c r="C250" s="6" t="s">
        <v>43</v>
      </c>
      <c r="D250" s="7">
        <v>178800</v>
      </c>
    </row>
    <row r="251" spans="1:4" x14ac:dyDescent="0.2">
      <c r="A251" s="6" t="s">
        <v>26</v>
      </c>
      <c r="B251" s="6">
        <v>2012</v>
      </c>
      <c r="C251" s="6" t="s">
        <v>43</v>
      </c>
      <c r="D251" s="7">
        <v>131200</v>
      </c>
    </row>
    <row r="252" spans="1:4" x14ac:dyDescent="0.2">
      <c r="A252" s="6" t="s">
        <v>27</v>
      </c>
      <c r="B252" s="6">
        <v>2012</v>
      </c>
      <c r="C252" s="6" t="s">
        <v>43</v>
      </c>
      <c r="D252" s="7">
        <v>243600</v>
      </c>
    </row>
    <row r="253" spans="1:4" x14ac:dyDescent="0.2">
      <c r="A253" s="6" t="s">
        <v>28</v>
      </c>
      <c r="B253" s="6">
        <v>2012</v>
      </c>
      <c r="C253" s="6" t="s">
        <v>43</v>
      </c>
      <c r="D253" s="7">
        <v>467400</v>
      </c>
    </row>
    <row r="254" spans="1:4" x14ac:dyDescent="0.2">
      <c r="A254" s="6" t="s">
        <v>29</v>
      </c>
      <c r="B254" s="6">
        <v>2012</v>
      </c>
      <c r="C254" s="6" t="s">
        <v>43</v>
      </c>
      <c r="D254" s="7">
        <v>366300</v>
      </c>
    </row>
    <row r="255" spans="1:4" x14ac:dyDescent="0.2">
      <c r="A255" s="6" t="s">
        <v>30</v>
      </c>
      <c r="B255" s="6">
        <v>2012</v>
      </c>
      <c r="C255" s="6" t="s">
        <v>43</v>
      </c>
      <c r="D255" s="7">
        <v>247300</v>
      </c>
    </row>
    <row r="256" spans="1:4" x14ac:dyDescent="0.2">
      <c r="A256" s="6" t="s">
        <v>31</v>
      </c>
      <c r="B256" s="6">
        <v>2012</v>
      </c>
      <c r="C256" s="6" t="s">
        <v>43</v>
      </c>
      <c r="D256" s="7">
        <v>254200</v>
      </c>
    </row>
    <row r="257" spans="1:4" x14ac:dyDescent="0.2">
      <c r="A257" s="6" t="s">
        <v>32</v>
      </c>
      <c r="B257" s="6">
        <v>2012</v>
      </c>
      <c r="C257" s="6" t="s">
        <v>43</v>
      </c>
      <c r="D257" s="7">
        <v>418800</v>
      </c>
    </row>
    <row r="258" spans="1:4" x14ac:dyDescent="0.2">
      <c r="A258" s="6" t="s">
        <v>33</v>
      </c>
      <c r="B258" s="6">
        <v>2012</v>
      </c>
      <c r="C258" s="6" t="s">
        <v>43</v>
      </c>
      <c r="D258" s="7">
        <v>145400</v>
      </c>
    </row>
    <row r="259" spans="1:4" x14ac:dyDescent="0.2">
      <c r="A259" s="6" t="s">
        <v>34</v>
      </c>
      <c r="B259" s="6">
        <v>2012</v>
      </c>
      <c r="C259" s="6" t="s">
        <v>43</v>
      </c>
      <c r="D259" s="7">
        <v>46400</v>
      </c>
    </row>
    <row r="260" spans="1:4" x14ac:dyDescent="0.2">
      <c r="A260" s="6" t="s">
        <v>35</v>
      </c>
      <c r="B260" s="6">
        <v>2012</v>
      </c>
      <c r="C260" s="6" t="s">
        <v>43</v>
      </c>
      <c r="D260" s="7">
        <v>222900</v>
      </c>
    </row>
    <row r="261" spans="1:4" x14ac:dyDescent="0.2">
      <c r="A261" s="6" t="s">
        <v>36</v>
      </c>
      <c r="B261" s="6">
        <v>2012</v>
      </c>
      <c r="C261" s="6" t="s">
        <v>43</v>
      </c>
      <c r="D261" s="7">
        <v>108300</v>
      </c>
    </row>
    <row r="262" spans="1:4" x14ac:dyDescent="0.2">
      <c r="A262" s="6" t="s">
        <v>37</v>
      </c>
      <c r="B262" s="6">
        <v>2012</v>
      </c>
      <c r="C262" s="6" t="s">
        <v>43</v>
      </c>
      <c r="D262" s="7">
        <v>151400</v>
      </c>
    </row>
    <row r="263" spans="1:4" x14ac:dyDescent="0.2">
      <c r="A263" s="6" t="s">
        <v>38</v>
      </c>
      <c r="B263" s="6">
        <v>2012</v>
      </c>
      <c r="C263" s="6" t="s">
        <v>43</v>
      </c>
      <c r="D263" s="7">
        <v>169300</v>
      </c>
    </row>
    <row r="264" spans="1:4" x14ac:dyDescent="0.2">
      <c r="A264" s="6" t="s">
        <v>39</v>
      </c>
      <c r="B264" s="6">
        <v>2012</v>
      </c>
      <c r="C264" s="6" t="s">
        <v>43</v>
      </c>
      <c r="D264" s="7">
        <v>66000</v>
      </c>
    </row>
    <row r="265" spans="1:4" x14ac:dyDescent="0.2">
      <c r="A265" s="6" t="s">
        <v>40</v>
      </c>
      <c r="B265" s="6">
        <v>2012</v>
      </c>
      <c r="C265" s="6" t="s">
        <v>43</v>
      </c>
      <c r="D265" s="7">
        <v>188500</v>
      </c>
    </row>
    <row r="266" spans="1:4" x14ac:dyDescent="0.2">
      <c r="A266" s="6" t="s">
        <v>41</v>
      </c>
      <c r="B266" s="6">
        <v>2012</v>
      </c>
      <c r="C266" s="6" t="s">
        <v>43</v>
      </c>
      <c r="D266" s="7">
        <v>194200</v>
      </c>
    </row>
    <row r="267" spans="1:4" x14ac:dyDescent="0.2">
      <c r="A267" s="6" t="s">
        <v>42</v>
      </c>
      <c r="B267" s="6">
        <v>2012</v>
      </c>
      <c r="C267" s="6" t="s">
        <v>43</v>
      </c>
      <c r="D267" s="7">
        <v>248200</v>
      </c>
    </row>
    <row r="268" spans="1:4" x14ac:dyDescent="0.2">
      <c r="A268" s="6" t="s">
        <v>4</v>
      </c>
      <c r="B268" s="6">
        <v>2019</v>
      </c>
      <c r="C268" s="6" t="s">
        <v>43</v>
      </c>
      <c r="D268" s="7">
        <v>670100</v>
      </c>
    </row>
    <row r="269" spans="1:4" x14ac:dyDescent="0.2">
      <c r="A269" s="6" t="s">
        <v>6</v>
      </c>
      <c r="B269" s="6">
        <v>2019</v>
      </c>
      <c r="C269" s="6" t="s">
        <v>43</v>
      </c>
      <c r="D269" s="7">
        <v>371900</v>
      </c>
    </row>
    <row r="270" spans="1:4" x14ac:dyDescent="0.2">
      <c r="A270" s="6" t="s">
        <v>7</v>
      </c>
      <c r="B270" s="6">
        <v>2019</v>
      </c>
      <c r="C270" s="6" t="s">
        <v>43</v>
      </c>
      <c r="D270" s="7">
        <v>331500</v>
      </c>
    </row>
    <row r="271" spans="1:4" x14ac:dyDescent="0.2">
      <c r="A271" s="6" t="s">
        <v>8</v>
      </c>
      <c r="B271" s="6">
        <v>2019</v>
      </c>
      <c r="C271" s="6" t="s">
        <v>43</v>
      </c>
      <c r="D271" s="7">
        <v>308600</v>
      </c>
    </row>
    <row r="272" spans="1:4" x14ac:dyDescent="0.2">
      <c r="A272" s="6" t="s">
        <v>9</v>
      </c>
      <c r="B272" s="6">
        <v>2019</v>
      </c>
      <c r="C272" s="6" t="s">
        <v>43</v>
      </c>
      <c r="D272" s="7">
        <v>516000</v>
      </c>
    </row>
    <row r="273" spans="1:4" x14ac:dyDescent="0.2">
      <c r="A273" s="6" t="s">
        <v>10</v>
      </c>
      <c r="B273" s="6">
        <v>2019</v>
      </c>
      <c r="C273" s="6" t="s">
        <v>43</v>
      </c>
      <c r="D273" s="7">
        <v>179100</v>
      </c>
    </row>
    <row r="274" spans="1:4" x14ac:dyDescent="0.2">
      <c r="A274" s="6" t="s">
        <v>11</v>
      </c>
      <c r="B274" s="6">
        <v>2019</v>
      </c>
      <c r="C274" s="6" t="s">
        <v>43</v>
      </c>
      <c r="D274" s="7">
        <v>170600</v>
      </c>
    </row>
    <row r="275" spans="1:4" x14ac:dyDescent="0.2">
      <c r="A275" s="6" t="s">
        <v>12</v>
      </c>
      <c r="B275" s="6">
        <v>2019</v>
      </c>
      <c r="C275" s="6" t="s">
        <v>43</v>
      </c>
      <c r="D275" s="7">
        <v>160200</v>
      </c>
    </row>
    <row r="276" spans="1:4" x14ac:dyDescent="0.2">
      <c r="A276" s="6" t="s">
        <v>13</v>
      </c>
      <c r="B276" s="6">
        <v>2019</v>
      </c>
      <c r="C276" s="6" t="s">
        <v>43</v>
      </c>
      <c r="D276" s="7">
        <v>210100</v>
      </c>
    </row>
    <row r="277" spans="1:4" x14ac:dyDescent="0.2">
      <c r="A277" s="6" t="s">
        <v>14</v>
      </c>
      <c r="B277" s="6">
        <v>2019</v>
      </c>
      <c r="C277" s="6" t="s">
        <v>43</v>
      </c>
      <c r="D277" s="7">
        <v>178500</v>
      </c>
    </row>
    <row r="278" spans="1:4" x14ac:dyDescent="0.2">
      <c r="A278" s="6" t="s">
        <v>15</v>
      </c>
      <c r="B278" s="6">
        <v>2019</v>
      </c>
      <c r="C278" s="6" t="s">
        <v>43</v>
      </c>
      <c r="D278" s="7">
        <v>274800</v>
      </c>
    </row>
    <row r="279" spans="1:4" x14ac:dyDescent="0.2">
      <c r="A279" s="6" t="s">
        <v>16</v>
      </c>
      <c r="B279" s="6">
        <v>2019</v>
      </c>
      <c r="C279" s="6" t="s">
        <v>43</v>
      </c>
      <c r="D279" s="7">
        <v>155600</v>
      </c>
    </row>
    <row r="280" spans="1:4" x14ac:dyDescent="0.2">
      <c r="A280" s="6" t="s">
        <v>17</v>
      </c>
      <c r="B280" s="6">
        <v>2019</v>
      </c>
      <c r="C280" s="6" t="s">
        <v>43</v>
      </c>
      <c r="D280" s="7">
        <v>159400</v>
      </c>
    </row>
    <row r="281" spans="1:4" x14ac:dyDescent="0.2">
      <c r="A281" s="6" t="s">
        <v>18</v>
      </c>
      <c r="B281" s="6">
        <v>2019</v>
      </c>
      <c r="C281" s="6" t="s">
        <v>43</v>
      </c>
      <c r="D281" s="7">
        <v>51400</v>
      </c>
    </row>
    <row r="282" spans="1:4" x14ac:dyDescent="0.2">
      <c r="A282" s="6" t="s">
        <v>19</v>
      </c>
      <c r="B282" s="6">
        <v>2019</v>
      </c>
      <c r="C282" s="6" t="s">
        <v>43</v>
      </c>
      <c r="D282" s="7">
        <v>118200</v>
      </c>
    </row>
    <row r="283" spans="1:4" x14ac:dyDescent="0.2">
      <c r="A283" s="6" t="s">
        <v>20</v>
      </c>
      <c r="B283" s="6">
        <v>2019</v>
      </c>
      <c r="C283" s="6" t="s">
        <v>43</v>
      </c>
      <c r="D283" s="7">
        <v>298100</v>
      </c>
    </row>
    <row r="284" spans="1:4" x14ac:dyDescent="0.2">
      <c r="A284" s="6" t="s">
        <v>21</v>
      </c>
      <c r="B284" s="6">
        <v>2019</v>
      </c>
      <c r="C284" s="6" t="s">
        <v>43</v>
      </c>
      <c r="D284" s="7">
        <v>108200</v>
      </c>
    </row>
    <row r="285" spans="1:4" x14ac:dyDescent="0.2">
      <c r="A285" s="6" t="s">
        <v>22</v>
      </c>
      <c r="B285" s="6">
        <v>2019</v>
      </c>
      <c r="C285" s="6" t="s">
        <v>43</v>
      </c>
      <c r="D285" s="7">
        <v>137500</v>
      </c>
    </row>
    <row r="286" spans="1:4" x14ac:dyDescent="0.2">
      <c r="A286" s="6" t="s">
        <v>23</v>
      </c>
      <c r="B286" s="6">
        <v>2019</v>
      </c>
      <c r="C286" s="6" t="s">
        <v>43</v>
      </c>
      <c r="D286" s="7">
        <v>94000</v>
      </c>
    </row>
    <row r="287" spans="1:4" x14ac:dyDescent="0.2">
      <c r="A287" s="6" t="s">
        <v>24</v>
      </c>
      <c r="B287" s="6">
        <v>2019</v>
      </c>
      <c r="C287" s="6" t="s">
        <v>43</v>
      </c>
      <c r="D287" s="7">
        <v>191900</v>
      </c>
    </row>
    <row r="288" spans="1:4" x14ac:dyDescent="0.2">
      <c r="A288" s="6" t="s">
        <v>25</v>
      </c>
      <c r="B288" s="6">
        <v>2019</v>
      </c>
      <c r="C288" s="6" t="s">
        <v>43</v>
      </c>
      <c r="D288" s="7">
        <v>200000</v>
      </c>
    </row>
    <row r="289" spans="1:4" x14ac:dyDescent="0.2">
      <c r="A289" s="6" t="s">
        <v>26</v>
      </c>
      <c r="B289" s="6">
        <v>2019</v>
      </c>
      <c r="C289" s="6" t="s">
        <v>43</v>
      </c>
      <c r="D289" s="7">
        <v>142300</v>
      </c>
    </row>
    <row r="290" spans="1:4" x14ac:dyDescent="0.2">
      <c r="A290" s="6" t="s">
        <v>27</v>
      </c>
      <c r="B290" s="6">
        <v>2019</v>
      </c>
      <c r="C290" s="6" t="s">
        <v>43</v>
      </c>
      <c r="D290" s="7">
        <v>265700</v>
      </c>
    </row>
    <row r="291" spans="1:4" x14ac:dyDescent="0.2">
      <c r="A291" s="6" t="s">
        <v>28</v>
      </c>
      <c r="B291" s="6">
        <v>2019</v>
      </c>
      <c r="C291" s="6" t="s">
        <v>43</v>
      </c>
      <c r="D291" s="7">
        <v>432200</v>
      </c>
    </row>
    <row r="292" spans="1:4" x14ac:dyDescent="0.2">
      <c r="A292" s="6" t="s">
        <v>29</v>
      </c>
      <c r="B292" s="6">
        <v>2019</v>
      </c>
      <c r="C292" s="6" t="s">
        <v>43</v>
      </c>
      <c r="D292" s="7">
        <v>346400</v>
      </c>
    </row>
    <row r="293" spans="1:4" x14ac:dyDescent="0.2">
      <c r="A293" s="6" t="s">
        <v>30</v>
      </c>
      <c r="B293" s="6">
        <v>2019</v>
      </c>
      <c r="C293" s="6" t="s">
        <v>43</v>
      </c>
      <c r="D293" s="7">
        <v>239200</v>
      </c>
    </row>
    <row r="294" spans="1:4" x14ac:dyDescent="0.2">
      <c r="A294" s="6" t="s">
        <v>31</v>
      </c>
      <c r="B294" s="6">
        <v>2019</v>
      </c>
      <c r="C294" s="6" t="s">
        <v>43</v>
      </c>
      <c r="D294" s="7">
        <v>251100</v>
      </c>
    </row>
    <row r="295" spans="1:4" x14ac:dyDescent="0.2">
      <c r="A295" s="6" t="s">
        <v>32</v>
      </c>
      <c r="B295" s="6">
        <v>2019</v>
      </c>
      <c r="C295" s="6" t="s">
        <v>43</v>
      </c>
      <c r="D295" s="7">
        <v>388000</v>
      </c>
    </row>
    <row r="296" spans="1:4" x14ac:dyDescent="0.2">
      <c r="A296" s="6" t="s">
        <v>33</v>
      </c>
      <c r="B296" s="6">
        <v>2019</v>
      </c>
      <c r="C296" s="6" t="s">
        <v>43</v>
      </c>
      <c r="D296" s="7">
        <v>158200</v>
      </c>
    </row>
    <row r="297" spans="1:4" x14ac:dyDescent="0.2">
      <c r="A297" s="6" t="s">
        <v>34</v>
      </c>
      <c r="B297" s="6">
        <v>2019</v>
      </c>
      <c r="C297" s="6" t="s">
        <v>43</v>
      </c>
      <c r="D297" s="7">
        <v>53500</v>
      </c>
    </row>
    <row r="298" spans="1:4" x14ac:dyDescent="0.2">
      <c r="A298" s="6" t="s">
        <v>35</v>
      </c>
      <c r="B298" s="6">
        <v>2019</v>
      </c>
      <c r="C298" s="6" t="s">
        <v>43</v>
      </c>
      <c r="D298" s="7">
        <v>216700</v>
      </c>
    </row>
    <row r="299" spans="1:4" x14ac:dyDescent="0.2">
      <c r="A299" s="6" t="s">
        <v>36</v>
      </c>
      <c r="B299" s="6">
        <v>2019</v>
      </c>
      <c r="C299" s="6" t="s">
        <v>43</v>
      </c>
      <c r="D299" s="7">
        <v>101000</v>
      </c>
    </row>
    <row r="300" spans="1:4" x14ac:dyDescent="0.2">
      <c r="A300" s="6" t="s">
        <v>37</v>
      </c>
      <c r="B300" s="6">
        <v>2019</v>
      </c>
      <c r="C300" s="6" t="s">
        <v>43</v>
      </c>
      <c r="D300" s="7">
        <v>156600</v>
      </c>
    </row>
    <row r="301" spans="1:4" x14ac:dyDescent="0.2">
      <c r="A301" s="6" t="s">
        <v>38</v>
      </c>
      <c r="B301" s="6">
        <v>2019</v>
      </c>
      <c r="C301" s="6" t="s">
        <v>43</v>
      </c>
      <c r="D301" s="7">
        <v>170100</v>
      </c>
    </row>
    <row r="302" spans="1:4" x14ac:dyDescent="0.2">
      <c r="A302" s="6" t="s">
        <v>39</v>
      </c>
      <c r="B302" s="6">
        <v>2019</v>
      </c>
      <c r="C302" s="6" t="s">
        <v>43</v>
      </c>
      <c r="D302" s="7">
        <v>71600</v>
      </c>
    </row>
    <row r="303" spans="1:4" x14ac:dyDescent="0.2">
      <c r="A303" s="6" t="s">
        <v>40</v>
      </c>
      <c r="B303" s="6">
        <v>2019</v>
      </c>
      <c r="C303" s="6" t="s">
        <v>43</v>
      </c>
      <c r="D303" s="7">
        <v>179400</v>
      </c>
    </row>
    <row r="304" spans="1:4" x14ac:dyDescent="0.2">
      <c r="A304" s="6" t="s">
        <v>41</v>
      </c>
      <c r="B304" s="6">
        <v>2019</v>
      </c>
      <c r="C304" s="6" t="s">
        <v>43</v>
      </c>
      <c r="D304" s="7">
        <v>207000</v>
      </c>
    </row>
    <row r="305" spans="1:4" x14ac:dyDescent="0.2">
      <c r="A305" s="6" t="s">
        <v>42</v>
      </c>
      <c r="B305" s="6">
        <v>2019</v>
      </c>
      <c r="C305" s="6" t="s">
        <v>43</v>
      </c>
      <c r="D305" s="7">
        <v>243700</v>
      </c>
    </row>
    <row r="306" spans="1:4" x14ac:dyDescent="0.2">
      <c r="A306" s="6" t="s">
        <v>4</v>
      </c>
      <c r="B306" s="6">
        <v>1999</v>
      </c>
      <c r="C306" s="6" t="s">
        <v>44</v>
      </c>
      <c r="D306" s="7">
        <v>125300</v>
      </c>
    </row>
    <row r="307" spans="1:4" x14ac:dyDescent="0.2">
      <c r="A307" s="6" t="s">
        <v>6</v>
      </c>
      <c r="B307" s="6">
        <v>1999</v>
      </c>
      <c r="C307" s="6" t="s">
        <v>44</v>
      </c>
      <c r="D307" s="7">
        <v>67300</v>
      </c>
    </row>
    <row r="308" spans="1:4" x14ac:dyDescent="0.2">
      <c r="A308" s="6" t="s">
        <v>7</v>
      </c>
      <c r="B308" s="6">
        <v>1999</v>
      </c>
      <c r="C308" s="6" t="s">
        <v>44</v>
      </c>
      <c r="D308" s="7">
        <v>69400</v>
      </c>
    </row>
    <row r="309" spans="1:4" x14ac:dyDescent="0.2">
      <c r="A309" s="6" t="s">
        <v>8</v>
      </c>
      <c r="B309" s="6">
        <v>1999</v>
      </c>
      <c r="C309" s="6" t="s">
        <v>44</v>
      </c>
      <c r="D309" s="7">
        <v>57600</v>
      </c>
    </row>
    <row r="310" spans="1:4" x14ac:dyDescent="0.2">
      <c r="A310" s="6" t="s">
        <v>9</v>
      </c>
      <c r="B310" s="6">
        <v>1999</v>
      </c>
      <c r="C310" s="6" t="s">
        <v>44</v>
      </c>
      <c r="D310" s="7">
        <v>125100</v>
      </c>
    </row>
    <row r="311" spans="1:4" x14ac:dyDescent="0.2">
      <c r="A311" s="6" t="s">
        <v>10</v>
      </c>
      <c r="B311" s="6">
        <v>1999</v>
      </c>
      <c r="C311" s="6" t="s">
        <v>44</v>
      </c>
      <c r="D311" s="7">
        <v>56300</v>
      </c>
    </row>
    <row r="312" spans="1:4" x14ac:dyDescent="0.2">
      <c r="A312" s="6" t="s">
        <v>11</v>
      </c>
      <c r="B312" s="6">
        <v>1999</v>
      </c>
      <c r="C312" s="6" t="s">
        <v>44</v>
      </c>
      <c r="D312" s="7">
        <v>45900</v>
      </c>
    </row>
    <row r="313" spans="1:4" x14ac:dyDescent="0.2">
      <c r="A313" s="6" t="s">
        <v>12</v>
      </c>
      <c r="B313" s="6">
        <v>1999</v>
      </c>
      <c r="C313" s="6" t="s">
        <v>44</v>
      </c>
      <c r="D313" s="7">
        <v>35500</v>
      </c>
    </row>
    <row r="314" spans="1:4" x14ac:dyDescent="0.2">
      <c r="A314" s="6" t="s">
        <v>13</v>
      </c>
      <c r="B314" s="6">
        <v>1999</v>
      </c>
      <c r="C314" s="6" t="s">
        <v>44</v>
      </c>
      <c r="D314" s="7">
        <v>56000</v>
      </c>
    </row>
    <row r="315" spans="1:4" x14ac:dyDescent="0.2">
      <c r="A315" s="6" t="s">
        <v>14</v>
      </c>
      <c r="B315" s="6">
        <v>1999</v>
      </c>
      <c r="C315" s="6" t="s">
        <v>44</v>
      </c>
      <c r="D315" s="7">
        <v>51600</v>
      </c>
    </row>
    <row r="316" spans="1:4" x14ac:dyDescent="0.2">
      <c r="A316" s="6" t="s">
        <v>15</v>
      </c>
      <c r="B316" s="6">
        <v>1999</v>
      </c>
      <c r="C316" s="6" t="s">
        <v>44</v>
      </c>
      <c r="D316" s="7">
        <v>56300</v>
      </c>
    </row>
    <row r="317" spans="1:4" x14ac:dyDescent="0.2">
      <c r="A317" s="6" t="s">
        <v>16</v>
      </c>
      <c r="B317" s="6">
        <v>1999</v>
      </c>
      <c r="C317" s="6" t="s">
        <v>44</v>
      </c>
      <c r="D317" s="7">
        <v>132800</v>
      </c>
    </row>
    <row r="318" spans="1:4" x14ac:dyDescent="0.2">
      <c r="A318" s="6" t="s">
        <v>17</v>
      </c>
      <c r="B318" s="6">
        <v>1999</v>
      </c>
      <c r="C318" s="6" t="s">
        <v>44</v>
      </c>
      <c r="D318" s="7">
        <v>196500</v>
      </c>
    </row>
    <row r="319" spans="1:4" x14ac:dyDescent="0.2">
      <c r="A319" s="6" t="s">
        <v>18</v>
      </c>
      <c r="B319" s="6">
        <v>1999</v>
      </c>
      <c r="C319" s="6" t="s">
        <v>44</v>
      </c>
      <c r="D319" s="7">
        <v>16200</v>
      </c>
    </row>
    <row r="320" spans="1:4" x14ac:dyDescent="0.2">
      <c r="A320" s="6" t="s">
        <v>19</v>
      </c>
      <c r="B320" s="6">
        <v>1999</v>
      </c>
      <c r="C320" s="6" t="s">
        <v>44</v>
      </c>
      <c r="D320" s="7">
        <v>47700</v>
      </c>
    </row>
    <row r="321" spans="1:4" x14ac:dyDescent="0.2">
      <c r="A321" s="6" t="s">
        <v>20</v>
      </c>
      <c r="B321" s="6">
        <v>1999</v>
      </c>
      <c r="C321" s="6" t="s">
        <v>44</v>
      </c>
      <c r="D321" s="7">
        <v>104100</v>
      </c>
    </row>
    <row r="322" spans="1:4" x14ac:dyDescent="0.2">
      <c r="A322" s="6" t="s">
        <v>21</v>
      </c>
      <c r="B322" s="6">
        <v>1999</v>
      </c>
      <c r="C322" s="6" t="s">
        <v>44</v>
      </c>
      <c r="D322" s="7">
        <v>33000</v>
      </c>
    </row>
    <row r="323" spans="1:4" x14ac:dyDescent="0.2">
      <c r="A323" s="6" t="s">
        <v>22</v>
      </c>
      <c r="B323" s="6">
        <v>1999</v>
      </c>
      <c r="C323" s="6" t="s">
        <v>44</v>
      </c>
      <c r="D323" s="7">
        <v>45200</v>
      </c>
    </row>
    <row r="324" spans="1:4" x14ac:dyDescent="0.2">
      <c r="A324" s="6" t="s">
        <v>23</v>
      </c>
      <c r="B324" s="6">
        <v>1999</v>
      </c>
      <c r="C324" s="6" t="s">
        <v>44</v>
      </c>
      <c r="D324" s="7">
        <v>122400</v>
      </c>
    </row>
    <row r="325" spans="1:4" x14ac:dyDescent="0.2">
      <c r="A325" s="6" t="s">
        <v>24</v>
      </c>
      <c r="B325" s="6">
        <v>1999</v>
      </c>
      <c r="C325" s="6" t="s">
        <v>44</v>
      </c>
      <c r="D325" s="7">
        <v>42600</v>
      </c>
    </row>
    <row r="326" spans="1:4" x14ac:dyDescent="0.2">
      <c r="A326" s="6" t="s">
        <v>25</v>
      </c>
      <c r="B326" s="6">
        <v>1999</v>
      </c>
      <c r="C326" s="6" t="s">
        <v>44</v>
      </c>
      <c r="D326" s="7">
        <v>77000</v>
      </c>
    </row>
    <row r="327" spans="1:4" x14ac:dyDescent="0.2">
      <c r="A327" s="6" t="s">
        <v>26</v>
      </c>
      <c r="B327" s="6">
        <v>1999</v>
      </c>
      <c r="C327" s="6" t="s">
        <v>44</v>
      </c>
      <c r="D327" s="7">
        <v>64500</v>
      </c>
    </row>
    <row r="328" spans="1:4" x14ac:dyDescent="0.2">
      <c r="A328" s="6" t="s">
        <v>27</v>
      </c>
      <c r="B328" s="6">
        <v>1999</v>
      </c>
      <c r="C328" s="6" t="s">
        <v>44</v>
      </c>
      <c r="D328" s="7">
        <v>86800</v>
      </c>
    </row>
    <row r="329" spans="1:4" x14ac:dyDescent="0.2">
      <c r="A329" s="6" t="s">
        <v>28</v>
      </c>
      <c r="B329" s="6">
        <v>1999</v>
      </c>
      <c r="C329" s="6" t="s">
        <v>44</v>
      </c>
      <c r="D329" s="7">
        <v>138000</v>
      </c>
    </row>
    <row r="330" spans="1:4" x14ac:dyDescent="0.2">
      <c r="A330" s="6" t="s">
        <v>29</v>
      </c>
      <c r="B330" s="6">
        <v>1999</v>
      </c>
      <c r="C330" s="6" t="s">
        <v>44</v>
      </c>
      <c r="D330" s="7">
        <v>119400</v>
      </c>
    </row>
    <row r="331" spans="1:4" x14ac:dyDescent="0.2">
      <c r="A331" s="6" t="s">
        <v>30</v>
      </c>
      <c r="B331" s="6">
        <v>1999</v>
      </c>
      <c r="C331" s="6" t="s">
        <v>44</v>
      </c>
      <c r="D331" s="7">
        <v>86400</v>
      </c>
    </row>
    <row r="332" spans="1:4" x14ac:dyDescent="0.2">
      <c r="A332" s="6" t="s">
        <v>31</v>
      </c>
      <c r="B332" s="6">
        <v>1999</v>
      </c>
      <c r="C332" s="6" t="s">
        <v>44</v>
      </c>
      <c r="D332" s="7">
        <v>64400.000000000007</v>
      </c>
    </row>
    <row r="333" spans="1:4" x14ac:dyDescent="0.2">
      <c r="A333" s="6" t="s">
        <v>32</v>
      </c>
      <c r="B333" s="6">
        <v>1999</v>
      </c>
      <c r="C333" s="6" t="s">
        <v>44</v>
      </c>
      <c r="D333" s="7">
        <v>104800</v>
      </c>
    </row>
    <row r="334" spans="1:4" x14ac:dyDescent="0.2">
      <c r="A334" s="6" t="s">
        <v>33</v>
      </c>
      <c r="B334" s="6">
        <v>1999</v>
      </c>
      <c r="C334" s="6" t="s">
        <v>44</v>
      </c>
      <c r="D334" s="7">
        <v>60700</v>
      </c>
    </row>
    <row r="335" spans="1:4" x14ac:dyDescent="0.2">
      <c r="A335" s="6" t="s">
        <v>34</v>
      </c>
      <c r="B335" s="6">
        <v>1999</v>
      </c>
      <c r="C335" s="6" t="s">
        <v>44</v>
      </c>
      <c r="D335" s="7">
        <v>20600</v>
      </c>
    </row>
    <row r="336" spans="1:4" x14ac:dyDescent="0.2">
      <c r="A336" s="6" t="s">
        <v>35</v>
      </c>
      <c r="B336" s="6">
        <v>1999</v>
      </c>
      <c r="C336" s="6" t="s">
        <v>44</v>
      </c>
      <c r="D336" s="7">
        <v>67400</v>
      </c>
    </row>
    <row r="337" spans="1:4" x14ac:dyDescent="0.2">
      <c r="A337" s="6" t="s">
        <v>36</v>
      </c>
      <c r="B337" s="6">
        <v>1999</v>
      </c>
      <c r="C337" s="6" t="s">
        <v>44</v>
      </c>
      <c r="D337" s="7">
        <v>31500</v>
      </c>
    </row>
    <row r="338" spans="1:4" x14ac:dyDescent="0.2">
      <c r="A338" s="6" t="s">
        <v>37</v>
      </c>
      <c r="B338" s="6">
        <v>1999</v>
      </c>
      <c r="C338" s="6" t="s">
        <v>44</v>
      </c>
      <c r="D338" s="7">
        <v>0</v>
      </c>
    </row>
    <row r="339" spans="1:4" x14ac:dyDescent="0.2">
      <c r="A339" s="6" t="s">
        <v>38</v>
      </c>
      <c r="B339" s="6">
        <v>1999</v>
      </c>
      <c r="C339" s="6" t="s">
        <v>44</v>
      </c>
      <c r="D339" s="7">
        <v>0</v>
      </c>
    </row>
    <row r="340" spans="1:4" x14ac:dyDescent="0.2">
      <c r="A340" s="6" t="s">
        <v>39</v>
      </c>
      <c r="B340" s="6">
        <v>1999</v>
      </c>
      <c r="C340" s="6" t="s">
        <v>44</v>
      </c>
      <c r="D340" s="7">
        <v>0</v>
      </c>
    </row>
    <row r="341" spans="1:4" x14ac:dyDescent="0.2">
      <c r="A341" s="6" t="s">
        <v>40</v>
      </c>
      <c r="B341" s="6">
        <v>1999</v>
      </c>
      <c r="C341" s="6" t="s">
        <v>44</v>
      </c>
      <c r="D341" s="7">
        <v>168400</v>
      </c>
    </row>
    <row r="342" spans="1:4" x14ac:dyDescent="0.2">
      <c r="A342" s="6" t="s">
        <v>41</v>
      </c>
      <c r="B342" s="6">
        <v>1999</v>
      </c>
      <c r="C342" s="6" t="s">
        <v>44</v>
      </c>
      <c r="D342" s="7">
        <v>94200</v>
      </c>
    </row>
    <row r="343" spans="1:4" x14ac:dyDescent="0.2">
      <c r="A343" s="6" t="s">
        <v>42</v>
      </c>
      <c r="B343" s="6">
        <v>1999</v>
      </c>
      <c r="C343" s="6" t="s">
        <v>44</v>
      </c>
      <c r="D343" s="7">
        <v>159500</v>
      </c>
    </row>
    <row r="344" spans="1:4" x14ac:dyDescent="0.2">
      <c r="A344" s="6" t="s">
        <v>4</v>
      </c>
      <c r="B344" s="6">
        <v>2011</v>
      </c>
      <c r="C344" s="6" t="s">
        <v>44</v>
      </c>
      <c r="D344" s="7">
        <v>104000</v>
      </c>
    </row>
    <row r="345" spans="1:4" x14ac:dyDescent="0.2">
      <c r="A345" s="6" t="s">
        <v>6</v>
      </c>
      <c r="B345" s="6">
        <v>2011</v>
      </c>
      <c r="C345" s="6" t="s">
        <v>44</v>
      </c>
      <c r="D345" s="7">
        <v>68100</v>
      </c>
    </row>
    <row r="346" spans="1:4" x14ac:dyDescent="0.2">
      <c r="A346" s="6" t="s">
        <v>7</v>
      </c>
      <c r="B346" s="6">
        <v>2011</v>
      </c>
      <c r="C346" s="6" t="s">
        <v>44</v>
      </c>
      <c r="D346" s="7">
        <v>64900.000000000007</v>
      </c>
    </row>
    <row r="347" spans="1:4" x14ac:dyDescent="0.2">
      <c r="A347" s="6" t="s">
        <v>8</v>
      </c>
      <c r="B347" s="6">
        <v>2011</v>
      </c>
      <c r="C347" s="6" t="s">
        <v>44</v>
      </c>
      <c r="D347" s="7">
        <v>54300</v>
      </c>
    </row>
    <row r="348" spans="1:4" x14ac:dyDescent="0.2">
      <c r="A348" s="6" t="s">
        <v>9</v>
      </c>
      <c r="B348" s="6">
        <v>2011</v>
      </c>
      <c r="C348" s="6" t="s">
        <v>44</v>
      </c>
      <c r="D348" s="7">
        <v>122400</v>
      </c>
    </row>
    <row r="349" spans="1:4" x14ac:dyDescent="0.2">
      <c r="A349" s="6" t="s">
        <v>10</v>
      </c>
      <c r="B349" s="6">
        <v>2011</v>
      </c>
      <c r="C349" s="6" t="s">
        <v>44</v>
      </c>
      <c r="D349" s="7">
        <v>54900</v>
      </c>
    </row>
    <row r="350" spans="1:4" x14ac:dyDescent="0.2">
      <c r="A350" s="6" t="s">
        <v>11</v>
      </c>
      <c r="B350" s="6">
        <v>2011</v>
      </c>
      <c r="C350" s="6" t="s">
        <v>44</v>
      </c>
      <c r="D350" s="7">
        <v>37600</v>
      </c>
    </row>
    <row r="351" spans="1:4" x14ac:dyDescent="0.2">
      <c r="A351" s="6" t="s">
        <v>12</v>
      </c>
      <c r="B351" s="6">
        <v>2011</v>
      </c>
      <c r="C351" s="6" t="s">
        <v>44</v>
      </c>
      <c r="D351" s="7">
        <v>37300</v>
      </c>
    </row>
    <row r="352" spans="1:4" x14ac:dyDescent="0.2">
      <c r="A352" s="6" t="s">
        <v>13</v>
      </c>
      <c r="B352" s="6">
        <v>2011</v>
      </c>
      <c r="C352" s="6" t="s">
        <v>44</v>
      </c>
      <c r="D352" s="7">
        <v>45800</v>
      </c>
    </row>
    <row r="353" spans="1:4" x14ac:dyDescent="0.2">
      <c r="A353" s="6" t="s">
        <v>14</v>
      </c>
      <c r="B353" s="6">
        <v>2011</v>
      </c>
      <c r="C353" s="6" t="s">
        <v>44</v>
      </c>
      <c r="D353" s="7">
        <v>43300</v>
      </c>
    </row>
    <row r="354" spans="1:4" x14ac:dyDescent="0.2">
      <c r="A354" s="6" t="s">
        <v>15</v>
      </c>
      <c r="B354" s="6">
        <v>2011</v>
      </c>
      <c r="C354" s="6" t="s">
        <v>44</v>
      </c>
      <c r="D354" s="7">
        <v>63000</v>
      </c>
    </row>
    <row r="355" spans="1:4" x14ac:dyDescent="0.2">
      <c r="A355" s="6" t="s">
        <v>16</v>
      </c>
      <c r="B355" s="6">
        <v>2011</v>
      </c>
      <c r="C355" s="6" t="s">
        <v>44</v>
      </c>
      <c r="D355" s="7">
        <v>81500</v>
      </c>
    </row>
    <row r="356" spans="1:4" x14ac:dyDescent="0.2">
      <c r="A356" s="6" t="s">
        <v>17</v>
      </c>
      <c r="B356" s="6">
        <v>2011</v>
      </c>
      <c r="C356" s="6" t="s">
        <v>44</v>
      </c>
      <c r="D356" s="7">
        <v>116600</v>
      </c>
    </row>
    <row r="357" spans="1:4" x14ac:dyDescent="0.2">
      <c r="A357" s="6" t="s">
        <v>18</v>
      </c>
      <c r="B357" s="6">
        <v>2011</v>
      </c>
      <c r="C357" s="6" t="s">
        <v>44</v>
      </c>
      <c r="D357" s="7">
        <v>13000</v>
      </c>
    </row>
    <row r="358" spans="1:4" x14ac:dyDescent="0.2">
      <c r="A358" s="6" t="s">
        <v>19</v>
      </c>
      <c r="B358" s="6">
        <v>2011</v>
      </c>
      <c r="C358" s="6" t="s">
        <v>44</v>
      </c>
      <c r="D358" s="7">
        <v>37300</v>
      </c>
    </row>
    <row r="359" spans="1:4" x14ac:dyDescent="0.2">
      <c r="A359" s="6" t="s">
        <v>20</v>
      </c>
      <c r="B359" s="6">
        <v>2011</v>
      </c>
      <c r="C359" s="6" t="s">
        <v>44</v>
      </c>
      <c r="D359" s="7">
        <v>94100</v>
      </c>
    </row>
    <row r="360" spans="1:4" x14ac:dyDescent="0.2">
      <c r="A360" s="6" t="s">
        <v>21</v>
      </c>
      <c r="B360" s="6">
        <v>2011</v>
      </c>
      <c r="C360" s="6" t="s">
        <v>44</v>
      </c>
      <c r="D360" s="7">
        <v>28300</v>
      </c>
    </row>
    <row r="361" spans="1:4" x14ac:dyDescent="0.2">
      <c r="A361" s="6" t="s">
        <v>22</v>
      </c>
      <c r="B361" s="6">
        <v>2011</v>
      </c>
      <c r="C361" s="6" t="s">
        <v>44</v>
      </c>
      <c r="D361" s="7">
        <v>31500</v>
      </c>
    </row>
    <row r="362" spans="1:4" x14ac:dyDescent="0.2">
      <c r="A362" s="6" t="s">
        <v>23</v>
      </c>
      <c r="B362" s="6">
        <v>2011</v>
      </c>
      <c r="C362" s="6" t="s">
        <v>44</v>
      </c>
      <c r="D362" s="7">
        <v>76400</v>
      </c>
    </row>
    <row r="363" spans="1:4" x14ac:dyDescent="0.2">
      <c r="A363" s="6" t="s">
        <v>24</v>
      </c>
      <c r="B363" s="6">
        <v>2011</v>
      </c>
      <c r="C363" s="6" t="s">
        <v>44</v>
      </c>
      <c r="D363" s="7">
        <v>39500</v>
      </c>
    </row>
    <row r="364" spans="1:4" x14ac:dyDescent="0.2">
      <c r="A364" s="6" t="s">
        <v>25</v>
      </c>
      <c r="B364" s="6">
        <v>2011</v>
      </c>
      <c r="C364" s="6" t="s">
        <v>44</v>
      </c>
      <c r="D364" s="7">
        <v>51200</v>
      </c>
    </row>
    <row r="365" spans="1:4" x14ac:dyDescent="0.2">
      <c r="A365" s="6" t="s">
        <v>26</v>
      </c>
      <c r="B365" s="6">
        <v>2011</v>
      </c>
      <c r="C365" s="6" t="s">
        <v>44</v>
      </c>
      <c r="D365" s="7">
        <v>48700</v>
      </c>
    </row>
    <row r="366" spans="1:4" x14ac:dyDescent="0.2">
      <c r="A366" s="6" t="s">
        <v>27</v>
      </c>
      <c r="B366" s="6">
        <v>2011</v>
      </c>
      <c r="C366" s="6" t="s">
        <v>44</v>
      </c>
      <c r="D366" s="7">
        <v>88200</v>
      </c>
    </row>
    <row r="367" spans="1:4" x14ac:dyDescent="0.2">
      <c r="A367" s="6" t="s">
        <v>28</v>
      </c>
      <c r="B367" s="6">
        <v>2011</v>
      </c>
      <c r="C367" s="6" t="s">
        <v>44</v>
      </c>
      <c r="D367" s="7">
        <v>139000</v>
      </c>
    </row>
    <row r="368" spans="1:4" x14ac:dyDescent="0.2">
      <c r="A368" s="6" t="s">
        <v>29</v>
      </c>
      <c r="B368" s="6">
        <v>2011</v>
      </c>
      <c r="C368" s="6" t="s">
        <v>44</v>
      </c>
      <c r="D368" s="7">
        <v>104900</v>
      </c>
    </row>
    <row r="369" spans="1:4" x14ac:dyDescent="0.2">
      <c r="A369" s="6" t="s">
        <v>30</v>
      </c>
      <c r="B369" s="6">
        <v>2011</v>
      </c>
      <c r="C369" s="6" t="s">
        <v>44</v>
      </c>
      <c r="D369" s="7">
        <v>84700</v>
      </c>
    </row>
    <row r="370" spans="1:4" x14ac:dyDescent="0.2">
      <c r="A370" s="6" t="s">
        <v>31</v>
      </c>
      <c r="B370" s="6">
        <v>2011</v>
      </c>
      <c r="C370" s="6" t="s">
        <v>44</v>
      </c>
      <c r="D370" s="7">
        <v>67000</v>
      </c>
    </row>
    <row r="371" spans="1:4" x14ac:dyDescent="0.2">
      <c r="A371" s="6" t="s">
        <v>32</v>
      </c>
      <c r="B371" s="6">
        <v>2011</v>
      </c>
      <c r="C371" s="6" t="s">
        <v>44</v>
      </c>
      <c r="D371" s="7">
        <v>91200</v>
      </c>
    </row>
    <row r="372" spans="1:4" x14ac:dyDescent="0.2">
      <c r="A372" s="6" t="s">
        <v>33</v>
      </c>
      <c r="B372" s="6">
        <v>2011</v>
      </c>
      <c r="C372" s="6" t="s">
        <v>44</v>
      </c>
      <c r="D372" s="7">
        <v>54500</v>
      </c>
    </row>
    <row r="373" spans="1:4" x14ac:dyDescent="0.2">
      <c r="A373" s="6" t="s">
        <v>34</v>
      </c>
      <c r="B373" s="6">
        <v>2011</v>
      </c>
      <c r="C373" s="6" t="s">
        <v>44</v>
      </c>
      <c r="D373" s="7">
        <v>21200</v>
      </c>
    </row>
    <row r="374" spans="1:4" x14ac:dyDescent="0.2">
      <c r="A374" s="6" t="s">
        <v>35</v>
      </c>
      <c r="B374" s="6">
        <v>2011</v>
      </c>
      <c r="C374" s="6" t="s">
        <v>44</v>
      </c>
      <c r="D374" s="7">
        <v>57400</v>
      </c>
    </row>
    <row r="375" spans="1:4" x14ac:dyDescent="0.2">
      <c r="A375" s="6" t="s">
        <v>36</v>
      </c>
      <c r="B375" s="6">
        <v>2011</v>
      </c>
      <c r="C375" s="6" t="s">
        <v>44</v>
      </c>
      <c r="D375" s="7">
        <v>27900</v>
      </c>
    </row>
    <row r="376" spans="1:4" x14ac:dyDescent="0.2">
      <c r="A376" s="6" t="s">
        <v>37</v>
      </c>
      <c r="B376" s="6">
        <v>2011</v>
      </c>
      <c r="C376" s="6" t="s">
        <v>44</v>
      </c>
      <c r="D376" s="7">
        <v>63900</v>
      </c>
    </row>
    <row r="377" spans="1:4" x14ac:dyDescent="0.2">
      <c r="A377" s="6" t="s">
        <v>38</v>
      </c>
      <c r="B377" s="6">
        <v>2011</v>
      </c>
      <c r="C377" s="6" t="s">
        <v>44</v>
      </c>
      <c r="D377" s="7">
        <v>70600</v>
      </c>
    </row>
    <row r="378" spans="1:4" x14ac:dyDescent="0.2">
      <c r="A378" s="6" t="s">
        <v>39</v>
      </c>
      <c r="B378" s="6">
        <v>2011</v>
      </c>
      <c r="C378" s="6" t="s">
        <v>44</v>
      </c>
      <c r="D378" s="7">
        <v>44000</v>
      </c>
    </row>
    <row r="379" spans="1:4" x14ac:dyDescent="0.2">
      <c r="A379" s="6" t="s">
        <v>40</v>
      </c>
      <c r="B379" s="6">
        <v>2011</v>
      </c>
      <c r="C379" s="6" t="s">
        <v>44</v>
      </c>
      <c r="D379" s="7">
        <v>109000</v>
      </c>
    </row>
    <row r="380" spans="1:4" x14ac:dyDescent="0.2">
      <c r="A380" s="6" t="s">
        <v>41</v>
      </c>
      <c r="B380" s="6">
        <v>2011</v>
      </c>
      <c r="C380" s="6" t="s">
        <v>44</v>
      </c>
      <c r="D380" s="7">
        <v>85300</v>
      </c>
    </row>
    <row r="381" spans="1:4" x14ac:dyDescent="0.2">
      <c r="A381" s="6" t="s">
        <v>42</v>
      </c>
      <c r="B381" s="6">
        <v>2011</v>
      </c>
      <c r="C381" s="6" t="s">
        <v>44</v>
      </c>
      <c r="D381" s="7">
        <v>105400</v>
      </c>
    </row>
    <row r="382" spans="1:4" x14ac:dyDescent="0.2">
      <c r="A382" s="6" t="s">
        <v>4</v>
      </c>
      <c r="B382" s="6">
        <v>2012</v>
      </c>
      <c r="C382" s="6" t="s">
        <v>44</v>
      </c>
      <c r="D382" s="7">
        <v>116000</v>
      </c>
    </row>
    <row r="383" spans="1:4" x14ac:dyDescent="0.2">
      <c r="A383" s="6" t="s">
        <v>6</v>
      </c>
      <c r="B383" s="6">
        <v>2012</v>
      </c>
      <c r="C383" s="6" t="s">
        <v>44</v>
      </c>
      <c r="D383" s="7">
        <v>68100</v>
      </c>
    </row>
    <row r="384" spans="1:4" x14ac:dyDescent="0.2">
      <c r="A384" s="6" t="s">
        <v>7</v>
      </c>
      <c r="B384" s="6">
        <v>2012</v>
      </c>
      <c r="C384" s="6" t="s">
        <v>44</v>
      </c>
      <c r="D384" s="7">
        <v>69300</v>
      </c>
    </row>
    <row r="385" spans="1:4" x14ac:dyDescent="0.2">
      <c r="A385" s="6" t="s">
        <v>8</v>
      </c>
      <c r="B385" s="6">
        <v>2012</v>
      </c>
      <c r="C385" s="6" t="s">
        <v>44</v>
      </c>
      <c r="D385" s="7">
        <v>53700</v>
      </c>
    </row>
    <row r="386" spans="1:4" x14ac:dyDescent="0.2">
      <c r="A386" s="6" t="s">
        <v>9</v>
      </c>
      <c r="B386" s="6">
        <v>2012</v>
      </c>
      <c r="C386" s="6" t="s">
        <v>44</v>
      </c>
      <c r="D386" s="7">
        <v>130699.99999999999</v>
      </c>
    </row>
    <row r="387" spans="1:4" x14ac:dyDescent="0.2">
      <c r="A387" s="6" t="s">
        <v>10</v>
      </c>
      <c r="B387" s="6">
        <v>2012</v>
      </c>
      <c r="C387" s="6" t="s">
        <v>44</v>
      </c>
      <c r="D387" s="7">
        <v>56500</v>
      </c>
    </row>
    <row r="388" spans="1:4" x14ac:dyDescent="0.2">
      <c r="A388" s="6" t="s">
        <v>11</v>
      </c>
      <c r="B388" s="6">
        <v>2012</v>
      </c>
      <c r="C388" s="6" t="s">
        <v>44</v>
      </c>
      <c r="D388" s="7">
        <v>36700</v>
      </c>
    </row>
    <row r="389" spans="1:4" x14ac:dyDescent="0.2">
      <c r="A389" s="6" t="s">
        <v>12</v>
      </c>
      <c r="B389" s="6">
        <v>2012</v>
      </c>
      <c r="C389" s="6" t="s">
        <v>44</v>
      </c>
      <c r="D389" s="7">
        <v>34700</v>
      </c>
    </row>
    <row r="390" spans="1:4" x14ac:dyDescent="0.2">
      <c r="A390" s="6" t="s">
        <v>13</v>
      </c>
      <c r="B390" s="6">
        <v>2012</v>
      </c>
      <c r="C390" s="6" t="s">
        <v>44</v>
      </c>
      <c r="D390" s="7">
        <v>46600</v>
      </c>
    </row>
    <row r="391" spans="1:4" x14ac:dyDescent="0.2">
      <c r="A391" s="6" t="s">
        <v>14</v>
      </c>
      <c r="B391" s="6">
        <v>2012</v>
      </c>
      <c r="C391" s="6" t="s">
        <v>44</v>
      </c>
      <c r="D391" s="7">
        <v>44400</v>
      </c>
    </row>
    <row r="392" spans="1:4" x14ac:dyDescent="0.2">
      <c r="A392" s="6" t="s">
        <v>15</v>
      </c>
      <c r="B392" s="6">
        <v>2012</v>
      </c>
      <c r="C392" s="6" t="s">
        <v>44</v>
      </c>
      <c r="D392" s="7">
        <v>63100</v>
      </c>
    </row>
    <row r="393" spans="1:4" x14ac:dyDescent="0.2">
      <c r="A393" s="6" t="s">
        <v>16</v>
      </c>
      <c r="B393" s="6">
        <v>2012</v>
      </c>
      <c r="C393" s="6" t="s">
        <v>44</v>
      </c>
      <c r="D393" s="7">
        <v>88600</v>
      </c>
    </row>
    <row r="394" spans="1:4" x14ac:dyDescent="0.2">
      <c r="A394" s="6" t="s">
        <v>17</v>
      </c>
      <c r="B394" s="6">
        <v>2012</v>
      </c>
      <c r="C394" s="6" t="s">
        <v>44</v>
      </c>
      <c r="D394" s="7">
        <v>113500</v>
      </c>
    </row>
    <row r="395" spans="1:4" x14ac:dyDescent="0.2">
      <c r="A395" s="6" t="s">
        <v>18</v>
      </c>
      <c r="B395" s="6">
        <v>2012</v>
      </c>
      <c r="C395" s="6" t="s">
        <v>44</v>
      </c>
      <c r="D395" s="7">
        <v>13200</v>
      </c>
    </row>
    <row r="396" spans="1:4" x14ac:dyDescent="0.2">
      <c r="A396" s="6" t="s">
        <v>19</v>
      </c>
      <c r="B396" s="6">
        <v>2012</v>
      </c>
      <c r="C396" s="6" t="s">
        <v>44</v>
      </c>
      <c r="D396" s="7">
        <v>37900</v>
      </c>
    </row>
    <row r="397" spans="1:4" x14ac:dyDescent="0.2">
      <c r="A397" s="6" t="s">
        <v>20</v>
      </c>
      <c r="B397" s="6">
        <v>2012</v>
      </c>
      <c r="C397" s="6" t="s">
        <v>44</v>
      </c>
      <c r="D397" s="7">
        <v>91200</v>
      </c>
    </row>
    <row r="398" spans="1:4" x14ac:dyDescent="0.2">
      <c r="A398" s="6" t="s">
        <v>21</v>
      </c>
      <c r="B398" s="6">
        <v>2012</v>
      </c>
      <c r="C398" s="6" t="s">
        <v>44</v>
      </c>
      <c r="D398" s="7">
        <v>31300</v>
      </c>
    </row>
    <row r="399" spans="1:4" x14ac:dyDescent="0.2">
      <c r="A399" s="6" t="s">
        <v>22</v>
      </c>
      <c r="B399" s="6">
        <v>2012</v>
      </c>
      <c r="C399" s="6" t="s">
        <v>44</v>
      </c>
      <c r="D399" s="7">
        <v>32400</v>
      </c>
    </row>
    <row r="400" spans="1:4" x14ac:dyDescent="0.2">
      <c r="A400" s="6" t="s">
        <v>23</v>
      </c>
      <c r="B400" s="6">
        <v>2012</v>
      </c>
      <c r="C400" s="6" t="s">
        <v>44</v>
      </c>
      <c r="D400" s="7">
        <v>79800</v>
      </c>
    </row>
    <row r="401" spans="1:4" x14ac:dyDescent="0.2">
      <c r="A401" s="6" t="s">
        <v>24</v>
      </c>
      <c r="B401" s="6">
        <v>2012</v>
      </c>
      <c r="C401" s="6" t="s">
        <v>44</v>
      </c>
      <c r="D401" s="7">
        <v>33900</v>
      </c>
    </row>
    <row r="402" spans="1:4" x14ac:dyDescent="0.2">
      <c r="A402" s="6" t="s">
        <v>25</v>
      </c>
      <c r="B402" s="6">
        <v>2012</v>
      </c>
      <c r="C402" s="6" t="s">
        <v>44</v>
      </c>
      <c r="D402" s="7">
        <v>57600</v>
      </c>
    </row>
    <row r="403" spans="1:4" x14ac:dyDescent="0.2">
      <c r="A403" s="6" t="s">
        <v>26</v>
      </c>
      <c r="B403" s="6">
        <v>2012</v>
      </c>
      <c r="C403" s="6" t="s">
        <v>44</v>
      </c>
      <c r="D403" s="7">
        <v>55200</v>
      </c>
    </row>
    <row r="404" spans="1:4" x14ac:dyDescent="0.2">
      <c r="A404" s="6" t="s">
        <v>27</v>
      </c>
      <c r="B404" s="6">
        <v>2012</v>
      </c>
      <c r="C404" s="6" t="s">
        <v>44</v>
      </c>
      <c r="D404" s="7">
        <v>91900</v>
      </c>
    </row>
    <row r="405" spans="1:4" x14ac:dyDescent="0.2">
      <c r="A405" s="6" t="s">
        <v>28</v>
      </c>
      <c r="B405" s="6">
        <v>2012</v>
      </c>
      <c r="C405" s="6" t="s">
        <v>44</v>
      </c>
      <c r="D405" s="7">
        <v>136200</v>
      </c>
    </row>
    <row r="406" spans="1:4" x14ac:dyDescent="0.2">
      <c r="A406" s="6" t="s">
        <v>29</v>
      </c>
      <c r="B406" s="6">
        <v>2012</v>
      </c>
      <c r="C406" s="6" t="s">
        <v>44</v>
      </c>
      <c r="D406" s="7">
        <v>106300</v>
      </c>
    </row>
    <row r="407" spans="1:4" x14ac:dyDescent="0.2">
      <c r="A407" s="6" t="s">
        <v>30</v>
      </c>
      <c r="B407" s="6">
        <v>2012</v>
      </c>
      <c r="C407" s="6" t="s">
        <v>44</v>
      </c>
      <c r="D407" s="7">
        <v>91000</v>
      </c>
    </row>
    <row r="408" spans="1:4" x14ac:dyDescent="0.2">
      <c r="A408" s="6" t="s">
        <v>31</v>
      </c>
      <c r="B408" s="6">
        <v>2012</v>
      </c>
      <c r="C408" s="6" t="s">
        <v>44</v>
      </c>
      <c r="D408" s="7">
        <v>62800</v>
      </c>
    </row>
    <row r="409" spans="1:4" x14ac:dyDescent="0.2">
      <c r="A409" s="6" t="s">
        <v>32</v>
      </c>
      <c r="B409" s="6">
        <v>2012</v>
      </c>
      <c r="C409" s="6" t="s">
        <v>44</v>
      </c>
      <c r="D409" s="7">
        <v>89200</v>
      </c>
    </row>
    <row r="410" spans="1:4" x14ac:dyDescent="0.2">
      <c r="A410" s="6" t="s">
        <v>33</v>
      </c>
      <c r="B410" s="6">
        <v>2012</v>
      </c>
      <c r="C410" s="6" t="s">
        <v>44</v>
      </c>
      <c r="D410" s="7">
        <v>50700</v>
      </c>
    </row>
    <row r="411" spans="1:4" x14ac:dyDescent="0.2">
      <c r="A411" s="6" t="s">
        <v>34</v>
      </c>
      <c r="B411" s="6">
        <v>2012</v>
      </c>
      <c r="C411" s="6" t="s">
        <v>44</v>
      </c>
      <c r="D411" s="7">
        <v>22100</v>
      </c>
    </row>
    <row r="412" spans="1:4" x14ac:dyDescent="0.2">
      <c r="A412" s="6" t="s">
        <v>35</v>
      </c>
      <c r="B412" s="6">
        <v>2012</v>
      </c>
      <c r="C412" s="6" t="s">
        <v>44</v>
      </c>
      <c r="D412" s="7">
        <v>58400</v>
      </c>
    </row>
    <row r="413" spans="1:4" x14ac:dyDescent="0.2">
      <c r="A413" s="6" t="s">
        <v>36</v>
      </c>
      <c r="B413" s="6">
        <v>2012</v>
      </c>
      <c r="C413" s="6" t="s">
        <v>44</v>
      </c>
      <c r="D413" s="7">
        <v>29700</v>
      </c>
    </row>
    <row r="414" spans="1:4" x14ac:dyDescent="0.2">
      <c r="A414" s="6" t="s">
        <v>37</v>
      </c>
      <c r="B414" s="6">
        <v>2012</v>
      </c>
      <c r="C414" s="6" t="s">
        <v>44</v>
      </c>
      <c r="D414" s="7">
        <v>64800</v>
      </c>
    </row>
    <row r="415" spans="1:4" x14ac:dyDescent="0.2">
      <c r="A415" s="6" t="s">
        <v>38</v>
      </c>
      <c r="B415" s="6">
        <v>2012</v>
      </c>
      <c r="C415" s="6" t="s">
        <v>44</v>
      </c>
      <c r="D415" s="7">
        <v>68600</v>
      </c>
    </row>
    <row r="416" spans="1:4" x14ac:dyDescent="0.2">
      <c r="A416" s="6" t="s">
        <v>39</v>
      </c>
      <c r="B416" s="6">
        <v>2012</v>
      </c>
      <c r="C416" s="6" t="s">
        <v>44</v>
      </c>
      <c r="D416" s="7">
        <v>41400</v>
      </c>
    </row>
    <row r="417" spans="1:4" x14ac:dyDescent="0.2">
      <c r="A417" s="6" t="s">
        <v>40</v>
      </c>
      <c r="B417" s="6">
        <v>2012</v>
      </c>
      <c r="C417" s="6" t="s">
        <v>44</v>
      </c>
      <c r="D417" s="7">
        <v>111700</v>
      </c>
    </row>
    <row r="418" spans="1:4" x14ac:dyDescent="0.2">
      <c r="A418" s="6" t="s">
        <v>41</v>
      </c>
      <c r="B418" s="6">
        <v>2012</v>
      </c>
      <c r="C418" s="6" t="s">
        <v>44</v>
      </c>
      <c r="D418" s="7">
        <v>89800</v>
      </c>
    </row>
    <row r="419" spans="1:4" x14ac:dyDescent="0.2">
      <c r="A419" s="6" t="s">
        <v>42</v>
      </c>
      <c r="B419" s="6">
        <v>2012</v>
      </c>
      <c r="C419" s="6" t="s">
        <v>44</v>
      </c>
      <c r="D419" s="7">
        <v>104000</v>
      </c>
    </row>
    <row r="420" spans="1:4" x14ac:dyDescent="0.2">
      <c r="A420" s="6" t="s">
        <v>4</v>
      </c>
      <c r="B420" s="6">
        <v>2019</v>
      </c>
      <c r="C420" s="6" t="s">
        <v>44</v>
      </c>
      <c r="D420" s="7">
        <v>131600</v>
      </c>
    </row>
    <row r="421" spans="1:4" x14ac:dyDescent="0.2">
      <c r="A421" s="6" t="s">
        <v>6</v>
      </c>
      <c r="B421" s="6">
        <v>2019</v>
      </c>
      <c r="C421" s="6" t="s">
        <v>44</v>
      </c>
      <c r="D421" s="7">
        <v>84100</v>
      </c>
    </row>
    <row r="422" spans="1:4" x14ac:dyDescent="0.2">
      <c r="A422" s="6" t="s">
        <v>7</v>
      </c>
      <c r="B422" s="6">
        <v>2019</v>
      </c>
      <c r="C422" s="6" t="s">
        <v>44</v>
      </c>
      <c r="D422" s="7">
        <v>78600</v>
      </c>
    </row>
    <row r="423" spans="1:4" x14ac:dyDescent="0.2">
      <c r="A423" s="6" t="s">
        <v>8</v>
      </c>
      <c r="B423" s="6">
        <v>2019</v>
      </c>
      <c r="C423" s="6" t="s">
        <v>44</v>
      </c>
      <c r="D423" s="7">
        <v>60100</v>
      </c>
    </row>
    <row r="424" spans="1:4" x14ac:dyDescent="0.2">
      <c r="A424" s="6" t="s">
        <v>9</v>
      </c>
      <c r="B424" s="6">
        <v>2019</v>
      </c>
      <c r="C424" s="6" t="s">
        <v>44</v>
      </c>
      <c r="D424" s="7">
        <v>152400</v>
      </c>
    </row>
    <row r="425" spans="1:4" x14ac:dyDescent="0.2">
      <c r="A425" s="6" t="s">
        <v>10</v>
      </c>
      <c r="B425" s="6">
        <v>2019</v>
      </c>
      <c r="C425" s="6" t="s">
        <v>44</v>
      </c>
      <c r="D425" s="7">
        <v>67800</v>
      </c>
    </row>
    <row r="426" spans="1:4" x14ac:dyDescent="0.2">
      <c r="A426" s="6" t="s">
        <v>11</v>
      </c>
      <c r="B426" s="6">
        <v>2019</v>
      </c>
      <c r="C426" s="6" t="s">
        <v>44</v>
      </c>
      <c r="D426" s="7">
        <v>46100</v>
      </c>
    </row>
    <row r="427" spans="1:4" x14ac:dyDescent="0.2">
      <c r="A427" s="6" t="s">
        <v>12</v>
      </c>
      <c r="B427" s="6">
        <v>2019</v>
      </c>
      <c r="C427" s="6" t="s">
        <v>44</v>
      </c>
      <c r="D427" s="7">
        <v>32800</v>
      </c>
    </row>
    <row r="428" spans="1:4" x14ac:dyDescent="0.2">
      <c r="A428" s="6" t="s">
        <v>13</v>
      </c>
      <c r="B428" s="6">
        <v>2019</v>
      </c>
      <c r="C428" s="6" t="s">
        <v>44</v>
      </c>
      <c r="D428" s="7">
        <v>60800</v>
      </c>
    </row>
    <row r="429" spans="1:4" x14ac:dyDescent="0.2">
      <c r="A429" s="6" t="s">
        <v>14</v>
      </c>
      <c r="B429" s="6">
        <v>2019</v>
      </c>
      <c r="C429" s="6" t="s">
        <v>44</v>
      </c>
      <c r="D429" s="7">
        <v>47200</v>
      </c>
    </row>
    <row r="430" spans="1:4" x14ac:dyDescent="0.2">
      <c r="A430" s="6" t="s">
        <v>15</v>
      </c>
      <c r="B430" s="6">
        <v>2019</v>
      </c>
      <c r="C430" s="6" t="s">
        <v>44</v>
      </c>
      <c r="D430" s="7">
        <v>73200</v>
      </c>
    </row>
    <row r="431" spans="1:4" x14ac:dyDescent="0.2">
      <c r="A431" s="6" t="s">
        <v>16</v>
      </c>
      <c r="B431" s="6">
        <v>2019</v>
      </c>
      <c r="C431" s="6" t="s">
        <v>44</v>
      </c>
      <c r="D431" s="7">
        <v>96300</v>
      </c>
    </row>
    <row r="432" spans="1:4" x14ac:dyDescent="0.2">
      <c r="A432" s="6" t="s">
        <v>17</v>
      </c>
      <c r="B432" s="6">
        <v>2019</v>
      </c>
      <c r="C432" s="6" t="s">
        <v>44</v>
      </c>
      <c r="D432" s="7">
        <v>111800</v>
      </c>
    </row>
    <row r="433" spans="1:4" x14ac:dyDescent="0.2">
      <c r="A433" s="6" t="s">
        <v>18</v>
      </c>
      <c r="B433" s="6">
        <v>2019</v>
      </c>
      <c r="C433" s="6" t="s">
        <v>44</v>
      </c>
      <c r="D433" s="7">
        <v>17500</v>
      </c>
    </row>
    <row r="434" spans="1:4" x14ac:dyDescent="0.2">
      <c r="A434" s="6" t="s">
        <v>19</v>
      </c>
      <c r="B434" s="6">
        <v>2019</v>
      </c>
      <c r="C434" s="6" t="s">
        <v>44</v>
      </c>
      <c r="D434" s="7">
        <v>36600</v>
      </c>
    </row>
    <row r="435" spans="1:4" x14ac:dyDescent="0.2">
      <c r="A435" s="6" t="s">
        <v>20</v>
      </c>
      <c r="B435" s="6">
        <v>2019</v>
      </c>
      <c r="C435" s="6" t="s">
        <v>44</v>
      </c>
      <c r="D435" s="7">
        <v>117800</v>
      </c>
    </row>
    <row r="436" spans="1:4" x14ac:dyDescent="0.2">
      <c r="A436" s="6" t="s">
        <v>21</v>
      </c>
      <c r="B436" s="6">
        <v>2019</v>
      </c>
      <c r="C436" s="6" t="s">
        <v>44</v>
      </c>
      <c r="D436" s="7">
        <v>33700</v>
      </c>
    </row>
    <row r="437" spans="1:4" x14ac:dyDescent="0.2">
      <c r="A437" s="6" t="s">
        <v>22</v>
      </c>
      <c r="B437" s="6">
        <v>2019</v>
      </c>
      <c r="C437" s="6" t="s">
        <v>44</v>
      </c>
      <c r="D437" s="7">
        <v>34400</v>
      </c>
    </row>
    <row r="438" spans="1:4" x14ac:dyDescent="0.2">
      <c r="A438" s="6" t="s">
        <v>23</v>
      </c>
      <c r="B438" s="6">
        <v>2019</v>
      </c>
      <c r="C438" s="6" t="s">
        <v>44</v>
      </c>
      <c r="D438" s="7">
        <v>63900</v>
      </c>
    </row>
    <row r="439" spans="1:4" x14ac:dyDescent="0.2">
      <c r="A439" s="6" t="s">
        <v>24</v>
      </c>
      <c r="B439" s="6">
        <v>2019</v>
      </c>
      <c r="C439" s="6" t="s">
        <v>44</v>
      </c>
      <c r="D439" s="7">
        <v>40900</v>
      </c>
    </row>
    <row r="440" spans="1:4" x14ac:dyDescent="0.2">
      <c r="A440" s="6" t="s">
        <v>25</v>
      </c>
      <c r="B440" s="6">
        <v>2019</v>
      </c>
      <c r="C440" s="6" t="s">
        <v>44</v>
      </c>
      <c r="D440" s="7">
        <v>62600</v>
      </c>
    </row>
    <row r="441" spans="1:4" x14ac:dyDescent="0.2">
      <c r="A441" s="6" t="s">
        <v>26</v>
      </c>
      <c r="B441" s="6">
        <v>2019</v>
      </c>
      <c r="C441" s="6" t="s">
        <v>44</v>
      </c>
      <c r="D441" s="7">
        <v>64400.000000000007</v>
      </c>
    </row>
    <row r="442" spans="1:4" x14ac:dyDescent="0.2">
      <c r="A442" s="6" t="s">
        <v>27</v>
      </c>
      <c r="B442" s="6">
        <v>2019</v>
      </c>
      <c r="C442" s="6" t="s">
        <v>44</v>
      </c>
      <c r="D442" s="7">
        <v>108100</v>
      </c>
    </row>
    <row r="443" spans="1:4" x14ac:dyDescent="0.2">
      <c r="A443" s="6" t="s">
        <v>28</v>
      </c>
      <c r="B443" s="6">
        <v>2019</v>
      </c>
      <c r="C443" s="6" t="s">
        <v>44</v>
      </c>
      <c r="D443" s="7">
        <v>146900</v>
      </c>
    </row>
    <row r="444" spans="1:4" x14ac:dyDescent="0.2">
      <c r="A444" s="6" t="s">
        <v>29</v>
      </c>
      <c r="B444" s="6">
        <v>2019</v>
      </c>
      <c r="C444" s="6" t="s">
        <v>44</v>
      </c>
      <c r="D444" s="7">
        <v>123500</v>
      </c>
    </row>
    <row r="445" spans="1:4" x14ac:dyDescent="0.2">
      <c r="A445" s="6" t="s">
        <v>30</v>
      </c>
      <c r="B445" s="6">
        <v>2019</v>
      </c>
      <c r="C445" s="6" t="s">
        <v>44</v>
      </c>
      <c r="D445" s="7">
        <v>93400</v>
      </c>
    </row>
    <row r="446" spans="1:4" x14ac:dyDescent="0.2">
      <c r="A446" s="6" t="s">
        <v>31</v>
      </c>
      <c r="B446" s="6">
        <v>2019</v>
      </c>
      <c r="C446" s="6" t="s">
        <v>44</v>
      </c>
      <c r="D446" s="7">
        <v>68600</v>
      </c>
    </row>
    <row r="447" spans="1:4" x14ac:dyDescent="0.2">
      <c r="A447" s="6" t="s">
        <v>32</v>
      </c>
      <c r="B447" s="6">
        <v>2019</v>
      </c>
      <c r="C447" s="6" t="s">
        <v>44</v>
      </c>
      <c r="D447" s="7">
        <v>100800</v>
      </c>
    </row>
    <row r="448" spans="1:4" x14ac:dyDescent="0.2">
      <c r="A448" s="6" t="s">
        <v>33</v>
      </c>
      <c r="B448" s="6">
        <v>2019</v>
      </c>
      <c r="C448" s="6" t="s">
        <v>44</v>
      </c>
      <c r="D448" s="7">
        <v>52500</v>
      </c>
    </row>
    <row r="449" spans="1:4" x14ac:dyDescent="0.2">
      <c r="A449" s="6" t="s">
        <v>34</v>
      </c>
      <c r="B449" s="6">
        <v>2019</v>
      </c>
      <c r="C449" s="6" t="s">
        <v>44</v>
      </c>
      <c r="D449" s="7">
        <v>24400</v>
      </c>
    </row>
    <row r="450" spans="1:4" x14ac:dyDescent="0.2">
      <c r="A450" s="6" t="s">
        <v>35</v>
      </c>
      <c r="B450" s="6">
        <v>2019</v>
      </c>
      <c r="C450" s="6" t="s">
        <v>44</v>
      </c>
      <c r="D450" s="7">
        <v>65300</v>
      </c>
    </row>
    <row r="451" spans="1:4" x14ac:dyDescent="0.2">
      <c r="A451" s="6" t="s">
        <v>36</v>
      </c>
      <c r="B451" s="6">
        <v>2019</v>
      </c>
      <c r="C451" s="6" t="s">
        <v>44</v>
      </c>
      <c r="D451" s="7">
        <v>26800</v>
      </c>
    </row>
    <row r="452" spans="1:4" x14ac:dyDescent="0.2">
      <c r="A452" s="6" t="s">
        <v>37</v>
      </c>
      <c r="B452" s="6">
        <v>2019</v>
      </c>
      <c r="C452" s="6" t="s">
        <v>44</v>
      </c>
      <c r="D452" s="7">
        <v>62500</v>
      </c>
    </row>
    <row r="453" spans="1:4" x14ac:dyDescent="0.2">
      <c r="A453" s="6" t="s">
        <v>38</v>
      </c>
      <c r="B453" s="6">
        <v>2019</v>
      </c>
      <c r="C453" s="6" t="s">
        <v>44</v>
      </c>
      <c r="D453" s="7">
        <v>61500</v>
      </c>
    </row>
    <row r="454" spans="1:4" x14ac:dyDescent="0.2">
      <c r="A454" s="6" t="s">
        <v>39</v>
      </c>
      <c r="B454" s="6">
        <v>2019</v>
      </c>
      <c r="C454" s="6" t="s">
        <v>44</v>
      </c>
      <c r="D454" s="7">
        <v>39800</v>
      </c>
    </row>
    <row r="455" spans="1:4" x14ac:dyDescent="0.2">
      <c r="A455" s="6" t="s">
        <v>40</v>
      </c>
      <c r="B455" s="6">
        <v>2019</v>
      </c>
      <c r="C455" s="6" t="s">
        <v>44</v>
      </c>
      <c r="D455" s="7">
        <v>93500</v>
      </c>
    </row>
    <row r="456" spans="1:4" x14ac:dyDescent="0.2">
      <c r="A456" s="6" t="s">
        <v>41</v>
      </c>
      <c r="B456" s="6">
        <v>2019</v>
      </c>
      <c r="C456" s="6" t="s">
        <v>44</v>
      </c>
      <c r="D456" s="7">
        <v>105000</v>
      </c>
    </row>
    <row r="457" spans="1:4" x14ac:dyDescent="0.2">
      <c r="A457" s="6" t="s">
        <v>42</v>
      </c>
      <c r="B457" s="6">
        <v>2019</v>
      </c>
      <c r="C457" s="6" t="s">
        <v>44</v>
      </c>
      <c r="D457" s="7">
        <v>84300</v>
      </c>
    </row>
    <row r="458" spans="1:4" x14ac:dyDescent="0.2">
      <c r="A458" s="6" t="s">
        <v>4</v>
      </c>
      <c r="B458" s="6">
        <v>1999</v>
      </c>
      <c r="C458" s="6" t="s">
        <v>45</v>
      </c>
      <c r="D458" s="7">
        <v>358700</v>
      </c>
    </row>
    <row r="459" spans="1:4" x14ac:dyDescent="0.2">
      <c r="A459" s="6" t="s">
        <v>6</v>
      </c>
      <c r="B459" s="6">
        <v>1999</v>
      </c>
      <c r="C459" s="6" t="s">
        <v>45</v>
      </c>
      <c r="D459" s="7">
        <v>237800</v>
      </c>
    </row>
    <row r="460" spans="1:4" x14ac:dyDescent="0.2">
      <c r="A460" s="6" t="s">
        <v>7</v>
      </c>
      <c r="B460" s="6">
        <v>1999</v>
      </c>
      <c r="C460" s="6" t="s">
        <v>45</v>
      </c>
      <c r="D460" s="7">
        <v>194700</v>
      </c>
    </row>
    <row r="461" spans="1:4" x14ac:dyDescent="0.2">
      <c r="A461" s="6" t="s">
        <v>8</v>
      </c>
      <c r="B461" s="6">
        <v>1999</v>
      </c>
      <c r="C461" s="6" t="s">
        <v>45</v>
      </c>
      <c r="D461" s="7">
        <v>145000</v>
      </c>
    </row>
    <row r="462" spans="1:4" x14ac:dyDescent="0.2">
      <c r="A462" s="6" t="s">
        <v>9</v>
      </c>
      <c r="B462" s="6">
        <v>1999</v>
      </c>
      <c r="C462" s="6" t="s">
        <v>45</v>
      </c>
      <c r="D462" s="7">
        <v>446700</v>
      </c>
    </row>
    <row r="463" spans="1:4" x14ac:dyDescent="0.2">
      <c r="A463" s="6" t="s">
        <v>10</v>
      </c>
      <c r="B463" s="6">
        <v>1999</v>
      </c>
      <c r="C463" s="6" t="s">
        <v>45</v>
      </c>
      <c r="D463" s="7">
        <v>117300</v>
      </c>
    </row>
    <row r="464" spans="1:4" x14ac:dyDescent="0.2">
      <c r="A464" s="6" t="s">
        <v>11</v>
      </c>
      <c r="B464" s="6">
        <v>1999</v>
      </c>
      <c r="C464" s="6" t="s">
        <v>45</v>
      </c>
      <c r="D464" s="7">
        <v>102900</v>
      </c>
    </row>
    <row r="465" spans="1:4" x14ac:dyDescent="0.2">
      <c r="A465" s="6" t="s">
        <v>12</v>
      </c>
      <c r="B465" s="6">
        <v>1999</v>
      </c>
      <c r="C465" s="6" t="s">
        <v>45</v>
      </c>
      <c r="D465" s="7">
        <v>117100</v>
      </c>
    </row>
    <row r="466" spans="1:4" x14ac:dyDescent="0.2">
      <c r="A466" s="6" t="s">
        <v>13</v>
      </c>
      <c r="B466" s="6">
        <v>1999</v>
      </c>
      <c r="C466" s="6" t="s">
        <v>45</v>
      </c>
      <c r="D466" s="7">
        <v>165200</v>
      </c>
    </row>
    <row r="467" spans="1:4" x14ac:dyDescent="0.2">
      <c r="A467" s="6" t="s">
        <v>14</v>
      </c>
      <c r="B467" s="6">
        <v>1999</v>
      </c>
      <c r="C467" s="6" t="s">
        <v>45</v>
      </c>
      <c r="D467" s="7">
        <v>128100</v>
      </c>
    </row>
    <row r="468" spans="1:4" x14ac:dyDescent="0.2">
      <c r="A468" s="6" t="s">
        <v>15</v>
      </c>
      <c r="B468" s="6">
        <v>1999</v>
      </c>
      <c r="C468" s="6" t="s">
        <v>45</v>
      </c>
      <c r="D468" s="7">
        <v>183300</v>
      </c>
    </row>
    <row r="469" spans="1:4" x14ac:dyDescent="0.2">
      <c r="A469" s="6" t="s">
        <v>16</v>
      </c>
      <c r="B469" s="6">
        <v>1999</v>
      </c>
      <c r="C469" s="6" t="s">
        <v>45</v>
      </c>
      <c r="D469" s="7">
        <v>314400</v>
      </c>
    </row>
    <row r="470" spans="1:4" x14ac:dyDescent="0.2">
      <c r="A470" s="6" t="s">
        <v>17</v>
      </c>
      <c r="B470" s="6">
        <v>1999</v>
      </c>
      <c r="C470" s="6" t="s">
        <v>45</v>
      </c>
      <c r="D470" s="7">
        <v>245700</v>
      </c>
    </row>
    <row r="471" spans="1:4" x14ac:dyDescent="0.2">
      <c r="A471" s="6" t="s">
        <v>18</v>
      </c>
      <c r="B471" s="6">
        <v>1999</v>
      </c>
      <c r="C471" s="6" t="s">
        <v>45</v>
      </c>
      <c r="D471" s="7">
        <v>83700</v>
      </c>
    </row>
    <row r="472" spans="1:4" x14ac:dyDescent="0.2">
      <c r="A472" s="6" t="s">
        <v>19</v>
      </c>
      <c r="B472" s="6">
        <v>1999</v>
      </c>
      <c r="C472" s="6" t="s">
        <v>45</v>
      </c>
      <c r="D472" s="7">
        <v>234400</v>
      </c>
    </row>
    <row r="473" spans="1:4" x14ac:dyDescent="0.2">
      <c r="A473" s="6" t="s">
        <v>20</v>
      </c>
      <c r="B473" s="6">
        <v>1999</v>
      </c>
      <c r="C473" s="6" t="s">
        <v>45</v>
      </c>
      <c r="D473" s="7">
        <v>424200</v>
      </c>
    </row>
    <row r="474" spans="1:4" x14ac:dyDescent="0.2">
      <c r="A474" s="6" t="s">
        <v>21</v>
      </c>
      <c r="B474" s="6">
        <v>1999</v>
      </c>
      <c r="C474" s="6" t="s">
        <v>45</v>
      </c>
      <c r="D474" s="7">
        <v>97400</v>
      </c>
    </row>
    <row r="475" spans="1:4" x14ac:dyDescent="0.2">
      <c r="A475" s="6" t="s">
        <v>22</v>
      </c>
      <c r="B475" s="6">
        <v>1999</v>
      </c>
      <c r="C475" s="6" t="s">
        <v>45</v>
      </c>
      <c r="D475" s="7">
        <v>125500</v>
      </c>
    </row>
    <row r="476" spans="1:4" x14ac:dyDescent="0.2">
      <c r="A476" s="6" t="s">
        <v>23</v>
      </c>
      <c r="B476" s="6">
        <v>1999</v>
      </c>
      <c r="C476" s="6" t="s">
        <v>45</v>
      </c>
      <c r="D476" s="7">
        <v>186600</v>
      </c>
    </row>
    <row r="477" spans="1:4" x14ac:dyDescent="0.2">
      <c r="A477" s="6" t="s">
        <v>24</v>
      </c>
      <c r="B477" s="6">
        <v>1999</v>
      </c>
      <c r="C477" s="6" t="s">
        <v>45</v>
      </c>
      <c r="D477" s="7">
        <v>147400</v>
      </c>
    </row>
    <row r="478" spans="1:4" x14ac:dyDescent="0.2">
      <c r="A478" s="6" t="s">
        <v>25</v>
      </c>
      <c r="B478" s="6">
        <v>1999</v>
      </c>
      <c r="C478" s="6" t="s">
        <v>45</v>
      </c>
      <c r="D478" s="7">
        <v>221500</v>
      </c>
    </row>
    <row r="479" spans="1:4" x14ac:dyDescent="0.2">
      <c r="A479" s="6" t="s">
        <v>26</v>
      </c>
      <c r="B479" s="6">
        <v>1999</v>
      </c>
      <c r="C479" s="6" t="s">
        <v>45</v>
      </c>
      <c r="D479" s="7">
        <v>182800</v>
      </c>
    </row>
    <row r="480" spans="1:4" x14ac:dyDescent="0.2">
      <c r="A480" s="6" t="s">
        <v>27</v>
      </c>
      <c r="B480" s="6">
        <v>1999</v>
      </c>
      <c r="C480" s="6" t="s">
        <v>45</v>
      </c>
      <c r="D480" s="7">
        <v>239300</v>
      </c>
    </row>
    <row r="481" spans="1:4" x14ac:dyDescent="0.2">
      <c r="A481" s="6" t="s">
        <v>28</v>
      </c>
      <c r="B481" s="6">
        <v>1999</v>
      </c>
      <c r="C481" s="6" t="s">
        <v>45</v>
      </c>
      <c r="D481" s="7">
        <v>557400</v>
      </c>
    </row>
    <row r="482" spans="1:4" x14ac:dyDescent="0.2">
      <c r="A482" s="6" t="s">
        <v>29</v>
      </c>
      <c r="B482" s="6">
        <v>1999</v>
      </c>
      <c r="C482" s="6" t="s">
        <v>45</v>
      </c>
      <c r="D482" s="7">
        <v>423500</v>
      </c>
    </row>
    <row r="483" spans="1:4" x14ac:dyDescent="0.2">
      <c r="A483" s="6" t="s">
        <v>30</v>
      </c>
      <c r="B483" s="6">
        <v>1999</v>
      </c>
      <c r="C483" s="6" t="s">
        <v>45</v>
      </c>
      <c r="D483" s="7">
        <v>251100</v>
      </c>
    </row>
    <row r="484" spans="1:4" x14ac:dyDescent="0.2">
      <c r="A484" s="6" t="s">
        <v>31</v>
      </c>
      <c r="B484" s="6">
        <v>1999</v>
      </c>
      <c r="C484" s="6" t="s">
        <v>45</v>
      </c>
      <c r="D484" s="7">
        <v>191900</v>
      </c>
    </row>
    <row r="485" spans="1:4" x14ac:dyDescent="0.2">
      <c r="A485" s="6" t="s">
        <v>32</v>
      </c>
      <c r="B485" s="6">
        <v>1999</v>
      </c>
      <c r="C485" s="6" t="s">
        <v>45</v>
      </c>
      <c r="D485" s="7">
        <v>363300</v>
      </c>
    </row>
    <row r="486" spans="1:4" x14ac:dyDescent="0.2">
      <c r="A486" s="6" t="s">
        <v>33</v>
      </c>
      <c r="B486" s="6">
        <v>1999</v>
      </c>
      <c r="C486" s="6" t="s">
        <v>45</v>
      </c>
      <c r="D486" s="7">
        <v>142200</v>
      </c>
    </row>
    <row r="487" spans="1:4" x14ac:dyDescent="0.2">
      <c r="A487" s="6" t="s">
        <v>34</v>
      </c>
      <c r="B487" s="6">
        <v>1999</v>
      </c>
      <c r="C487" s="6" t="s">
        <v>45</v>
      </c>
      <c r="D487" s="7">
        <v>49000</v>
      </c>
    </row>
    <row r="488" spans="1:4" x14ac:dyDescent="0.2">
      <c r="A488" s="6" t="s">
        <v>35</v>
      </c>
      <c r="B488" s="6">
        <v>1999</v>
      </c>
      <c r="C488" s="6" t="s">
        <v>45</v>
      </c>
      <c r="D488" s="7">
        <v>197900</v>
      </c>
    </row>
    <row r="489" spans="1:4" x14ac:dyDescent="0.2">
      <c r="A489" s="6" t="s">
        <v>36</v>
      </c>
      <c r="B489" s="6">
        <v>1999</v>
      </c>
      <c r="C489" s="6" t="s">
        <v>45</v>
      </c>
      <c r="D489" s="7">
        <v>100500</v>
      </c>
    </row>
    <row r="490" spans="1:4" x14ac:dyDescent="0.2">
      <c r="A490" s="6" t="s">
        <v>37</v>
      </c>
      <c r="B490" s="6">
        <v>1999</v>
      </c>
      <c r="C490" s="6" t="s">
        <v>45</v>
      </c>
      <c r="D490" s="7">
        <v>0</v>
      </c>
    </row>
    <row r="491" spans="1:4" x14ac:dyDescent="0.2">
      <c r="A491" s="6" t="s">
        <v>38</v>
      </c>
      <c r="B491" s="6">
        <v>1999</v>
      </c>
      <c r="C491" s="6" t="s">
        <v>45</v>
      </c>
      <c r="D491" s="7">
        <v>0</v>
      </c>
    </row>
    <row r="492" spans="1:4" x14ac:dyDescent="0.2">
      <c r="A492" s="6" t="s">
        <v>39</v>
      </c>
      <c r="B492" s="6">
        <v>1999</v>
      </c>
      <c r="C492" s="6" t="s">
        <v>45</v>
      </c>
      <c r="D492" s="7">
        <v>0</v>
      </c>
    </row>
    <row r="493" spans="1:4" x14ac:dyDescent="0.2">
      <c r="A493" s="6" t="s">
        <v>40</v>
      </c>
      <c r="B493" s="6">
        <v>1999</v>
      </c>
      <c r="C493" s="6" t="s">
        <v>45</v>
      </c>
      <c r="D493" s="7">
        <v>252500</v>
      </c>
    </row>
    <row r="494" spans="1:4" x14ac:dyDescent="0.2">
      <c r="A494" s="6" t="s">
        <v>41</v>
      </c>
      <c r="B494" s="6">
        <v>1999</v>
      </c>
      <c r="C494" s="6" t="s">
        <v>45</v>
      </c>
      <c r="D494" s="7">
        <v>325100</v>
      </c>
    </row>
    <row r="495" spans="1:4" x14ac:dyDescent="0.2">
      <c r="A495" s="6" t="s">
        <v>42</v>
      </c>
      <c r="B495" s="6">
        <v>1999</v>
      </c>
      <c r="C495" s="6" t="s">
        <v>45</v>
      </c>
      <c r="D495" s="7">
        <v>218800</v>
      </c>
    </row>
    <row r="496" spans="1:4" x14ac:dyDescent="0.2">
      <c r="A496" s="6" t="s">
        <v>4</v>
      </c>
      <c r="B496" s="6">
        <v>2011</v>
      </c>
      <c r="C496" s="6" t="s">
        <v>45</v>
      </c>
      <c r="D496" s="7">
        <v>435400.00000000006</v>
      </c>
    </row>
    <row r="497" spans="1:4" x14ac:dyDescent="0.2">
      <c r="A497" s="6" t="s">
        <v>6</v>
      </c>
      <c r="B497" s="6">
        <v>2011</v>
      </c>
      <c r="C497" s="6" t="s">
        <v>45</v>
      </c>
      <c r="D497" s="7">
        <v>307500</v>
      </c>
    </row>
    <row r="498" spans="1:4" x14ac:dyDescent="0.2">
      <c r="A498" s="6" t="s">
        <v>7</v>
      </c>
      <c r="B498" s="6">
        <v>2011</v>
      </c>
      <c r="C498" s="6" t="s">
        <v>45</v>
      </c>
      <c r="D498" s="7">
        <v>264600</v>
      </c>
    </row>
    <row r="499" spans="1:4" x14ac:dyDescent="0.2">
      <c r="A499" s="6" t="s">
        <v>8</v>
      </c>
      <c r="B499" s="6">
        <v>2011</v>
      </c>
      <c r="C499" s="6" t="s">
        <v>45</v>
      </c>
      <c r="D499" s="7">
        <v>182900</v>
      </c>
    </row>
    <row r="500" spans="1:4" x14ac:dyDescent="0.2">
      <c r="A500" s="6" t="s">
        <v>9</v>
      </c>
      <c r="B500" s="6">
        <v>2011</v>
      </c>
      <c r="C500" s="6" t="s">
        <v>45</v>
      </c>
      <c r="D500" s="7">
        <v>583300</v>
      </c>
    </row>
    <row r="501" spans="1:4" x14ac:dyDescent="0.2">
      <c r="A501" s="6" t="s">
        <v>10</v>
      </c>
      <c r="B501" s="6">
        <v>2011</v>
      </c>
      <c r="C501" s="6" t="s">
        <v>45</v>
      </c>
      <c r="D501" s="7">
        <v>136600</v>
      </c>
    </row>
    <row r="502" spans="1:4" x14ac:dyDescent="0.2">
      <c r="A502" s="6" t="s">
        <v>11</v>
      </c>
      <c r="B502" s="6">
        <v>2011</v>
      </c>
      <c r="C502" s="6" t="s">
        <v>45</v>
      </c>
      <c r="D502" s="7">
        <v>114200</v>
      </c>
    </row>
    <row r="503" spans="1:4" x14ac:dyDescent="0.2">
      <c r="A503" s="6" t="s">
        <v>12</v>
      </c>
      <c r="B503" s="6">
        <v>2011</v>
      </c>
      <c r="C503" s="6" t="s">
        <v>45</v>
      </c>
      <c r="D503" s="7">
        <v>118200</v>
      </c>
    </row>
    <row r="504" spans="1:4" x14ac:dyDescent="0.2">
      <c r="A504" s="6" t="s">
        <v>13</v>
      </c>
      <c r="B504" s="6">
        <v>2011</v>
      </c>
      <c r="C504" s="6" t="s">
        <v>45</v>
      </c>
      <c r="D504" s="7">
        <v>209700</v>
      </c>
    </row>
    <row r="505" spans="1:4" x14ac:dyDescent="0.2">
      <c r="A505" s="6" t="s">
        <v>14</v>
      </c>
      <c r="B505" s="6">
        <v>2011</v>
      </c>
      <c r="C505" s="6" t="s">
        <v>45</v>
      </c>
      <c r="D505" s="7">
        <v>156400</v>
      </c>
    </row>
    <row r="506" spans="1:4" x14ac:dyDescent="0.2">
      <c r="A506" s="6" t="s">
        <v>15</v>
      </c>
      <c r="B506" s="6">
        <v>2011</v>
      </c>
      <c r="C506" s="6" t="s">
        <v>45</v>
      </c>
      <c r="D506" s="7">
        <v>213700.00000000003</v>
      </c>
    </row>
    <row r="507" spans="1:4" x14ac:dyDescent="0.2">
      <c r="A507" s="6" t="s">
        <v>16</v>
      </c>
      <c r="B507" s="6">
        <v>2011</v>
      </c>
      <c r="C507" s="6" t="s">
        <v>45</v>
      </c>
      <c r="D507" s="7">
        <v>413900</v>
      </c>
    </row>
    <row r="508" spans="1:4" x14ac:dyDescent="0.2">
      <c r="A508" s="6" t="s">
        <v>17</v>
      </c>
      <c r="B508" s="6">
        <v>2011</v>
      </c>
      <c r="C508" s="6" t="s">
        <v>45</v>
      </c>
      <c r="D508" s="7">
        <v>300700</v>
      </c>
    </row>
    <row r="509" spans="1:4" x14ac:dyDescent="0.2">
      <c r="A509" s="6" t="s">
        <v>18</v>
      </c>
      <c r="B509" s="6">
        <v>2011</v>
      </c>
      <c r="C509" s="6" t="s">
        <v>45</v>
      </c>
      <c r="D509" s="7">
        <v>87100</v>
      </c>
    </row>
    <row r="510" spans="1:4" x14ac:dyDescent="0.2">
      <c r="A510" s="6" t="s">
        <v>19</v>
      </c>
      <c r="B510" s="6">
        <v>2011</v>
      </c>
      <c r="C510" s="6" t="s">
        <v>45</v>
      </c>
      <c r="D510" s="7">
        <v>263800</v>
      </c>
    </row>
    <row r="511" spans="1:4" x14ac:dyDescent="0.2">
      <c r="A511" s="6" t="s">
        <v>20</v>
      </c>
      <c r="B511" s="6">
        <v>2011</v>
      </c>
      <c r="C511" s="6" t="s">
        <v>45</v>
      </c>
      <c r="D511" s="7">
        <v>520699.99999999994</v>
      </c>
    </row>
    <row r="512" spans="1:4" x14ac:dyDescent="0.2">
      <c r="A512" s="6" t="s">
        <v>21</v>
      </c>
      <c r="B512" s="6">
        <v>2011</v>
      </c>
      <c r="C512" s="6" t="s">
        <v>45</v>
      </c>
      <c r="D512" s="7">
        <v>114900</v>
      </c>
    </row>
    <row r="513" spans="1:4" x14ac:dyDescent="0.2">
      <c r="A513" s="6" t="s">
        <v>22</v>
      </c>
      <c r="B513" s="6">
        <v>2011</v>
      </c>
      <c r="C513" s="6" t="s">
        <v>45</v>
      </c>
      <c r="D513" s="7">
        <v>152500</v>
      </c>
    </row>
    <row r="514" spans="1:4" x14ac:dyDescent="0.2">
      <c r="A514" s="6" t="s">
        <v>23</v>
      </c>
      <c r="B514" s="6">
        <v>2011</v>
      </c>
      <c r="C514" s="6" t="s">
        <v>45</v>
      </c>
      <c r="D514" s="7">
        <v>201800</v>
      </c>
    </row>
    <row r="515" spans="1:4" x14ac:dyDescent="0.2">
      <c r="A515" s="6" t="s">
        <v>24</v>
      </c>
      <c r="B515" s="6">
        <v>2011</v>
      </c>
      <c r="C515" s="6" t="s">
        <v>45</v>
      </c>
      <c r="D515" s="7">
        <v>159800</v>
      </c>
    </row>
    <row r="516" spans="1:4" x14ac:dyDescent="0.2">
      <c r="A516" s="6" t="s">
        <v>25</v>
      </c>
      <c r="B516" s="6">
        <v>2011</v>
      </c>
      <c r="C516" s="6" t="s">
        <v>45</v>
      </c>
      <c r="D516" s="7">
        <v>244600</v>
      </c>
    </row>
    <row r="517" spans="1:4" x14ac:dyDescent="0.2">
      <c r="A517" s="6" t="s">
        <v>26</v>
      </c>
      <c r="B517" s="6">
        <v>2011</v>
      </c>
      <c r="C517" s="6" t="s">
        <v>45</v>
      </c>
      <c r="D517" s="7">
        <v>220799.99999999997</v>
      </c>
    </row>
    <row r="518" spans="1:4" x14ac:dyDescent="0.2">
      <c r="A518" s="6" t="s">
        <v>27</v>
      </c>
      <c r="B518" s="6">
        <v>2011</v>
      </c>
      <c r="C518" s="6" t="s">
        <v>45</v>
      </c>
      <c r="D518" s="7">
        <v>297400</v>
      </c>
    </row>
    <row r="519" spans="1:4" x14ac:dyDescent="0.2">
      <c r="A519" s="6" t="s">
        <v>28</v>
      </c>
      <c r="B519" s="6">
        <v>2011</v>
      </c>
      <c r="C519" s="6" t="s">
        <v>45</v>
      </c>
      <c r="D519" s="7">
        <v>616000</v>
      </c>
    </row>
    <row r="520" spans="1:4" x14ac:dyDescent="0.2">
      <c r="A520" s="6" t="s">
        <v>29</v>
      </c>
      <c r="B520" s="6">
        <v>2011</v>
      </c>
      <c r="C520" s="6" t="s">
        <v>45</v>
      </c>
      <c r="D520" s="7">
        <v>510400</v>
      </c>
    </row>
    <row r="521" spans="1:4" x14ac:dyDescent="0.2">
      <c r="A521" s="6" t="s">
        <v>30</v>
      </c>
      <c r="B521" s="6">
        <v>2011</v>
      </c>
      <c r="C521" s="6" t="s">
        <v>45</v>
      </c>
      <c r="D521" s="7">
        <v>284300</v>
      </c>
    </row>
    <row r="522" spans="1:4" x14ac:dyDescent="0.2">
      <c r="A522" s="6" t="s">
        <v>31</v>
      </c>
      <c r="B522" s="6">
        <v>2011</v>
      </c>
      <c r="C522" s="6" t="s">
        <v>45</v>
      </c>
      <c r="D522" s="7">
        <v>218300</v>
      </c>
    </row>
    <row r="523" spans="1:4" x14ac:dyDescent="0.2">
      <c r="A523" s="6" t="s">
        <v>32</v>
      </c>
      <c r="B523" s="6">
        <v>2011</v>
      </c>
      <c r="C523" s="6" t="s">
        <v>45</v>
      </c>
      <c r="D523" s="7">
        <v>366600</v>
      </c>
    </row>
    <row r="524" spans="1:4" x14ac:dyDescent="0.2">
      <c r="A524" s="6" t="s">
        <v>33</v>
      </c>
      <c r="B524" s="6">
        <v>2011</v>
      </c>
      <c r="C524" s="6" t="s">
        <v>45</v>
      </c>
      <c r="D524" s="7">
        <v>174900</v>
      </c>
    </row>
    <row r="525" spans="1:4" x14ac:dyDescent="0.2">
      <c r="A525" s="6" t="s">
        <v>34</v>
      </c>
      <c r="B525" s="6">
        <v>2011</v>
      </c>
      <c r="C525" s="6" t="s">
        <v>45</v>
      </c>
      <c r="D525" s="7">
        <v>67600</v>
      </c>
    </row>
    <row r="526" spans="1:4" x14ac:dyDescent="0.2">
      <c r="A526" s="6" t="s">
        <v>35</v>
      </c>
      <c r="B526" s="6">
        <v>2011</v>
      </c>
      <c r="C526" s="6" t="s">
        <v>45</v>
      </c>
      <c r="D526" s="7">
        <v>228899.99999999997</v>
      </c>
    </row>
    <row r="527" spans="1:4" x14ac:dyDescent="0.2">
      <c r="A527" s="6" t="s">
        <v>36</v>
      </c>
      <c r="B527" s="6">
        <v>2011</v>
      </c>
      <c r="C527" s="6" t="s">
        <v>45</v>
      </c>
      <c r="D527" s="7">
        <v>108600</v>
      </c>
    </row>
    <row r="528" spans="1:4" x14ac:dyDescent="0.2">
      <c r="A528" s="6" t="s">
        <v>37</v>
      </c>
      <c r="B528" s="6">
        <v>2011</v>
      </c>
      <c r="C528" s="6" t="s">
        <v>45</v>
      </c>
      <c r="D528" s="7">
        <v>173600</v>
      </c>
    </row>
    <row r="529" spans="1:4" x14ac:dyDescent="0.2">
      <c r="A529" s="6" t="s">
        <v>38</v>
      </c>
      <c r="B529" s="6">
        <v>2011</v>
      </c>
      <c r="C529" s="6" t="s">
        <v>45</v>
      </c>
      <c r="D529" s="7">
        <v>158200</v>
      </c>
    </row>
    <row r="530" spans="1:4" x14ac:dyDescent="0.2">
      <c r="A530" s="6" t="s">
        <v>39</v>
      </c>
      <c r="B530" s="6">
        <v>2011</v>
      </c>
      <c r="C530" s="6" t="s">
        <v>45</v>
      </c>
      <c r="D530" s="7">
        <v>122900</v>
      </c>
    </row>
    <row r="531" spans="1:4" x14ac:dyDescent="0.2">
      <c r="A531" s="6" t="s">
        <v>40</v>
      </c>
      <c r="B531" s="6">
        <v>2011</v>
      </c>
      <c r="C531" s="6" t="s">
        <v>45</v>
      </c>
      <c r="D531" s="7">
        <v>256600.00000000003</v>
      </c>
    </row>
    <row r="532" spans="1:4" x14ac:dyDescent="0.2">
      <c r="A532" s="6" t="s">
        <v>41</v>
      </c>
      <c r="B532" s="6">
        <v>2011</v>
      </c>
      <c r="C532" s="6" t="s">
        <v>45</v>
      </c>
      <c r="D532" s="7">
        <v>345599.99999999994</v>
      </c>
    </row>
    <row r="533" spans="1:4" x14ac:dyDescent="0.2">
      <c r="A533" s="6" t="s">
        <v>42</v>
      </c>
      <c r="B533" s="6">
        <v>2011</v>
      </c>
      <c r="C533" s="6" t="s">
        <v>45</v>
      </c>
      <c r="D533" s="7">
        <v>235700</v>
      </c>
    </row>
    <row r="534" spans="1:4" x14ac:dyDescent="0.2">
      <c r="A534" s="6" t="s">
        <v>4</v>
      </c>
      <c r="B534" s="6">
        <v>2012</v>
      </c>
      <c r="C534" s="6" t="s">
        <v>45</v>
      </c>
      <c r="D534" s="7">
        <v>421800</v>
      </c>
    </row>
    <row r="535" spans="1:4" x14ac:dyDescent="0.2">
      <c r="A535" s="6" t="s">
        <v>6</v>
      </c>
      <c r="B535" s="6">
        <v>2012</v>
      </c>
      <c r="C535" s="6" t="s">
        <v>45</v>
      </c>
      <c r="D535" s="7">
        <v>312400</v>
      </c>
    </row>
    <row r="536" spans="1:4" x14ac:dyDescent="0.2">
      <c r="A536" s="6" t="s">
        <v>7</v>
      </c>
      <c r="B536" s="6">
        <v>2012</v>
      </c>
      <c r="C536" s="6" t="s">
        <v>45</v>
      </c>
      <c r="D536" s="7">
        <v>265200</v>
      </c>
    </row>
    <row r="537" spans="1:4" x14ac:dyDescent="0.2">
      <c r="A537" s="6" t="s">
        <v>8</v>
      </c>
      <c r="B537" s="6">
        <v>2012</v>
      </c>
      <c r="C537" s="6" t="s">
        <v>45</v>
      </c>
      <c r="D537" s="7">
        <v>181200</v>
      </c>
    </row>
    <row r="538" spans="1:4" x14ac:dyDescent="0.2">
      <c r="A538" s="6" t="s">
        <v>9</v>
      </c>
      <c r="B538" s="6">
        <v>2012</v>
      </c>
      <c r="C538" s="6" t="s">
        <v>45</v>
      </c>
      <c r="D538" s="7">
        <v>593100</v>
      </c>
    </row>
    <row r="539" spans="1:4" x14ac:dyDescent="0.2">
      <c r="A539" s="6" t="s">
        <v>10</v>
      </c>
      <c r="B539" s="6">
        <v>2012</v>
      </c>
      <c r="C539" s="6" t="s">
        <v>45</v>
      </c>
      <c r="D539" s="7">
        <v>139700</v>
      </c>
    </row>
    <row r="540" spans="1:4" x14ac:dyDescent="0.2">
      <c r="A540" s="6" t="s">
        <v>11</v>
      </c>
      <c r="B540" s="6">
        <v>2012</v>
      </c>
      <c r="C540" s="6" t="s">
        <v>45</v>
      </c>
      <c r="D540" s="7">
        <v>121800</v>
      </c>
    </row>
    <row r="541" spans="1:4" x14ac:dyDescent="0.2">
      <c r="A541" s="6" t="s">
        <v>12</v>
      </c>
      <c r="B541" s="6">
        <v>2012</v>
      </c>
      <c r="C541" s="6" t="s">
        <v>45</v>
      </c>
      <c r="D541" s="7">
        <v>117800</v>
      </c>
    </row>
    <row r="542" spans="1:4" x14ac:dyDescent="0.2">
      <c r="A542" s="6" t="s">
        <v>13</v>
      </c>
      <c r="B542" s="6">
        <v>2012</v>
      </c>
      <c r="C542" s="6" t="s">
        <v>45</v>
      </c>
      <c r="D542" s="7">
        <v>215700</v>
      </c>
    </row>
    <row r="543" spans="1:4" x14ac:dyDescent="0.2">
      <c r="A543" s="6" t="s">
        <v>14</v>
      </c>
      <c r="B543" s="6">
        <v>2012</v>
      </c>
      <c r="C543" s="6" t="s">
        <v>45</v>
      </c>
      <c r="D543" s="7">
        <v>155900</v>
      </c>
    </row>
    <row r="544" spans="1:4" x14ac:dyDescent="0.2">
      <c r="A544" s="6" t="s">
        <v>15</v>
      </c>
      <c r="B544" s="6">
        <v>2012</v>
      </c>
      <c r="C544" s="6" t="s">
        <v>45</v>
      </c>
      <c r="D544" s="7">
        <v>211299.99999999997</v>
      </c>
    </row>
    <row r="545" spans="1:4" x14ac:dyDescent="0.2">
      <c r="A545" s="6" t="s">
        <v>16</v>
      </c>
      <c r="B545" s="6">
        <v>2012</v>
      </c>
      <c r="C545" s="6" t="s">
        <v>45</v>
      </c>
      <c r="D545" s="7">
        <v>442000</v>
      </c>
    </row>
    <row r="546" spans="1:4" x14ac:dyDescent="0.2">
      <c r="A546" s="6" t="s">
        <v>17</v>
      </c>
      <c r="B546" s="6">
        <v>2012</v>
      </c>
      <c r="C546" s="6" t="s">
        <v>45</v>
      </c>
      <c r="D546" s="7">
        <v>295600</v>
      </c>
    </row>
    <row r="547" spans="1:4" x14ac:dyDescent="0.2">
      <c r="A547" s="6" t="s">
        <v>18</v>
      </c>
      <c r="B547" s="6">
        <v>2012</v>
      </c>
      <c r="C547" s="6" t="s">
        <v>45</v>
      </c>
      <c r="D547" s="7">
        <v>92100</v>
      </c>
    </row>
    <row r="548" spans="1:4" x14ac:dyDescent="0.2">
      <c r="A548" s="6" t="s">
        <v>19</v>
      </c>
      <c r="B548" s="6">
        <v>2012</v>
      </c>
      <c r="C548" s="6" t="s">
        <v>45</v>
      </c>
      <c r="D548" s="7">
        <v>273100</v>
      </c>
    </row>
    <row r="549" spans="1:4" x14ac:dyDescent="0.2">
      <c r="A549" s="6" t="s">
        <v>20</v>
      </c>
      <c r="B549" s="6">
        <v>2012</v>
      </c>
      <c r="C549" s="6" t="s">
        <v>45</v>
      </c>
      <c r="D549" s="7">
        <v>514500</v>
      </c>
    </row>
    <row r="550" spans="1:4" x14ac:dyDescent="0.2">
      <c r="A550" s="6" t="s">
        <v>21</v>
      </c>
      <c r="B550" s="6">
        <v>2012</v>
      </c>
      <c r="C550" s="6" t="s">
        <v>45</v>
      </c>
      <c r="D550" s="7">
        <v>107199.99999999999</v>
      </c>
    </row>
    <row r="551" spans="1:4" x14ac:dyDescent="0.2">
      <c r="A551" s="6" t="s">
        <v>22</v>
      </c>
      <c r="B551" s="6">
        <v>2012</v>
      </c>
      <c r="C551" s="6" t="s">
        <v>45</v>
      </c>
      <c r="D551" s="7">
        <v>147500</v>
      </c>
    </row>
    <row r="552" spans="1:4" x14ac:dyDescent="0.2">
      <c r="A552" s="6" t="s">
        <v>23</v>
      </c>
      <c r="B552" s="6">
        <v>2012</v>
      </c>
      <c r="C552" s="6" t="s">
        <v>45</v>
      </c>
      <c r="D552" s="7">
        <v>196000</v>
      </c>
    </row>
    <row r="553" spans="1:4" x14ac:dyDescent="0.2">
      <c r="A553" s="6" t="s">
        <v>24</v>
      </c>
      <c r="B553" s="6">
        <v>2012</v>
      </c>
      <c r="C553" s="6" t="s">
        <v>45</v>
      </c>
      <c r="D553" s="7">
        <v>161800</v>
      </c>
    </row>
    <row r="554" spans="1:4" x14ac:dyDescent="0.2">
      <c r="A554" s="6" t="s">
        <v>25</v>
      </c>
      <c r="B554" s="6">
        <v>2012</v>
      </c>
      <c r="C554" s="6" t="s">
        <v>45</v>
      </c>
      <c r="D554" s="7">
        <v>251500</v>
      </c>
    </row>
    <row r="555" spans="1:4" x14ac:dyDescent="0.2">
      <c r="A555" s="6" t="s">
        <v>26</v>
      </c>
      <c r="B555" s="6">
        <v>2012</v>
      </c>
      <c r="C555" s="6" t="s">
        <v>45</v>
      </c>
      <c r="D555" s="7">
        <v>221399.99999999997</v>
      </c>
    </row>
    <row r="556" spans="1:4" x14ac:dyDescent="0.2">
      <c r="A556" s="6" t="s">
        <v>27</v>
      </c>
      <c r="B556" s="6">
        <v>2012</v>
      </c>
      <c r="C556" s="6" t="s">
        <v>45</v>
      </c>
      <c r="D556" s="7">
        <v>292000</v>
      </c>
    </row>
    <row r="557" spans="1:4" x14ac:dyDescent="0.2">
      <c r="A557" s="6" t="s">
        <v>28</v>
      </c>
      <c r="B557" s="6">
        <v>2012</v>
      </c>
      <c r="C557" s="6" t="s">
        <v>45</v>
      </c>
      <c r="D557" s="7">
        <v>631099.99999999988</v>
      </c>
    </row>
    <row r="558" spans="1:4" x14ac:dyDescent="0.2">
      <c r="A558" s="6" t="s">
        <v>29</v>
      </c>
      <c r="B558" s="6">
        <v>2012</v>
      </c>
      <c r="C558" s="6" t="s">
        <v>45</v>
      </c>
      <c r="D558" s="7">
        <v>500400.00000000006</v>
      </c>
    </row>
    <row r="559" spans="1:4" x14ac:dyDescent="0.2">
      <c r="A559" s="6" t="s">
        <v>30</v>
      </c>
      <c r="B559" s="6">
        <v>2012</v>
      </c>
      <c r="C559" s="6" t="s">
        <v>45</v>
      </c>
      <c r="D559" s="7">
        <v>296500</v>
      </c>
    </row>
    <row r="560" spans="1:4" x14ac:dyDescent="0.2">
      <c r="A560" s="6" t="s">
        <v>31</v>
      </c>
      <c r="B560" s="6">
        <v>2012</v>
      </c>
      <c r="C560" s="6" t="s">
        <v>45</v>
      </c>
      <c r="D560" s="7">
        <v>233100.00000000003</v>
      </c>
    </row>
    <row r="561" spans="1:4" x14ac:dyDescent="0.2">
      <c r="A561" s="6" t="s">
        <v>32</v>
      </c>
      <c r="B561" s="6">
        <v>2012</v>
      </c>
      <c r="C561" s="6" t="s">
        <v>45</v>
      </c>
      <c r="D561" s="7">
        <v>389400</v>
      </c>
    </row>
    <row r="562" spans="1:4" x14ac:dyDescent="0.2">
      <c r="A562" s="6" t="s">
        <v>33</v>
      </c>
      <c r="B562" s="6">
        <v>2012</v>
      </c>
      <c r="C562" s="6" t="s">
        <v>45</v>
      </c>
      <c r="D562" s="7">
        <v>175300</v>
      </c>
    </row>
    <row r="563" spans="1:4" x14ac:dyDescent="0.2">
      <c r="A563" s="6" t="s">
        <v>34</v>
      </c>
      <c r="B563" s="6">
        <v>2012</v>
      </c>
      <c r="C563" s="6" t="s">
        <v>45</v>
      </c>
      <c r="D563" s="7">
        <v>68300</v>
      </c>
    </row>
    <row r="564" spans="1:4" x14ac:dyDescent="0.2">
      <c r="A564" s="6" t="s">
        <v>35</v>
      </c>
      <c r="B564" s="6">
        <v>2012</v>
      </c>
      <c r="C564" s="6" t="s">
        <v>45</v>
      </c>
      <c r="D564" s="7">
        <v>221200</v>
      </c>
    </row>
    <row r="565" spans="1:4" x14ac:dyDescent="0.2">
      <c r="A565" s="6" t="s">
        <v>36</v>
      </c>
      <c r="B565" s="6">
        <v>2012</v>
      </c>
      <c r="C565" s="6" t="s">
        <v>45</v>
      </c>
      <c r="D565" s="7">
        <v>107399.99999999999</v>
      </c>
    </row>
    <row r="566" spans="1:4" x14ac:dyDescent="0.2">
      <c r="A566" s="6" t="s">
        <v>37</v>
      </c>
      <c r="B566" s="6">
        <v>2012</v>
      </c>
      <c r="C566" s="6" t="s">
        <v>45</v>
      </c>
      <c r="D566" s="7">
        <v>170600.00000000003</v>
      </c>
    </row>
    <row r="567" spans="1:4" x14ac:dyDescent="0.2">
      <c r="A567" s="6" t="s">
        <v>38</v>
      </c>
      <c r="B567" s="6">
        <v>2012</v>
      </c>
      <c r="C567" s="6" t="s">
        <v>45</v>
      </c>
      <c r="D567" s="7">
        <v>160700</v>
      </c>
    </row>
    <row r="568" spans="1:4" x14ac:dyDescent="0.2">
      <c r="A568" s="6" t="s">
        <v>39</v>
      </c>
      <c r="B568" s="6">
        <v>2012</v>
      </c>
      <c r="C568" s="6" t="s">
        <v>45</v>
      </c>
      <c r="D568" s="7">
        <v>126500</v>
      </c>
    </row>
    <row r="569" spans="1:4" x14ac:dyDescent="0.2">
      <c r="A569" s="6" t="s">
        <v>40</v>
      </c>
      <c r="B569" s="6">
        <v>2012</v>
      </c>
      <c r="C569" s="6" t="s">
        <v>45</v>
      </c>
      <c r="D569" s="7">
        <v>250200.00000000003</v>
      </c>
    </row>
    <row r="570" spans="1:4" x14ac:dyDescent="0.2">
      <c r="A570" s="6" t="s">
        <v>41</v>
      </c>
      <c r="B570" s="6">
        <v>2012</v>
      </c>
      <c r="C570" s="6" t="s">
        <v>45</v>
      </c>
      <c r="D570" s="7">
        <v>354599.99999999994</v>
      </c>
    </row>
    <row r="571" spans="1:4" x14ac:dyDescent="0.2">
      <c r="A571" s="6" t="s">
        <v>42</v>
      </c>
      <c r="B571" s="6">
        <v>2012</v>
      </c>
      <c r="C571" s="6" t="s">
        <v>45</v>
      </c>
      <c r="D571" s="7">
        <v>227799.99999999997</v>
      </c>
    </row>
    <row r="572" spans="1:4" x14ac:dyDescent="0.2">
      <c r="A572" s="6" t="s">
        <v>4</v>
      </c>
      <c r="B572" s="6">
        <v>2019</v>
      </c>
      <c r="C572" s="6" t="s">
        <v>45</v>
      </c>
      <c r="D572" s="7">
        <v>507500</v>
      </c>
    </row>
    <row r="573" spans="1:4" x14ac:dyDescent="0.2">
      <c r="A573" s="6" t="s">
        <v>6</v>
      </c>
      <c r="B573" s="6">
        <v>2019</v>
      </c>
      <c r="C573" s="6" t="s">
        <v>45</v>
      </c>
      <c r="D573" s="7">
        <v>364200</v>
      </c>
    </row>
    <row r="574" spans="1:4" x14ac:dyDescent="0.2">
      <c r="A574" s="6" t="s">
        <v>7</v>
      </c>
      <c r="B574" s="6">
        <v>2019</v>
      </c>
      <c r="C574" s="6" t="s">
        <v>45</v>
      </c>
      <c r="D574" s="7">
        <v>264500</v>
      </c>
    </row>
    <row r="575" spans="1:4" x14ac:dyDescent="0.2">
      <c r="A575" s="6" t="s">
        <v>8</v>
      </c>
      <c r="B575" s="6">
        <v>2019</v>
      </c>
      <c r="C575" s="6" t="s">
        <v>45</v>
      </c>
      <c r="D575" s="7">
        <v>207900</v>
      </c>
    </row>
    <row r="576" spans="1:4" x14ac:dyDescent="0.2">
      <c r="A576" s="6" t="s">
        <v>9</v>
      </c>
      <c r="B576" s="6">
        <v>2019</v>
      </c>
      <c r="C576" s="6" t="s">
        <v>45</v>
      </c>
      <c r="D576" s="7">
        <v>651300.00000000012</v>
      </c>
    </row>
    <row r="577" spans="1:4" x14ac:dyDescent="0.2">
      <c r="A577" s="6" t="s">
        <v>10</v>
      </c>
      <c r="B577" s="6">
        <v>2019</v>
      </c>
      <c r="C577" s="6" t="s">
        <v>45</v>
      </c>
      <c r="D577" s="7">
        <v>148400</v>
      </c>
    </row>
    <row r="578" spans="1:4" x14ac:dyDescent="0.2">
      <c r="A578" s="6" t="s">
        <v>11</v>
      </c>
      <c r="B578" s="6">
        <v>2019</v>
      </c>
      <c r="C578" s="6" t="s">
        <v>45</v>
      </c>
      <c r="D578" s="7">
        <v>124400</v>
      </c>
    </row>
    <row r="579" spans="1:4" x14ac:dyDescent="0.2">
      <c r="A579" s="6" t="s">
        <v>12</v>
      </c>
      <c r="B579" s="6">
        <v>2019</v>
      </c>
      <c r="C579" s="6" t="s">
        <v>45</v>
      </c>
      <c r="D579" s="7">
        <v>125199.99999999999</v>
      </c>
    </row>
    <row r="580" spans="1:4" x14ac:dyDescent="0.2">
      <c r="A580" s="6" t="s">
        <v>13</v>
      </c>
      <c r="B580" s="6">
        <v>2019</v>
      </c>
      <c r="C580" s="6" t="s">
        <v>45</v>
      </c>
      <c r="D580" s="7">
        <v>225800</v>
      </c>
    </row>
    <row r="581" spans="1:4" x14ac:dyDescent="0.2">
      <c r="A581" s="6" t="s">
        <v>14</v>
      </c>
      <c r="B581" s="6">
        <v>2019</v>
      </c>
      <c r="C581" s="6" t="s">
        <v>45</v>
      </c>
      <c r="D581" s="7">
        <v>171500</v>
      </c>
    </row>
    <row r="582" spans="1:4" x14ac:dyDescent="0.2">
      <c r="A582" s="6" t="s">
        <v>15</v>
      </c>
      <c r="B582" s="6">
        <v>2019</v>
      </c>
      <c r="C582" s="6" t="s">
        <v>45</v>
      </c>
      <c r="D582" s="7">
        <v>234799.99999999997</v>
      </c>
    </row>
    <row r="583" spans="1:4" x14ac:dyDescent="0.2">
      <c r="A583" s="6" t="s">
        <v>16</v>
      </c>
      <c r="B583" s="6">
        <v>2019</v>
      </c>
      <c r="C583" s="6" t="s">
        <v>45</v>
      </c>
      <c r="D583" s="7">
        <v>512700.00000000006</v>
      </c>
    </row>
    <row r="584" spans="1:4" x14ac:dyDescent="0.2">
      <c r="A584" s="6" t="s">
        <v>17</v>
      </c>
      <c r="B584" s="6">
        <v>2019</v>
      </c>
      <c r="C584" s="6" t="s">
        <v>45</v>
      </c>
      <c r="D584" s="7">
        <v>302300</v>
      </c>
    </row>
    <row r="585" spans="1:4" x14ac:dyDescent="0.2">
      <c r="A585" s="6" t="s">
        <v>18</v>
      </c>
      <c r="B585" s="6">
        <v>2019</v>
      </c>
      <c r="C585" s="6" t="s">
        <v>45</v>
      </c>
      <c r="D585" s="7">
        <v>96200</v>
      </c>
    </row>
    <row r="586" spans="1:4" x14ac:dyDescent="0.2">
      <c r="A586" s="6" t="s">
        <v>19</v>
      </c>
      <c r="B586" s="6">
        <v>2019</v>
      </c>
      <c r="C586" s="6" t="s">
        <v>45</v>
      </c>
      <c r="D586" s="7">
        <v>304900</v>
      </c>
    </row>
    <row r="587" spans="1:4" x14ac:dyDescent="0.2">
      <c r="A587" s="6" t="s">
        <v>20</v>
      </c>
      <c r="B587" s="6">
        <v>2019</v>
      </c>
      <c r="C587" s="6" t="s">
        <v>45</v>
      </c>
      <c r="D587" s="7">
        <v>584600</v>
      </c>
    </row>
    <row r="588" spans="1:4" x14ac:dyDescent="0.2">
      <c r="A588" s="6" t="s">
        <v>21</v>
      </c>
      <c r="B588" s="6">
        <v>2019</v>
      </c>
      <c r="C588" s="6" t="s">
        <v>45</v>
      </c>
      <c r="D588" s="7">
        <v>121800</v>
      </c>
    </row>
    <row r="589" spans="1:4" x14ac:dyDescent="0.2">
      <c r="A589" s="6" t="s">
        <v>22</v>
      </c>
      <c r="B589" s="6">
        <v>2019</v>
      </c>
      <c r="C589" s="6" t="s">
        <v>45</v>
      </c>
      <c r="D589" s="7">
        <v>152000</v>
      </c>
    </row>
    <row r="590" spans="1:4" x14ac:dyDescent="0.2">
      <c r="A590" s="6" t="s">
        <v>23</v>
      </c>
      <c r="B590" s="6">
        <v>2019</v>
      </c>
      <c r="C590" s="6" t="s">
        <v>45</v>
      </c>
      <c r="D590" s="7">
        <v>195900</v>
      </c>
    </row>
    <row r="591" spans="1:4" x14ac:dyDescent="0.2">
      <c r="A591" s="6" t="s">
        <v>24</v>
      </c>
      <c r="B591" s="6">
        <v>2019</v>
      </c>
      <c r="C591" s="6" t="s">
        <v>45</v>
      </c>
      <c r="D591" s="7">
        <v>171700.00000000003</v>
      </c>
    </row>
    <row r="592" spans="1:4" x14ac:dyDescent="0.2">
      <c r="A592" s="6" t="s">
        <v>25</v>
      </c>
      <c r="B592" s="6">
        <v>2019</v>
      </c>
      <c r="C592" s="6" t="s">
        <v>45</v>
      </c>
      <c r="D592" s="7">
        <v>272600</v>
      </c>
    </row>
    <row r="593" spans="1:4" x14ac:dyDescent="0.2">
      <c r="A593" s="6" t="s">
        <v>26</v>
      </c>
      <c r="B593" s="6">
        <v>2019</v>
      </c>
      <c r="C593" s="6" t="s">
        <v>45</v>
      </c>
      <c r="D593" s="7">
        <v>231700</v>
      </c>
    </row>
    <row r="594" spans="1:4" x14ac:dyDescent="0.2">
      <c r="A594" s="6" t="s">
        <v>27</v>
      </c>
      <c r="B594" s="6">
        <v>2019</v>
      </c>
      <c r="C594" s="6" t="s">
        <v>45</v>
      </c>
      <c r="D594" s="7">
        <v>321700</v>
      </c>
    </row>
    <row r="595" spans="1:4" x14ac:dyDescent="0.2">
      <c r="A595" s="6" t="s">
        <v>28</v>
      </c>
      <c r="B595" s="6">
        <v>2019</v>
      </c>
      <c r="C595" s="6" t="s">
        <v>45</v>
      </c>
      <c r="D595" s="7">
        <v>670199.99999999988</v>
      </c>
    </row>
    <row r="596" spans="1:4" x14ac:dyDescent="0.2">
      <c r="A596" s="6" t="s">
        <v>29</v>
      </c>
      <c r="B596" s="6">
        <v>2019</v>
      </c>
      <c r="C596" s="6" t="s">
        <v>45</v>
      </c>
      <c r="D596" s="7">
        <v>567700</v>
      </c>
    </row>
    <row r="597" spans="1:4" x14ac:dyDescent="0.2">
      <c r="A597" s="6" t="s">
        <v>30</v>
      </c>
      <c r="B597" s="6">
        <v>2019</v>
      </c>
      <c r="C597" s="6" t="s">
        <v>45</v>
      </c>
      <c r="D597" s="7">
        <v>330100</v>
      </c>
    </row>
    <row r="598" spans="1:4" x14ac:dyDescent="0.2">
      <c r="A598" s="6" t="s">
        <v>31</v>
      </c>
      <c r="B598" s="6">
        <v>2019</v>
      </c>
      <c r="C598" s="6" t="s">
        <v>45</v>
      </c>
      <c r="D598" s="7">
        <v>258100.00000000003</v>
      </c>
    </row>
    <row r="599" spans="1:4" x14ac:dyDescent="0.2">
      <c r="A599" s="6" t="s">
        <v>32</v>
      </c>
      <c r="B599" s="6">
        <v>2019</v>
      </c>
      <c r="C599" s="6" t="s">
        <v>45</v>
      </c>
      <c r="D599" s="7">
        <v>440600</v>
      </c>
    </row>
    <row r="600" spans="1:4" x14ac:dyDescent="0.2">
      <c r="A600" s="6" t="s">
        <v>33</v>
      </c>
      <c r="B600" s="6">
        <v>2019</v>
      </c>
      <c r="C600" s="6" t="s">
        <v>45</v>
      </c>
      <c r="D600" s="7">
        <v>190600</v>
      </c>
    </row>
    <row r="601" spans="1:4" x14ac:dyDescent="0.2">
      <c r="A601" s="6" t="s">
        <v>34</v>
      </c>
      <c r="B601" s="6">
        <v>2019</v>
      </c>
      <c r="C601" s="6" t="s">
        <v>45</v>
      </c>
      <c r="D601" s="7">
        <v>62700</v>
      </c>
    </row>
    <row r="602" spans="1:4" x14ac:dyDescent="0.2">
      <c r="A602" s="6" t="s">
        <v>35</v>
      </c>
      <c r="B602" s="6">
        <v>2019</v>
      </c>
      <c r="C602" s="6" t="s">
        <v>45</v>
      </c>
      <c r="D602" s="7">
        <v>259800</v>
      </c>
    </row>
    <row r="603" spans="1:4" x14ac:dyDescent="0.2">
      <c r="A603" s="6" t="s">
        <v>36</v>
      </c>
      <c r="B603" s="6">
        <v>2019</v>
      </c>
      <c r="C603" s="6" t="s">
        <v>45</v>
      </c>
      <c r="D603" s="7">
        <v>113300</v>
      </c>
    </row>
    <row r="604" spans="1:4" x14ac:dyDescent="0.2">
      <c r="A604" s="6" t="s">
        <v>37</v>
      </c>
      <c r="B604" s="6">
        <v>2019</v>
      </c>
      <c r="C604" s="6" t="s">
        <v>45</v>
      </c>
      <c r="D604" s="7">
        <v>175500</v>
      </c>
    </row>
    <row r="605" spans="1:4" x14ac:dyDescent="0.2">
      <c r="A605" s="6" t="s">
        <v>38</v>
      </c>
      <c r="B605" s="6">
        <v>2019</v>
      </c>
      <c r="C605" s="6" t="s">
        <v>45</v>
      </c>
      <c r="D605" s="7">
        <v>143200</v>
      </c>
    </row>
    <row r="606" spans="1:4" x14ac:dyDescent="0.2">
      <c r="A606" s="6" t="s">
        <v>39</v>
      </c>
      <c r="B606" s="6">
        <v>2019</v>
      </c>
      <c r="C606" s="6" t="s">
        <v>45</v>
      </c>
      <c r="D606" s="7">
        <v>138400</v>
      </c>
    </row>
    <row r="607" spans="1:4" x14ac:dyDescent="0.2">
      <c r="A607" s="6" t="s">
        <v>40</v>
      </c>
      <c r="B607" s="6">
        <v>2019</v>
      </c>
      <c r="C607" s="6" t="s">
        <v>45</v>
      </c>
      <c r="D607" s="7">
        <v>249400</v>
      </c>
    </row>
    <row r="608" spans="1:4" x14ac:dyDescent="0.2">
      <c r="A608" s="6" t="s">
        <v>41</v>
      </c>
      <c r="B608" s="6">
        <v>2019</v>
      </c>
      <c r="C608" s="6" t="s">
        <v>45</v>
      </c>
      <c r="D608" s="7">
        <v>383200.00000000006</v>
      </c>
    </row>
    <row r="609" spans="1:4" x14ac:dyDescent="0.2">
      <c r="A609" s="6" t="s">
        <v>42</v>
      </c>
      <c r="B609" s="6">
        <v>2019</v>
      </c>
      <c r="C609" s="6" t="s">
        <v>45</v>
      </c>
      <c r="D609" s="7">
        <v>237000</v>
      </c>
    </row>
    <row r="610" spans="1:4" x14ac:dyDescent="0.2">
      <c r="A610" s="6" t="s">
        <v>4</v>
      </c>
      <c r="B610" s="6">
        <v>1999</v>
      </c>
      <c r="C610" s="6" t="s">
        <v>46</v>
      </c>
      <c r="D610" s="7">
        <v>194700</v>
      </c>
    </row>
    <row r="611" spans="1:4" x14ac:dyDescent="0.2">
      <c r="A611" s="6" t="s">
        <v>6</v>
      </c>
      <c r="B611" s="6">
        <v>1999</v>
      </c>
      <c r="C611" s="6" t="s">
        <v>46</v>
      </c>
      <c r="D611" s="7">
        <v>135200</v>
      </c>
    </row>
    <row r="612" spans="1:4" x14ac:dyDescent="0.2">
      <c r="A612" s="6" t="s">
        <v>7</v>
      </c>
      <c r="B612" s="6">
        <v>1999</v>
      </c>
      <c r="C612" s="6" t="s">
        <v>46</v>
      </c>
      <c r="D612" s="7">
        <v>86600</v>
      </c>
    </row>
    <row r="613" spans="1:4" x14ac:dyDescent="0.2">
      <c r="A613" s="6" t="s">
        <v>8</v>
      </c>
      <c r="B613" s="6">
        <v>1999</v>
      </c>
      <c r="C613" s="6" t="s">
        <v>46</v>
      </c>
      <c r="D613" s="7">
        <v>71800</v>
      </c>
    </row>
    <row r="614" spans="1:4" x14ac:dyDescent="0.2">
      <c r="A614" s="6" t="s">
        <v>9</v>
      </c>
      <c r="B614" s="6">
        <v>1999</v>
      </c>
      <c r="C614" s="6" t="s">
        <v>46</v>
      </c>
      <c r="D614" s="7">
        <v>331900</v>
      </c>
    </row>
    <row r="615" spans="1:4" x14ac:dyDescent="0.2">
      <c r="A615" s="6" t="s">
        <v>10</v>
      </c>
      <c r="B615" s="6">
        <v>1999</v>
      </c>
      <c r="C615" s="6" t="s">
        <v>46</v>
      </c>
      <c r="D615" s="7">
        <v>48800</v>
      </c>
    </row>
    <row r="616" spans="1:4" x14ac:dyDescent="0.2">
      <c r="A616" s="6" t="s">
        <v>11</v>
      </c>
      <c r="B616" s="6">
        <v>1999</v>
      </c>
      <c r="C616" s="6" t="s">
        <v>46</v>
      </c>
      <c r="D616" s="7">
        <v>39900</v>
      </c>
    </row>
    <row r="617" spans="1:4" x14ac:dyDescent="0.2">
      <c r="A617" s="6" t="s">
        <v>12</v>
      </c>
      <c r="B617" s="6">
        <v>1999</v>
      </c>
      <c r="C617" s="6" t="s">
        <v>46</v>
      </c>
      <c r="D617" s="7">
        <v>48600</v>
      </c>
    </row>
    <row r="618" spans="1:4" x14ac:dyDescent="0.2">
      <c r="A618" s="6" t="s">
        <v>13</v>
      </c>
      <c r="B618" s="6">
        <v>1999</v>
      </c>
      <c r="C618" s="6" t="s">
        <v>46</v>
      </c>
      <c r="D618" s="7">
        <v>91800</v>
      </c>
    </row>
    <row r="619" spans="1:4" x14ac:dyDescent="0.2">
      <c r="A619" s="6" t="s">
        <v>14</v>
      </c>
      <c r="B619" s="6">
        <v>1999</v>
      </c>
      <c r="C619" s="6" t="s">
        <v>46</v>
      </c>
      <c r="D619" s="7">
        <v>53500</v>
      </c>
    </row>
    <row r="620" spans="1:4" x14ac:dyDescent="0.2">
      <c r="A620" s="6" t="s">
        <v>15</v>
      </c>
      <c r="B620" s="6">
        <v>1999</v>
      </c>
      <c r="C620" s="6" t="s">
        <v>46</v>
      </c>
      <c r="D620" s="7">
        <v>77300</v>
      </c>
    </row>
    <row r="621" spans="1:4" x14ac:dyDescent="0.2">
      <c r="A621" s="6" t="s">
        <v>16</v>
      </c>
      <c r="B621" s="6">
        <v>1999</v>
      </c>
      <c r="C621" s="6" t="s">
        <v>46</v>
      </c>
      <c r="D621" s="7">
        <v>237600</v>
      </c>
    </row>
    <row r="622" spans="1:4" x14ac:dyDescent="0.2">
      <c r="A622" s="6" t="s">
        <v>17</v>
      </c>
      <c r="B622" s="6">
        <v>1999</v>
      </c>
      <c r="C622" s="6" t="s">
        <v>46</v>
      </c>
      <c r="D622" s="7">
        <v>101700</v>
      </c>
    </row>
    <row r="623" spans="1:4" x14ac:dyDescent="0.2">
      <c r="A623" s="6" t="s">
        <v>18</v>
      </c>
      <c r="B623" s="6">
        <v>1999</v>
      </c>
      <c r="C623" s="6" t="s">
        <v>46</v>
      </c>
      <c r="D623" s="7">
        <v>31200</v>
      </c>
    </row>
    <row r="624" spans="1:4" x14ac:dyDescent="0.2">
      <c r="A624" s="6" t="s">
        <v>19</v>
      </c>
      <c r="B624" s="6">
        <v>1999</v>
      </c>
      <c r="C624" s="6" t="s">
        <v>46</v>
      </c>
      <c r="D624" s="7">
        <v>140400</v>
      </c>
    </row>
    <row r="625" spans="1:4" x14ac:dyDescent="0.2">
      <c r="A625" s="6" t="s">
        <v>20</v>
      </c>
      <c r="B625" s="6">
        <v>1999</v>
      </c>
      <c r="C625" s="6" t="s">
        <v>46</v>
      </c>
      <c r="D625" s="7">
        <v>294400</v>
      </c>
    </row>
    <row r="626" spans="1:4" x14ac:dyDescent="0.2">
      <c r="A626" s="6" t="s">
        <v>21</v>
      </c>
      <c r="B626" s="6">
        <v>1999</v>
      </c>
      <c r="C626" s="6" t="s">
        <v>46</v>
      </c>
      <c r="D626" s="7">
        <v>41300</v>
      </c>
    </row>
    <row r="627" spans="1:4" x14ac:dyDescent="0.2">
      <c r="A627" s="6" t="s">
        <v>22</v>
      </c>
      <c r="B627" s="6">
        <v>1999</v>
      </c>
      <c r="C627" s="6" t="s">
        <v>46</v>
      </c>
      <c r="D627" s="7">
        <v>44500</v>
      </c>
    </row>
    <row r="628" spans="1:4" x14ac:dyDescent="0.2">
      <c r="A628" s="6" t="s">
        <v>23</v>
      </c>
      <c r="B628" s="6">
        <v>1999</v>
      </c>
      <c r="C628" s="6" t="s">
        <v>46</v>
      </c>
      <c r="D628" s="7">
        <v>47800</v>
      </c>
    </row>
    <row r="629" spans="1:4" x14ac:dyDescent="0.2">
      <c r="A629" s="6" t="s">
        <v>24</v>
      </c>
      <c r="B629" s="6">
        <v>1999</v>
      </c>
      <c r="C629" s="6" t="s">
        <v>46</v>
      </c>
      <c r="D629" s="7">
        <v>69300</v>
      </c>
    </row>
    <row r="630" spans="1:4" x14ac:dyDescent="0.2">
      <c r="A630" s="6" t="s">
        <v>25</v>
      </c>
      <c r="B630" s="6">
        <v>1999</v>
      </c>
      <c r="C630" s="6" t="s">
        <v>46</v>
      </c>
      <c r="D630" s="7">
        <v>106500</v>
      </c>
    </row>
    <row r="631" spans="1:4" x14ac:dyDescent="0.2">
      <c r="A631" s="6" t="s">
        <v>26</v>
      </c>
      <c r="B631" s="6">
        <v>1999</v>
      </c>
      <c r="C631" s="6" t="s">
        <v>46</v>
      </c>
      <c r="D631" s="7">
        <v>73800</v>
      </c>
    </row>
    <row r="632" spans="1:4" x14ac:dyDescent="0.2">
      <c r="A632" s="6" t="s">
        <v>27</v>
      </c>
      <c r="B632" s="6">
        <v>1999</v>
      </c>
      <c r="C632" s="6" t="s">
        <v>46</v>
      </c>
      <c r="D632" s="7">
        <v>81600</v>
      </c>
    </row>
    <row r="633" spans="1:4" x14ac:dyDescent="0.2">
      <c r="A633" s="6" t="s">
        <v>28</v>
      </c>
      <c r="B633" s="6">
        <v>1999</v>
      </c>
      <c r="C633" s="6" t="s">
        <v>46</v>
      </c>
      <c r="D633" s="7">
        <v>265100</v>
      </c>
    </row>
    <row r="634" spans="1:4" x14ac:dyDescent="0.2">
      <c r="A634" s="6" t="s">
        <v>29</v>
      </c>
      <c r="B634" s="6">
        <v>1999</v>
      </c>
      <c r="C634" s="6" t="s">
        <v>46</v>
      </c>
      <c r="D634" s="7">
        <v>233100</v>
      </c>
    </row>
    <row r="635" spans="1:4" x14ac:dyDescent="0.2">
      <c r="A635" s="6" t="s">
        <v>30</v>
      </c>
      <c r="B635" s="6">
        <v>1999</v>
      </c>
      <c r="C635" s="6" t="s">
        <v>46</v>
      </c>
      <c r="D635" s="7">
        <v>105600</v>
      </c>
    </row>
    <row r="636" spans="1:4" x14ac:dyDescent="0.2">
      <c r="A636" s="6" t="s">
        <v>31</v>
      </c>
      <c r="B636" s="6">
        <v>1999</v>
      </c>
      <c r="C636" s="6" t="s">
        <v>46</v>
      </c>
      <c r="D636" s="7">
        <v>72200</v>
      </c>
    </row>
    <row r="637" spans="1:4" x14ac:dyDescent="0.2">
      <c r="A637" s="6" t="s">
        <v>32</v>
      </c>
      <c r="B637" s="6">
        <v>1999</v>
      </c>
      <c r="C637" s="6" t="s">
        <v>46</v>
      </c>
      <c r="D637" s="7">
        <v>144700</v>
      </c>
    </row>
    <row r="638" spans="1:4" x14ac:dyDescent="0.2">
      <c r="A638" s="6" t="s">
        <v>33</v>
      </c>
      <c r="B638" s="6">
        <v>1999</v>
      </c>
      <c r="C638" s="6" t="s">
        <v>46</v>
      </c>
      <c r="D638" s="7">
        <v>57700</v>
      </c>
    </row>
    <row r="639" spans="1:4" x14ac:dyDescent="0.2">
      <c r="A639" s="6" t="s">
        <v>34</v>
      </c>
      <c r="B639" s="6">
        <v>1999</v>
      </c>
      <c r="C639" s="6" t="s">
        <v>46</v>
      </c>
      <c r="D639" s="7">
        <v>21200</v>
      </c>
    </row>
    <row r="640" spans="1:4" x14ac:dyDescent="0.2">
      <c r="A640" s="6" t="s">
        <v>35</v>
      </c>
      <c r="B640" s="6">
        <v>1999</v>
      </c>
      <c r="C640" s="6" t="s">
        <v>46</v>
      </c>
      <c r="D640" s="7">
        <v>88800</v>
      </c>
    </row>
    <row r="641" spans="1:4" x14ac:dyDescent="0.2">
      <c r="A641" s="6" t="s">
        <v>36</v>
      </c>
      <c r="B641" s="6">
        <v>1999</v>
      </c>
      <c r="C641" s="6" t="s">
        <v>46</v>
      </c>
      <c r="D641" s="7">
        <v>44500</v>
      </c>
    </row>
    <row r="642" spans="1:4" x14ac:dyDescent="0.2">
      <c r="A642" s="6" t="s">
        <v>37</v>
      </c>
      <c r="B642" s="6">
        <v>1999</v>
      </c>
      <c r="C642" s="6" t="s">
        <v>46</v>
      </c>
      <c r="D642" s="7">
        <v>0</v>
      </c>
    </row>
    <row r="643" spans="1:4" x14ac:dyDescent="0.2">
      <c r="A643" s="6" t="s">
        <v>38</v>
      </c>
      <c r="B643" s="6">
        <v>1999</v>
      </c>
      <c r="C643" s="6" t="s">
        <v>46</v>
      </c>
      <c r="D643" s="7">
        <v>0</v>
      </c>
    </row>
    <row r="644" spans="1:4" x14ac:dyDescent="0.2">
      <c r="A644" s="6" t="s">
        <v>39</v>
      </c>
      <c r="B644" s="6">
        <v>1999</v>
      </c>
      <c r="C644" s="6" t="s">
        <v>46</v>
      </c>
      <c r="D644" s="7">
        <v>0</v>
      </c>
    </row>
    <row r="645" spans="1:4" x14ac:dyDescent="0.2">
      <c r="A645" s="6" t="s">
        <v>40</v>
      </c>
      <c r="B645" s="6">
        <v>1999</v>
      </c>
      <c r="C645" s="6" t="s">
        <v>46</v>
      </c>
      <c r="D645" s="7">
        <v>78500</v>
      </c>
    </row>
    <row r="646" spans="1:4" x14ac:dyDescent="0.2">
      <c r="A646" s="6" t="s">
        <v>41</v>
      </c>
      <c r="B646" s="6">
        <v>1999</v>
      </c>
      <c r="C646" s="6" t="s">
        <v>46</v>
      </c>
      <c r="D646" s="7">
        <v>140700</v>
      </c>
    </row>
    <row r="647" spans="1:4" x14ac:dyDescent="0.2">
      <c r="A647" s="6" t="s">
        <v>42</v>
      </c>
      <c r="B647" s="6">
        <v>1999</v>
      </c>
      <c r="C647" s="6" t="s">
        <v>46</v>
      </c>
      <c r="D647" s="7">
        <v>66500</v>
      </c>
    </row>
    <row r="648" spans="1:4" x14ac:dyDescent="0.2">
      <c r="A648" s="6" t="s">
        <v>4</v>
      </c>
      <c r="B648" s="6">
        <v>2011</v>
      </c>
      <c r="C648" s="6" t="s">
        <v>46</v>
      </c>
      <c r="D648" s="7">
        <v>275400</v>
      </c>
    </row>
    <row r="649" spans="1:4" x14ac:dyDescent="0.2">
      <c r="A649" s="6" t="s">
        <v>6</v>
      </c>
      <c r="B649" s="6">
        <v>2011</v>
      </c>
      <c r="C649" s="6" t="s">
        <v>46</v>
      </c>
      <c r="D649" s="7">
        <v>179100</v>
      </c>
    </row>
    <row r="650" spans="1:4" x14ac:dyDescent="0.2">
      <c r="A650" s="6" t="s">
        <v>7</v>
      </c>
      <c r="B650" s="6">
        <v>2011</v>
      </c>
      <c r="C650" s="6" t="s">
        <v>46</v>
      </c>
      <c r="D650" s="7">
        <v>110900</v>
      </c>
    </row>
    <row r="651" spans="1:4" x14ac:dyDescent="0.2">
      <c r="A651" s="6" t="s">
        <v>8</v>
      </c>
      <c r="B651" s="6">
        <v>2011</v>
      </c>
      <c r="C651" s="6" t="s">
        <v>46</v>
      </c>
      <c r="D651" s="7">
        <v>92400</v>
      </c>
    </row>
    <row r="652" spans="1:4" x14ac:dyDescent="0.2">
      <c r="A652" s="6" t="s">
        <v>9</v>
      </c>
      <c r="B652" s="6">
        <v>2011</v>
      </c>
      <c r="C652" s="6" t="s">
        <v>46</v>
      </c>
      <c r="D652" s="7">
        <v>403700.00000000006</v>
      </c>
    </row>
    <row r="653" spans="1:4" x14ac:dyDescent="0.2">
      <c r="A653" s="6" t="s">
        <v>10</v>
      </c>
      <c r="B653" s="6">
        <v>2011</v>
      </c>
      <c r="C653" s="6" t="s">
        <v>46</v>
      </c>
      <c r="D653" s="7">
        <v>59800.000000000007</v>
      </c>
    </row>
    <row r="654" spans="1:4" x14ac:dyDescent="0.2">
      <c r="A654" s="6" t="s">
        <v>11</v>
      </c>
      <c r="B654" s="6">
        <v>2011</v>
      </c>
      <c r="C654" s="6" t="s">
        <v>46</v>
      </c>
      <c r="D654" s="7">
        <v>54500</v>
      </c>
    </row>
    <row r="655" spans="1:4" x14ac:dyDescent="0.2">
      <c r="A655" s="6" t="s">
        <v>12</v>
      </c>
      <c r="B655" s="6">
        <v>2011</v>
      </c>
      <c r="C655" s="6" t="s">
        <v>46</v>
      </c>
      <c r="D655" s="7">
        <v>53600</v>
      </c>
    </row>
    <row r="656" spans="1:4" x14ac:dyDescent="0.2">
      <c r="A656" s="6" t="s">
        <v>13</v>
      </c>
      <c r="B656" s="6">
        <v>2011</v>
      </c>
      <c r="C656" s="6" t="s">
        <v>46</v>
      </c>
      <c r="D656" s="7">
        <v>116800</v>
      </c>
    </row>
    <row r="657" spans="1:4" x14ac:dyDescent="0.2">
      <c r="A657" s="6" t="s">
        <v>14</v>
      </c>
      <c r="B657" s="6">
        <v>2011</v>
      </c>
      <c r="C657" s="6" t="s">
        <v>46</v>
      </c>
      <c r="D657" s="7">
        <v>70300</v>
      </c>
    </row>
    <row r="658" spans="1:4" x14ac:dyDescent="0.2">
      <c r="A658" s="6" t="s">
        <v>15</v>
      </c>
      <c r="B658" s="6">
        <v>2011</v>
      </c>
      <c r="C658" s="6" t="s">
        <v>46</v>
      </c>
      <c r="D658" s="7">
        <v>95400</v>
      </c>
    </row>
    <row r="659" spans="1:4" x14ac:dyDescent="0.2">
      <c r="A659" s="6" t="s">
        <v>16</v>
      </c>
      <c r="B659" s="6">
        <v>2011</v>
      </c>
      <c r="C659" s="6" t="s">
        <v>46</v>
      </c>
      <c r="D659" s="7">
        <v>289800</v>
      </c>
    </row>
    <row r="660" spans="1:4" x14ac:dyDescent="0.2">
      <c r="A660" s="6" t="s">
        <v>17</v>
      </c>
      <c r="B660" s="6">
        <v>2011</v>
      </c>
      <c r="C660" s="6" t="s">
        <v>46</v>
      </c>
      <c r="D660" s="7">
        <v>162800</v>
      </c>
    </row>
    <row r="661" spans="1:4" x14ac:dyDescent="0.2">
      <c r="A661" s="6" t="s">
        <v>18</v>
      </c>
      <c r="B661" s="6">
        <v>2011</v>
      </c>
      <c r="C661" s="6" t="s">
        <v>46</v>
      </c>
      <c r="D661" s="7">
        <v>47500</v>
      </c>
    </row>
    <row r="662" spans="1:4" x14ac:dyDescent="0.2">
      <c r="A662" s="6" t="s">
        <v>19</v>
      </c>
      <c r="B662" s="6">
        <v>2011</v>
      </c>
      <c r="C662" s="6" t="s">
        <v>46</v>
      </c>
      <c r="D662" s="7">
        <v>179200</v>
      </c>
    </row>
    <row r="663" spans="1:4" x14ac:dyDescent="0.2">
      <c r="A663" s="6" t="s">
        <v>20</v>
      </c>
      <c r="B663" s="6">
        <v>2011</v>
      </c>
      <c r="C663" s="6" t="s">
        <v>46</v>
      </c>
      <c r="D663" s="7">
        <v>387200</v>
      </c>
    </row>
    <row r="664" spans="1:4" x14ac:dyDescent="0.2">
      <c r="A664" s="6" t="s">
        <v>21</v>
      </c>
      <c r="B664" s="6">
        <v>2011</v>
      </c>
      <c r="C664" s="6" t="s">
        <v>46</v>
      </c>
      <c r="D664" s="7">
        <v>56200</v>
      </c>
    </row>
    <row r="665" spans="1:4" x14ac:dyDescent="0.2">
      <c r="A665" s="6" t="s">
        <v>22</v>
      </c>
      <c r="B665" s="6">
        <v>2011</v>
      </c>
      <c r="C665" s="6" t="s">
        <v>46</v>
      </c>
      <c r="D665" s="7">
        <v>63200</v>
      </c>
    </row>
    <row r="666" spans="1:4" x14ac:dyDescent="0.2">
      <c r="A666" s="6" t="s">
        <v>23</v>
      </c>
      <c r="B666" s="6">
        <v>2011</v>
      </c>
      <c r="C666" s="6" t="s">
        <v>46</v>
      </c>
      <c r="D666" s="7">
        <v>101400</v>
      </c>
    </row>
    <row r="667" spans="1:4" x14ac:dyDescent="0.2">
      <c r="A667" s="6" t="s">
        <v>24</v>
      </c>
      <c r="B667" s="6">
        <v>2011</v>
      </c>
      <c r="C667" s="6" t="s">
        <v>46</v>
      </c>
      <c r="D667" s="7">
        <v>92800</v>
      </c>
    </row>
    <row r="668" spans="1:4" x14ac:dyDescent="0.2">
      <c r="A668" s="6" t="s">
        <v>25</v>
      </c>
      <c r="B668" s="6">
        <v>2011</v>
      </c>
      <c r="C668" s="6" t="s">
        <v>46</v>
      </c>
      <c r="D668" s="7">
        <v>144900</v>
      </c>
    </row>
    <row r="669" spans="1:4" x14ac:dyDescent="0.2">
      <c r="A669" s="6" t="s">
        <v>26</v>
      </c>
      <c r="B669" s="6">
        <v>2011</v>
      </c>
      <c r="C669" s="6" t="s">
        <v>46</v>
      </c>
      <c r="D669" s="7">
        <v>95900</v>
      </c>
    </row>
    <row r="670" spans="1:4" x14ac:dyDescent="0.2">
      <c r="A670" s="6" t="s">
        <v>27</v>
      </c>
      <c r="B670" s="6">
        <v>2011</v>
      </c>
      <c r="C670" s="6" t="s">
        <v>46</v>
      </c>
      <c r="D670" s="7">
        <v>127699.99999999999</v>
      </c>
    </row>
    <row r="671" spans="1:4" x14ac:dyDescent="0.2">
      <c r="A671" s="6" t="s">
        <v>28</v>
      </c>
      <c r="B671" s="6">
        <v>2011</v>
      </c>
      <c r="C671" s="6" t="s">
        <v>46</v>
      </c>
      <c r="D671" s="7">
        <v>368099.99999999994</v>
      </c>
    </row>
    <row r="672" spans="1:4" x14ac:dyDescent="0.2">
      <c r="A672" s="6" t="s">
        <v>29</v>
      </c>
      <c r="B672" s="6">
        <v>2011</v>
      </c>
      <c r="C672" s="6" t="s">
        <v>46</v>
      </c>
      <c r="D672" s="7">
        <v>323700</v>
      </c>
    </row>
    <row r="673" spans="1:4" x14ac:dyDescent="0.2">
      <c r="A673" s="6" t="s">
        <v>30</v>
      </c>
      <c r="B673" s="6">
        <v>2011</v>
      </c>
      <c r="C673" s="6" t="s">
        <v>46</v>
      </c>
      <c r="D673" s="7">
        <v>149100</v>
      </c>
    </row>
    <row r="674" spans="1:4" x14ac:dyDescent="0.2">
      <c r="A674" s="6" t="s">
        <v>31</v>
      </c>
      <c r="B674" s="6">
        <v>2011</v>
      </c>
      <c r="C674" s="6" t="s">
        <v>46</v>
      </c>
      <c r="D674" s="7">
        <v>105000</v>
      </c>
    </row>
    <row r="675" spans="1:4" x14ac:dyDescent="0.2">
      <c r="A675" s="6" t="s">
        <v>32</v>
      </c>
      <c r="B675" s="6">
        <v>2011</v>
      </c>
      <c r="C675" s="6" t="s">
        <v>46</v>
      </c>
      <c r="D675" s="7">
        <v>201300</v>
      </c>
    </row>
    <row r="676" spans="1:4" x14ac:dyDescent="0.2">
      <c r="A676" s="6" t="s">
        <v>33</v>
      </c>
      <c r="B676" s="6">
        <v>2011</v>
      </c>
      <c r="C676" s="6" t="s">
        <v>46</v>
      </c>
      <c r="D676" s="7">
        <v>78100</v>
      </c>
    </row>
    <row r="677" spans="1:4" x14ac:dyDescent="0.2">
      <c r="A677" s="6" t="s">
        <v>34</v>
      </c>
      <c r="B677" s="6">
        <v>2011</v>
      </c>
      <c r="C677" s="6" t="s">
        <v>46</v>
      </c>
      <c r="D677" s="7">
        <v>27400</v>
      </c>
    </row>
    <row r="678" spans="1:4" x14ac:dyDescent="0.2">
      <c r="A678" s="6" t="s">
        <v>35</v>
      </c>
      <c r="B678" s="6">
        <v>2011</v>
      </c>
      <c r="C678" s="6" t="s">
        <v>46</v>
      </c>
      <c r="D678" s="7">
        <v>119600</v>
      </c>
    </row>
    <row r="679" spans="1:4" x14ac:dyDescent="0.2">
      <c r="A679" s="6" t="s">
        <v>36</v>
      </c>
      <c r="B679" s="6">
        <v>2011</v>
      </c>
      <c r="C679" s="6" t="s">
        <v>46</v>
      </c>
      <c r="D679" s="7">
        <v>53300</v>
      </c>
    </row>
    <row r="680" spans="1:4" x14ac:dyDescent="0.2">
      <c r="A680" s="6" t="s">
        <v>37</v>
      </c>
      <c r="B680" s="6">
        <v>2011</v>
      </c>
      <c r="C680" s="6" t="s">
        <v>46</v>
      </c>
      <c r="D680" s="7">
        <v>99500</v>
      </c>
    </row>
    <row r="681" spans="1:4" x14ac:dyDescent="0.2">
      <c r="A681" s="6" t="s">
        <v>38</v>
      </c>
      <c r="B681" s="6">
        <v>2011</v>
      </c>
      <c r="C681" s="6" t="s">
        <v>46</v>
      </c>
      <c r="D681" s="7">
        <v>68700</v>
      </c>
    </row>
    <row r="682" spans="1:4" x14ac:dyDescent="0.2">
      <c r="A682" s="6" t="s">
        <v>39</v>
      </c>
      <c r="B682" s="6">
        <v>2011</v>
      </c>
      <c r="C682" s="6" t="s">
        <v>46</v>
      </c>
      <c r="D682" s="7">
        <v>72700</v>
      </c>
    </row>
    <row r="683" spans="1:4" x14ac:dyDescent="0.2">
      <c r="A683" s="6" t="s">
        <v>40</v>
      </c>
      <c r="B683" s="6">
        <v>2011</v>
      </c>
      <c r="C683" s="6" t="s">
        <v>46</v>
      </c>
      <c r="D683" s="7">
        <v>143100.00000000003</v>
      </c>
    </row>
    <row r="684" spans="1:4" x14ac:dyDescent="0.2">
      <c r="A684" s="6" t="s">
        <v>41</v>
      </c>
      <c r="B684" s="6">
        <v>2011</v>
      </c>
      <c r="C684" s="6" t="s">
        <v>46</v>
      </c>
      <c r="D684" s="7">
        <v>188700</v>
      </c>
    </row>
    <row r="685" spans="1:4" x14ac:dyDescent="0.2">
      <c r="A685" s="6" t="s">
        <v>42</v>
      </c>
      <c r="B685" s="6">
        <v>2011</v>
      </c>
      <c r="C685" s="6" t="s">
        <v>46</v>
      </c>
      <c r="D685" s="7">
        <v>129000</v>
      </c>
    </row>
    <row r="686" spans="1:4" x14ac:dyDescent="0.2">
      <c r="A686" s="6" t="s">
        <v>4</v>
      </c>
      <c r="B686" s="6">
        <v>2012</v>
      </c>
      <c r="C686" s="6" t="s">
        <v>46</v>
      </c>
      <c r="D686" s="7">
        <v>274400</v>
      </c>
    </row>
    <row r="687" spans="1:4" x14ac:dyDescent="0.2">
      <c r="A687" s="6" t="s">
        <v>6</v>
      </c>
      <c r="B687" s="6">
        <v>2012</v>
      </c>
      <c r="C687" s="6" t="s">
        <v>46</v>
      </c>
      <c r="D687" s="7">
        <v>181000</v>
      </c>
    </row>
    <row r="688" spans="1:4" x14ac:dyDescent="0.2">
      <c r="A688" s="6" t="s">
        <v>7</v>
      </c>
      <c r="B688" s="6">
        <v>2012</v>
      </c>
      <c r="C688" s="6" t="s">
        <v>46</v>
      </c>
      <c r="D688" s="7">
        <v>109399.99999999999</v>
      </c>
    </row>
    <row r="689" spans="1:4" x14ac:dyDescent="0.2">
      <c r="A689" s="6" t="s">
        <v>8</v>
      </c>
      <c r="B689" s="6">
        <v>2012</v>
      </c>
      <c r="C689" s="6" t="s">
        <v>46</v>
      </c>
      <c r="D689" s="7">
        <v>89300.000000000015</v>
      </c>
    </row>
    <row r="690" spans="1:4" x14ac:dyDescent="0.2">
      <c r="A690" s="6" t="s">
        <v>9</v>
      </c>
      <c r="B690" s="6">
        <v>2012</v>
      </c>
      <c r="C690" s="6" t="s">
        <v>46</v>
      </c>
      <c r="D690" s="7">
        <v>414400</v>
      </c>
    </row>
    <row r="691" spans="1:4" x14ac:dyDescent="0.2">
      <c r="A691" s="6" t="s">
        <v>10</v>
      </c>
      <c r="B691" s="6">
        <v>2012</v>
      </c>
      <c r="C691" s="6" t="s">
        <v>46</v>
      </c>
      <c r="D691" s="7">
        <v>61400.000000000007</v>
      </c>
    </row>
    <row r="692" spans="1:4" x14ac:dyDescent="0.2">
      <c r="A692" s="6" t="s">
        <v>11</v>
      </c>
      <c r="B692" s="6">
        <v>2012</v>
      </c>
      <c r="C692" s="6" t="s">
        <v>46</v>
      </c>
      <c r="D692" s="7">
        <v>53200</v>
      </c>
    </row>
    <row r="693" spans="1:4" x14ac:dyDescent="0.2">
      <c r="A693" s="6" t="s">
        <v>12</v>
      </c>
      <c r="B693" s="6">
        <v>2012</v>
      </c>
      <c r="C693" s="6" t="s">
        <v>46</v>
      </c>
      <c r="D693" s="7">
        <v>58099.999999999993</v>
      </c>
    </row>
    <row r="694" spans="1:4" x14ac:dyDescent="0.2">
      <c r="A694" s="6" t="s">
        <v>13</v>
      </c>
      <c r="B694" s="6">
        <v>2012</v>
      </c>
      <c r="C694" s="6" t="s">
        <v>46</v>
      </c>
      <c r="D694" s="7">
        <v>113000</v>
      </c>
    </row>
    <row r="695" spans="1:4" x14ac:dyDescent="0.2">
      <c r="A695" s="6" t="s">
        <v>14</v>
      </c>
      <c r="B695" s="6">
        <v>2012</v>
      </c>
      <c r="C695" s="6" t="s">
        <v>46</v>
      </c>
      <c r="D695" s="7">
        <v>69199.999999999985</v>
      </c>
    </row>
    <row r="696" spans="1:4" x14ac:dyDescent="0.2">
      <c r="A696" s="6" t="s">
        <v>15</v>
      </c>
      <c r="B696" s="6">
        <v>2012</v>
      </c>
      <c r="C696" s="6" t="s">
        <v>46</v>
      </c>
      <c r="D696" s="7">
        <v>100199.99999999999</v>
      </c>
    </row>
    <row r="697" spans="1:4" x14ac:dyDescent="0.2">
      <c r="A697" s="6" t="s">
        <v>16</v>
      </c>
      <c r="B697" s="6">
        <v>2012</v>
      </c>
      <c r="C697" s="6" t="s">
        <v>46</v>
      </c>
      <c r="D697" s="7">
        <v>295200.00000000006</v>
      </c>
    </row>
    <row r="698" spans="1:4" x14ac:dyDescent="0.2">
      <c r="A698" s="6" t="s">
        <v>17</v>
      </c>
      <c r="B698" s="6">
        <v>2012</v>
      </c>
      <c r="C698" s="6" t="s">
        <v>46</v>
      </c>
      <c r="D698" s="7">
        <v>172600</v>
      </c>
    </row>
    <row r="699" spans="1:4" x14ac:dyDescent="0.2">
      <c r="A699" s="6" t="s">
        <v>18</v>
      </c>
      <c r="B699" s="6">
        <v>2012</v>
      </c>
      <c r="C699" s="6" t="s">
        <v>46</v>
      </c>
      <c r="D699" s="7">
        <v>44199.999999999993</v>
      </c>
    </row>
    <row r="700" spans="1:4" x14ac:dyDescent="0.2">
      <c r="A700" s="6" t="s">
        <v>19</v>
      </c>
      <c r="B700" s="6">
        <v>2012</v>
      </c>
      <c r="C700" s="6" t="s">
        <v>46</v>
      </c>
      <c r="D700" s="7">
        <v>180000</v>
      </c>
    </row>
    <row r="701" spans="1:4" x14ac:dyDescent="0.2">
      <c r="A701" s="6" t="s">
        <v>20</v>
      </c>
      <c r="B701" s="6">
        <v>2012</v>
      </c>
      <c r="C701" s="6" t="s">
        <v>46</v>
      </c>
      <c r="D701" s="7">
        <v>378900</v>
      </c>
    </row>
    <row r="702" spans="1:4" x14ac:dyDescent="0.2">
      <c r="A702" s="6" t="s">
        <v>21</v>
      </c>
      <c r="B702" s="6">
        <v>2012</v>
      </c>
      <c r="C702" s="6" t="s">
        <v>46</v>
      </c>
      <c r="D702" s="7">
        <v>54000</v>
      </c>
    </row>
    <row r="703" spans="1:4" x14ac:dyDescent="0.2">
      <c r="A703" s="6" t="s">
        <v>22</v>
      </c>
      <c r="B703" s="6">
        <v>2012</v>
      </c>
      <c r="C703" s="6" t="s">
        <v>46</v>
      </c>
      <c r="D703" s="7">
        <v>64300</v>
      </c>
    </row>
    <row r="704" spans="1:4" x14ac:dyDescent="0.2">
      <c r="A704" s="6" t="s">
        <v>23</v>
      </c>
      <c r="B704" s="6">
        <v>2012</v>
      </c>
      <c r="C704" s="6" t="s">
        <v>46</v>
      </c>
      <c r="D704" s="7">
        <v>98000</v>
      </c>
    </row>
    <row r="705" spans="1:4" x14ac:dyDescent="0.2">
      <c r="A705" s="6" t="s">
        <v>24</v>
      </c>
      <c r="B705" s="6">
        <v>2012</v>
      </c>
      <c r="C705" s="6" t="s">
        <v>46</v>
      </c>
      <c r="D705" s="7">
        <v>96400</v>
      </c>
    </row>
    <row r="706" spans="1:4" x14ac:dyDescent="0.2">
      <c r="A706" s="6" t="s">
        <v>25</v>
      </c>
      <c r="B706" s="6">
        <v>2012</v>
      </c>
      <c r="C706" s="6" t="s">
        <v>46</v>
      </c>
      <c r="D706" s="7">
        <v>145500</v>
      </c>
    </row>
    <row r="707" spans="1:4" x14ac:dyDescent="0.2">
      <c r="A707" s="6" t="s">
        <v>26</v>
      </c>
      <c r="B707" s="6">
        <v>2012</v>
      </c>
      <c r="C707" s="6" t="s">
        <v>46</v>
      </c>
      <c r="D707" s="7">
        <v>90800</v>
      </c>
    </row>
    <row r="708" spans="1:4" x14ac:dyDescent="0.2">
      <c r="A708" s="6" t="s">
        <v>27</v>
      </c>
      <c r="B708" s="6">
        <v>2012</v>
      </c>
      <c r="C708" s="6" t="s">
        <v>46</v>
      </c>
      <c r="D708" s="7">
        <v>119200</v>
      </c>
    </row>
    <row r="709" spans="1:4" x14ac:dyDescent="0.2">
      <c r="A709" s="6" t="s">
        <v>28</v>
      </c>
      <c r="B709" s="6">
        <v>2012</v>
      </c>
      <c r="C709" s="6" t="s">
        <v>46</v>
      </c>
      <c r="D709" s="7">
        <v>364299.99999999994</v>
      </c>
    </row>
    <row r="710" spans="1:4" x14ac:dyDescent="0.2">
      <c r="A710" s="6" t="s">
        <v>29</v>
      </c>
      <c r="B710" s="6">
        <v>2012</v>
      </c>
      <c r="C710" s="6" t="s">
        <v>46</v>
      </c>
      <c r="D710" s="7">
        <v>331700</v>
      </c>
    </row>
    <row r="711" spans="1:4" x14ac:dyDescent="0.2">
      <c r="A711" s="6" t="s">
        <v>30</v>
      </c>
      <c r="B711" s="6">
        <v>2012</v>
      </c>
      <c r="C711" s="6" t="s">
        <v>46</v>
      </c>
      <c r="D711" s="7">
        <v>148500</v>
      </c>
    </row>
    <row r="712" spans="1:4" x14ac:dyDescent="0.2">
      <c r="A712" s="6" t="s">
        <v>31</v>
      </c>
      <c r="B712" s="6">
        <v>2012</v>
      </c>
      <c r="C712" s="6" t="s">
        <v>46</v>
      </c>
      <c r="D712" s="7">
        <v>100900</v>
      </c>
    </row>
    <row r="713" spans="1:4" x14ac:dyDescent="0.2">
      <c r="A713" s="6" t="s">
        <v>32</v>
      </c>
      <c r="B713" s="6">
        <v>2012</v>
      </c>
      <c r="C713" s="6" t="s">
        <v>46</v>
      </c>
      <c r="D713" s="7">
        <v>192200</v>
      </c>
    </row>
    <row r="714" spans="1:4" x14ac:dyDescent="0.2">
      <c r="A714" s="6" t="s">
        <v>33</v>
      </c>
      <c r="B714" s="6">
        <v>2012</v>
      </c>
      <c r="C714" s="6" t="s">
        <v>46</v>
      </c>
      <c r="D714" s="7">
        <v>75199.999999999985</v>
      </c>
    </row>
    <row r="715" spans="1:4" x14ac:dyDescent="0.2">
      <c r="A715" s="6" t="s">
        <v>34</v>
      </c>
      <c r="B715" s="6">
        <v>2012</v>
      </c>
      <c r="C715" s="6" t="s">
        <v>46</v>
      </c>
      <c r="D715" s="7">
        <v>29299.999999999996</v>
      </c>
    </row>
    <row r="716" spans="1:4" x14ac:dyDescent="0.2">
      <c r="A716" s="6" t="s">
        <v>35</v>
      </c>
      <c r="B716" s="6">
        <v>2012</v>
      </c>
      <c r="C716" s="6" t="s">
        <v>46</v>
      </c>
      <c r="D716" s="7">
        <v>120200</v>
      </c>
    </row>
    <row r="717" spans="1:4" x14ac:dyDescent="0.2">
      <c r="A717" s="6" t="s">
        <v>36</v>
      </c>
      <c r="B717" s="6">
        <v>2012</v>
      </c>
      <c r="C717" s="6" t="s">
        <v>46</v>
      </c>
      <c r="D717" s="7">
        <v>54700</v>
      </c>
    </row>
    <row r="718" spans="1:4" x14ac:dyDescent="0.2">
      <c r="A718" s="6" t="s">
        <v>37</v>
      </c>
      <c r="B718" s="6">
        <v>2012</v>
      </c>
      <c r="C718" s="6" t="s">
        <v>46</v>
      </c>
      <c r="D718" s="7">
        <v>103000</v>
      </c>
    </row>
    <row r="719" spans="1:4" x14ac:dyDescent="0.2">
      <c r="A719" s="6" t="s">
        <v>38</v>
      </c>
      <c r="B719" s="6">
        <v>2012</v>
      </c>
      <c r="C719" s="6" t="s">
        <v>46</v>
      </c>
      <c r="D719" s="7">
        <v>75400</v>
      </c>
    </row>
    <row r="720" spans="1:4" x14ac:dyDescent="0.2">
      <c r="A720" s="6" t="s">
        <v>39</v>
      </c>
      <c r="B720" s="6">
        <v>2012</v>
      </c>
      <c r="C720" s="6" t="s">
        <v>46</v>
      </c>
      <c r="D720" s="7">
        <v>73900</v>
      </c>
    </row>
    <row r="721" spans="1:4" x14ac:dyDescent="0.2">
      <c r="A721" s="6" t="s">
        <v>40</v>
      </c>
      <c r="B721" s="6">
        <v>2012</v>
      </c>
      <c r="C721" s="6" t="s">
        <v>46</v>
      </c>
      <c r="D721" s="7">
        <v>139500</v>
      </c>
    </row>
    <row r="722" spans="1:4" x14ac:dyDescent="0.2">
      <c r="A722" s="6" t="s">
        <v>41</v>
      </c>
      <c r="B722" s="6">
        <v>2012</v>
      </c>
      <c r="C722" s="6" t="s">
        <v>46</v>
      </c>
      <c r="D722" s="7">
        <v>194799.99999999997</v>
      </c>
    </row>
    <row r="723" spans="1:4" x14ac:dyDescent="0.2">
      <c r="A723" s="6" t="s">
        <v>42</v>
      </c>
      <c r="B723" s="6">
        <v>2012</v>
      </c>
      <c r="C723" s="6" t="s">
        <v>46</v>
      </c>
      <c r="D723" s="7">
        <v>123500</v>
      </c>
    </row>
    <row r="724" spans="1:4" x14ac:dyDescent="0.2">
      <c r="A724" s="6" t="s">
        <v>4</v>
      </c>
      <c r="B724" s="6">
        <v>2019</v>
      </c>
      <c r="C724" s="6" t="s">
        <v>46</v>
      </c>
      <c r="D724" s="7">
        <v>273700</v>
      </c>
    </row>
    <row r="725" spans="1:4" x14ac:dyDescent="0.2">
      <c r="A725" s="6" t="s">
        <v>6</v>
      </c>
      <c r="B725" s="6">
        <v>2019</v>
      </c>
      <c r="C725" s="6" t="s">
        <v>46</v>
      </c>
      <c r="D725" s="7">
        <v>179200.00000000003</v>
      </c>
    </row>
    <row r="726" spans="1:4" x14ac:dyDescent="0.2">
      <c r="A726" s="6" t="s">
        <v>7</v>
      </c>
      <c r="B726" s="6">
        <v>2019</v>
      </c>
      <c r="C726" s="6" t="s">
        <v>46</v>
      </c>
      <c r="D726" s="7">
        <v>116000</v>
      </c>
    </row>
    <row r="727" spans="1:4" x14ac:dyDescent="0.2">
      <c r="A727" s="6" t="s">
        <v>8</v>
      </c>
      <c r="B727" s="6">
        <v>2019</v>
      </c>
      <c r="C727" s="6" t="s">
        <v>46</v>
      </c>
      <c r="D727" s="7">
        <v>96600</v>
      </c>
    </row>
    <row r="728" spans="1:4" x14ac:dyDescent="0.2">
      <c r="A728" s="6" t="s">
        <v>9</v>
      </c>
      <c r="B728" s="6">
        <v>2019</v>
      </c>
      <c r="C728" s="6" t="s">
        <v>46</v>
      </c>
      <c r="D728" s="7">
        <v>455500</v>
      </c>
    </row>
    <row r="729" spans="1:4" x14ac:dyDescent="0.2">
      <c r="A729" s="6" t="s">
        <v>10</v>
      </c>
      <c r="B729" s="6">
        <v>2019</v>
      </c>
      <c r="C729" s="6" t="s">
        <v>46</v>
      </c>
      <c r="D729" s="7">
        <v>57700</v>
      </c>
    </row>
    <row r="730" spans="1:4" x14ac:dyDescent="0.2">
      <c r="A730" s="6" t="s">
        <v>11</v>
      </c>
      <c r="B730" s="6">
        <v>2019</v>
      </c>
      <c r="C730" s="6" t="s">
        <v>46</v>
      </c>
      <c r="D730" s="7">
        <v>52700</v>
      </c>
    </row>
    <row r="731" spans="1:4" x14ac:dyDescent="0.2">
      <c r="A731" s="6" t="s">
        <v>12</v>
      </c>
      <c r="B731" s="6">
        <v>2019</v>
      </c>
      <c r="C731" s="6" t="s">
        <v>46</v>
      </c>
      <c r="D731" s="7">
        <v>50699.999999999993</v>
      </c>
    </row>
    <row r="732" spans="1:4" x14ac:dyDescent="0.2">
      <c r="A732" s="6" t="s">
        <v>13</v>
      </c>
      <c r="B732" s="6">
        <v>2019</v>
      </c>
      <c r="C732" s="6" t="s">
        <v>46</v>
      </c>
      <c r="D732" s="7">
        <v>121100</v>
      </c>
    </row>
    <row r="733" spans="1:4" x14ac:dyDescent="0.2">
      <c r="A733" s="6" t="s">
        <v>14</v>
      </c>
      <c r="B733" s="6">
        <v>2019</v>
      </c>
      <c r="C733" s="6" t="s">
        <v>46</v>
      </c>
      <c r="D733" s="7">
        <v>78800</v>
      </c>
    </row>
    <row r="734" spans="1:4" x14ac:dyDescent="0.2">
      <c r="A734" s="6" t="s">
        <v>15</v>
      </c>
      <c r="B734" s="6">
        <v>2019</v>
      </c>
      <c r="C734" s="6" t="s">
        <v>46</v>
      </c>
      <c r="D734" s="7">
        <v>97199.999999999985</v>
      </c>
    </row>
    <row r="735" spans="1:4" x14ac:dyDescent="0.2">
      <c r="A735" s="6" t="s">
        <v>16</v>
      </c>
      <c r="B735" s="6">
        <v>2019</v>
      </c>
      <c r="C735" s="6" t="s">
        <v>46</v>
      </c>
      <c r="D735" s="7">
        <v>381500</v>
      </c>
    </row>
    <row r="736" spans="1:4" x14ac:dyDescent="0.2">
      <c r="A736" s="6" t="s">
        <v>17</v>
      </c>
      <c r="B736" s="6">
        <v>2019</v>
      </c>
      <c r="C736" s="6" t="s">
        <v>46</v>
      </c>
      <c r="D736" s="7">
        <v>171899.99999999997</v>
      </c>
    </row>
    <row r="737" spans="1:4" x14ac:dyDescent="0.2">
      <c r="A737" s="6" t="s">
        <v>18</v>
      </c>
      <c r="B737" s="6">
        <v>2019</v>
      </c>
      <c r="C737" s="6" t="s">
        <v>46</v>
      </c>
      <c r="D737" s="7">
        <v>38400</v>
      </c>
    </row>
    <row r="738" spans="1:4" x14ac:dyDescent="0.2">
      <c r="A738" s="6" t="s">
        <v>19</v>
      </c>
      <c r="B738" s="6">
        <v>2019</v>
      </c>
      <c r="C738" s="6" t="s">
        <v>46</v>
      </c>
      <c r="D738" s="7">
        <v>201900</v>
      </c>
    </row>
    <row r="739" spans="1:4" x14ac:dyDescent="0.2">
      <c r="A739" s="6" t="s">
        <v>20</v>
      </c>
      <c r="B739" s="6">
        <v>2019</v>
      </c>
      <c r="C739" s="6" t="s">
        <v>46</v>
      </c>
      <c r="D739" s="7">
        <v>450100</v>
      </c>
    </row>
    <row r="740" spans="1:4" x14ac:dyDescent="0.2">
      <c r="A740" s="6" t="s">
        <v>21</v>
      </c>
      <c r="B740" s="6">
        <v>2019</v>
      </c>
      <c r="C740" s="6" t="s">
        <v>46</v>
      </c>
      <c r="D740" s="7">
        <v>57300</v>
      </c>
    </row>
    <row r="741" spans="1:4" x14ac:dyDescent="0.2">
      <c r="A741" s="6" t="s">
        <v>22</v>
      </c>
      <c r="B741" s="6">
        <v>2019</v>
      </c>
      <c r="C741" s="6" t="s">
        <v>46</v>
      </c>
      <c r="D741" s="7">
        <v>61800</v>
      </c>
    </row>
    <row r="742" spans="1:4" x14ac:dyDescent="0.2">
      <c r="A742" s="6" t="s">
        <v>23</v>
      </c>
      <c r="B742" s="6">
        <v>2019</v>
      </c>
      <c r="C742" s="6" t="s">
        <v>46</v>
      </c>
      <c r="D742" s="7">
        <v>105300</v>
      </c>
    </row>
    <row r="743" spans="1:4" x14ac:dyDescent="0.2">
      <c r="A743" s="6" t="s">
        <v>24</v>
      </c>
      <c r="B743" s="6">
        <v>2019</v>
      </c>
      <c r="C743" s="6" t="s">
        <v>46</v>
      </c>
      <c r="D743" s="7">
        <v>94400</v>
      </c>
    </row>
    <row r="744" spans="1:4" x14ac:dyDescent="0.2">
      <c r="A744" s="6" t="s">
        <v>25</v>
      </c>
      <c r="B744" s="6">
        <v>2019</v>
      </c>
      <c r="C744" s="6" t="s">
        <v>46</v>
      </c>
      <c r="D744" s="7">
        <v>146900</v>
      </c>
    </row>
    <row r="745" spans="1:4" x14ac:dyDescent="0.2">
      <c r="A745" s="6" t="s">
        <v>26</v>
      </c>
      <c r="B745" s="6">
        <v>2019</v>
      </c>
      <c r="C745" s="6" t="s">
        <v>46</v>
      </c>
      <c r="D745" s="7">
        <v>96600</v>
      </c>
    </row>
    <row r="746" spans="1:4" x14ac:dyDescent="0.2">
      <c r="A746" s="6" t="s">
        <v>27</v>
      </c>
      <c r="B746" s="6">
        <v>2019</v>
      </c>
      <c r="C746" s="6" t="s">
        <v>46</v>
      </c>
      <c r="D746" s="7">
        <v>135800</v>
      </c>
    </row>
    <row r="747" spans="1:4" x14ac:dyDescent="0.2">
      <c r="A747" s="6" t="s">
        <v>28</v>
      </c>
      <c r="B747" s="6">
        <v>2019</v>
      </c>
      <c r="C747" s="6" t="s">
        <v>46</v>
      </c>
      <c r="D747" s="7">
        <v>400400</v>
      </c>
    </row>
    <row r="748" spans="1:4" x14ac:dyDescent="0.2">
      <c r="A748" s="6" t="s">
        <v>29</v>
      </c>
      <c r="B748" s="6">
        <v>2019</v>
      </c>
      <c r="C748" s="6" t="s">
        <v>46</v>
      </c>
      <c r="D748" s="7">
        <v>362000</v>
      </c>
    </row>
    <row r="749" spans="1:4" x14ac:dyDescent="0.2">
      <c r="A749" s="6" t="s">
        <v>30</v>
      </c>
      <c r="B749" s="6">
        <v>2019</v>
      </c>
      <c r="C749" s="6" t="s">
        <v>46</v>
      </c>
      <c r="D749" s="7">
        <v>163500</v>
      </c>
    </row>
    <row r="750" spans="1:4" x14ac:dyDescent="0.2">
      <c r="A750" s="6" t="s">
        <v>31</v>
      </c>
      <c r="B750" s="6">
        <v>2019</v>
      </c>
      <c r="C750" s="6" t="s">
        <v>46</v>
      </c>
      <c r="D750" s="7">
        <v>98900</v>
      </c>
    </row>
    <row r="751" spans="1:4" x14ac:dyDescent="0.2">
      <c r="A751" s="6" t="s">
        <v>32</v>
      </c>
      <c r="B751" s="6">
        <v>2019</v>
      </c>
      <c r="C751" s="6" t="s">
        <v>46</v>
      </c>
      <c r="D751" s="7">
        <v>203100.00000000003</v>
      </c>
    </row>
    <row r="752" spans="1:4" x14ac:dyDescent="0.2">
      <c r="A752" s="6" t="s">
        <v>33</v>
      </c>
      <c r="B752" s="6">
        <v>2019</v>
      </c>
      <c r="C752" s="6" t="s">
        <v>46</v>
      </c>
      <c r="D752" s="7">
        <v>80800</v>
      </c>
    </row>
    <row r="753" spans="1:4" x14ac:dyDescent="0.2">
      <c r="A753" s="6" t="s">
        <v>34</v>
      </c>
      <c r="B753" s="6">
        <v>2019</v>
      </c>
      <c r="C753" s="6" t="s">
        <v>46</v>
      </c>
      <c r="D753" s="7">
        <v>31600</v>
      </c>
    </row>
    <row r="754" spans="1:4" x14ac:dyDescent="0.2">
      <c r="A754" s="6" t="s">
        <v>35</v>
      </c>
      <c r="B754" s="6">
        <v>2019</v>
      </c>
      <c r="C754" s="6" t="s">
        <v>46</v>
      </c>
      <c r="D754" s="7">
        <v>126400</v>
      </c>
    </row>
    <row r="755" spans="1:4" x14ac:dyDescent="0.2">
      <c r="A755" s="6" t="s">
        <v>36</v>
      </c>
      <c r="B755" s="6">
        <v>2019</v>
      </c>
      <c r="C755" s="6" t="s">
        <v>46</v>
      </c>
      <c r="D755" s="7">
        <v>56400</v>
      </c>
    </row>
    <row r="756" spans="1:4" x14ac:dyDescent="0.2">
      <c r="A756" s="6" t="s">
        <v>37</v>
      </c>
      <c r="B756" s="6">
        <v>2019</v>
      </c>
      <c r="C756" s="6" t="s">
        <v>46</v>
      </c>
      <c r="D756" s="7">
        <v>98400</v>
      </c>
    </row>
    <row r="757" spans="1:4" x14ac:dyDescent="0.2">
      <c r="A757" s="6" t="s">
        <v>38</v>
      </c>
      <c r="B757" s="6">
        <v>2019</v>
      </c>
      <c r="C757" s="6" t="s">
        <v>46</v>
      </c>
      <c r="D757" s="7">
        <v>73300</v>
      </c>
    </row>
    <row r="758" spans="1:4" x14ac:dyDescent="0.2">
      <c r="A758" s="6" t="s">
        <v>39</v>
      </c>
      <c r="B758" s="6">
        <v>2019</v>
      </c>
      <c r="C758" s="6" t="s">
        <v>46</v>
      </c>
      <c r="D758" s="7">
        <v>81000</v>
      </c>
    </row>
    <row r="759" spans="1:4" x14ac:dyDescent="0.2">
      <c r="A759" s="6" t="s">
        <v>40</v>
      </c>
      <c r="B759" s="6">
        <v>2019</v>
      </c>
      <c r="C759" s="6" t="s">
        <v>46</v>
      </c>
      <c r="D759" s="7">
        <v>138200</v>
      </c>
    </row>
    <row r="760" spans="1:4" x14ac:dyDescent="0.2">
      <c r="A760" s="6" t="s">
        <v>41</v>
      </c>
      <c r="B760" s="6">
        <v>2019</v>
      </c>
      <c r="C760" s="6" t="s">
        <v>46</v>
      </c>
      <c r="D760" s="7">
        <v>189399.99999999997</v>
      </c>
    </row>
    <row r="761" spans="1:4" x14ac:dyDescent="0.2">
      <c r="A761" s="6" t="s">
        <v>42</v>
      </c>
      <c r="B761" s="6">
        <v>2019</v>
      </c>
      <c r="C761" s="6" t="s">
        <v>46</v>
      </c>
      <c r="D761" s="7">
        <v>106900</v>
      </c>
    </row>
    <row r="762" spans="1:4" x14ac:dyDescent="0.2">
      <c r="A762" s="6" t="s">
        <v>4</v>
      </c>
      <c r="B762" s="6">
        <v>1999</v>
      </c>
      <c r="C762" s="6" t="s">
        <v>47</v>
      </c>
      <c r="D762" s="7">
        <v>437500</v>
      </c>
    </row>
    <row r="763" spans="1:4" x14ac:dyDescent="0.2">
      <c r="A763" s="6" t="s">
        <v>6</v>
      </c>
      <c r="B763" s="6">
        <v>1999</v>
      </c>
      <c r="C763" s="6" t="s">
        <v>47</v>
      </c>
      <c r="D763" s="7">
        <v>335200</v>
      </c>
    </row>
    <row r="764" spans="1:4" x14ac:dyDescent="0.2">
      <c r="A764" s="6" t="s">
        <v>7</v>
      </c>
      <c r="B764" s="6">
        <v>1999</v>
      </c>
      <c r="C764" s="6" t="s">
        <v>47</v>
      </c>
      <c r="D764" s="7">
        <v>253300</v>
      </c>
    </row>
    <row r="765" spans="1:4" x14ac:dyDescent="0.2">
      <c r="A765" s="6" t="s">
        <v>8</v>
      </c>
      <c r="B765" s="6">
        <v>1999</v>
      </c>
      <c r="C765" s="6" t="s">
        <v>47</v>
      </c>
      <c r="D765" s="7">
        <v>205400</v>
      </c>
    </row>
    <row r="766" spans="1:4" x14ac:dyDescent="0.2">
      <c r="A766" s="6" t="s">
        <v>9</v>
      </c>
      <c r="B766" s="6">
        <v>1999</v>
      </c>
      <c r="C766" s="6" t="s">
        <v>47</v>
      </c>
      <c r="D766" s="7">
        <v>549400</v>
      </c>
    </row>
    <row r="767" spans="1:4" x14ac:dyDescent="0.2">
      <c r="A767" s="6" t="s">
        <v>10</v>
      </c>
      <c r="B767" s="6">
        <v>1999</v>
      </c>
      <c r="C767" s="6" t="s">
        <v>47</v>
      </c>
      <c r="D767" s="7">
        <v>128300.00000000001</v>
      </c>
    </row>
    <row r="768" spans="1:4" x14ac:dyDescent="0.2">
      <c r="A768" s="6" t="s">
        <v>11</v>
      </c>
      <c r="B768" s="6">
        <v>1999</v>
      </c>
      <c r="C768" s="6" t="s">
        <v>47</v>
      </c>
      <c r="D768" s="7">
        <v>129600</v>
      </c>
    </row>
    <row r="769" spans="1:4" x14ac:dyDescent="0.2">
      <c r="A769" s="6" t="s">
        <v>12</v>
      </c>
      <c r="B769" s="6">
        <v>1999</v>
      </c>
      <c r="C769" s="6" t="s">
        <v>47</v>
      </c>
      <c r="D769" s="7">
        <v>132900</v>
      </c>
    </row>
    <row r="770" spans="1:4" x14ac:dyDescent="0.2">
      <c r="A770" s="6" t="s">
        <v>13</v>
      </c>
      <c r="B770" s="6">
        <v>1999</v>
      </c>
      <c r="C770" s="6" t="s">
        <v>47</v>
      </c>
      <c r="D770" s="7">
        <v>177200</v>
      </c>
    </row>
    <row r="771" spans="1:4" x14ac:dyDescent="0.2">
      <c r="A771" s="6" t="s">
        <v>14</v>
      </c>
      <c r="B771" s="6">
        <v>1999</v>
      </c>
      <c r="C771" s="6" t="s">
        <v>47</v>
      </c>
      <c r="D771" s="7">
        <v>163600</v>
      </c>
    </row>
    <row r="772" spans="1:4" x14ac:dyDescent="0.2">
      <c r="A772" s="6" t="s">
        <v>15</v>
      </c>
      <c r="B772" s="6">
        <v>1999</v>
      </c>
      <c r="C772" s="6" t="s">
        <v>47</v>
      </c>
      <c r="D772" s="7">
        <v>208400</v>
      </c>
    </row>
    <row r="773" spans="1:4" x14ac:dyDescent="0.2">
      <c r="A773" s="6" t="s">
        <v>16</v>
      </c>
      <c r="B773" s="6">
        <v>1999</v>
      </c>
      <c r="C773" s="6" t="s">
        <v>47</v>
      </c>
      <c r="D773" s="7">
        <v>545800</v>
      </c>
    </row>
    <row r="774" spans="1:4" x14ac:dyDescent="0.2">
      <c r="A774" s="6" t="s">
        <v>17</v>
      </c>
      <c r="B774" s="6">
        <v>1999</v>
      </c>
      <c r="C774" s="6" t="s">
        <v>47</v>
      </c>
      <c r="D774" s="7">
        <v>362300</v>
      </c>
    </row>
    <row r="775" spans="1:4" x14ac:dyDescent="0.2">
      <c r="A775" s="6" t="s">
        <v>18</v>
      </c>
      <c r="B775" s="6">
        <v>1999</v>
      </c>
      <c r="C775" s="6" t="s">
        <v>47</v>
      </c>
      <c r="D775" s="7">
        <v>81100</v>
      </c>
    </row>
    <row r="776" spans="1:4" x14ac:dyDescent="0.2">
      <c r="A776" s="6" t="s">
        <v>19</v>
      </c>
      <c r="B776" s="6">
        <v>1999</v>
      </c>
      <c r="C776" s="6" t="s">
        <v>47</v>
      </c>
      <c r="D776" s="7">
        <v>226900</v>
      </c>
    </row>
    <row r="777" spans="1:4" x14ac:dyDescent="0.2">
      <c r="A777" s="6" t="s">
        <v>20</v>
      </c>
      <c r="B777" s="6">
        <v>1999</v>
      </c>
      <c r="C777" s="6" t="s">
        <v>47</v>
      </c>
      <c r="D777" s="7">
        <v>454200</v>
      </c>
    </row>
    <row r="778" spans="1:4" x14ac:dyDescent="0.2">
      <c r="A778" s="6" t="s">
        <v>21</v>
      </c>
      <c r="B778" s="6">
        <v>1999</v>
      </c>
      <c r="C778" s="6" t="s">
        <v>47</v>
      </c>
      <c r="D778" s="7">
        <v>132400</v>
      </c>
    </row>
    <row r="779" spans="1:4" x14ac:dyDescent="0.2">
      <c r="A779" s="6" t="s">
        <v>22</v>
      </c>
      <c r="B779" s="6">
        <v>1999</v>
      </c>
      <c r="C779" s="6" t="s">
        <v>47</v>
      </c>
      <c r="D779" s="7">
        <v>158700</v>
      </c>
    </row>
    <row r="780" spans="1:4" x14ac:dyDescent="0.2">
      <c r="A780" s="6" t="s">
        <v>23</v>
      </c>
      <c r="B780" s="6">
        <v>1999</v>
      </c>
      <c r="C780" s="6" t="s">
        <v>47</v>
      </c>
      <c r="D780" s="7">
        <v>264600</v>
      </c>
    </row>
    <row r="781" spans="1:4" x14ac:dyDescent="0.2">
      <c r="A781" s="6" t="s">
        <v>24</v>
      </c>
      <c r="B781" s="6">
        <v>1999</v>
      </c>
      <c r="C781" s="6" t="s">
        <v>47</v>
      </c>
      <c r="D781" s="7">
        <v>201000</v>
      </c>
    </row>
    <row r="782" spans="1:4" x14ac:dyDescent="0.2">
      <c r="A782" s="6" t="s">
        <v>25</v>
      </c>
      <c r="B782" s="6">
        <v>1999</v>
      </c>
      <c r="C782" s="6" t="s">
        <v>47</v>
      </c>
      <c r="D782" s="7">
        <v>268200</v>
      </c>
    </row>
    <row r="783" spans="1:4" x14ac:dyDescent="0.2">
      <c r="A783" s="6" t="s">
        <v>26</v>
      </c>
      <c r="B783" s="6">
        <v>1999</v>
      </c>
      <c r="C783" s="6" t="s">
        <v>47</v>
      </c>
      <c r="D783" s="7">
        <v>218700</v>
      </c>
    </row>
    <row r="784" spans="1:4" x14ac:dyDescent="0.2">
      <c r="A784" s="6" t="s">
        <v>27</v>
      </c>
      <c r="B784" s="6">
        <v>1999</v>
      </c>
      <c r="C784" s="6" t="s">
        <v>47</v>
      </c>
      <c r="D784" s="7">
        <v>305600</v>
      </c>
    </row>
    <row r="785" spans="1:4" x14ac:dyDescent="0.2">
      <c r="A785" s="6" t="s">
        <v>28</v>
      </c>
      <c r="B785" s="6">
        <v>1999</v>
      </c>
      <c r="C785" s="6" t="s">
        <v>47</v>
      </c>
      <c r="D785" s="7">
        <v>609100</v>
      </c>
    </row>
    <row r="786" spans="1:4" x14ac:dyDescent="0.2">
      <c r="A786" s="6" t="s">
        <v>29</v>
      </c>
      <c r="B786" s="6">
        <v>1999</v>
      </c>
      <c r="C786" s="6" t="s">
        <v>47</v>
      </c>
      <c r="D786" s="7">
        <v>577200</v>
      </c>
    </row>
    <row r="787" spans="1:4" x14ac:dyDescent="0.2">
      <c r="A787" s="6" t="s">
        <v>30</v>
      </c>
      <c r="B787" s="6">
        <v>1999</v>
      </c>
      <c r="C787" s="6" t="s">
        <v>47</v>
      </c>
      <c r="D787" s="7">
        <v>300700</v>
      </c>
    </row>
    <row r="788" spans="1:4" x14ac:dyDescent="0.2">
      <c r="A788" s="6" t="s">
        <v>31</v>
      </c>
      <c r="B788" s="6">
        <v>1999</v>
      </c>
      <c r="C788" s="6" t="s">
        <v>47</v>
      </c>
      <c r="D788" s="7">
        <v>241600</v>
      </c>
    </row>
    <row r="789" spans="1:4" x14ac:dyDescent="0.2">
      <c r="A789" s="6" t="s">
        <v>32</v>
      </c>
      <c r="B789" s="6">
        <v>1999</v>
      </c>
      <c r="C789" s="6" t="s">
        <v>47</v>
      </c>
      <c r="D789" s="7">
        <v>429100</v>
      </c>
    </row>
    <row r="790" spans="1:4" x14ac:dyDescent="0.2">
      <c r="A790" s="6" t="s">
        <v>33</v>
      </c>
      <c r="B790" s="6">
        <v>1999</v>
      </c>
      <c r="C790" s="6" t="s">
        <v>47</v>
      </c>
      <c r="D790" s="7">
        <v>196000</v>
      </c>
    </row>
    <row r="791" spans="1:4" x14ac:dyDescent="0.2">
      <c r="A791" s="6" t="s">
        <v>34</v>
      </c>
      <c r="B791" s="6">
        <v>1999</v>
      </c>
      <c r="C791" s="6" t="s">
        <v>47</v>
      </c>
      <c r="D791" s="7">
        <v>67700</v>
      </c>
    </row>
    <row r="792" spans="1:4" x14ac:dyDescent="0.2">
      <c r="A792" s="6" t="s">
        <v>35</v>
      </c>
      <c r="B792" s="6">
        <v>1999</v>
      </c>
      <c r="C792" s="6" t="s">
        <v>47</v>
      </c>
      <c r="D792" s="7">
        <v>247500</v>
      </c>
    </row>
    <row r="793" spans="1:4" x14ac:dyDescent="0.2">
      <c r="A793" s="6" t="s">
        <v>36</v>
      </c>
      <c r="B793" s="6">
        <v>1999</v>
      </c>
      <c r="C793" s="6" t="s">
        <v>47</v>
      </c>
      <c r="D793" s="7">
        <v>133500</v>
      </c>
    </row>
    <row r="794" spans="1:4" x14ac:dyDescent="0.2">
      <c r="A794" s="6" t="s">
        <v>37</v>
      </c>
      <c r="B794" s="6">
        <v>1999</v>
      </c>
      <c r="C794" s="6" t="s">
        <v>47</v>
      </c>
      <c r="D794" s="7">
        <v>0</v>
      </c>
    </row>
    <row r="795" spans="1:4" x14ac:dyDescent="0.2">
      <c r="A795" s="6" t="s">
        <v>38</v>
      </c>
      <c r="B795" s="6">
        <v>1999</v>
      </c>
      <c r="C795" s="6" t="s">
        <v>47</v>
      </c>
      <c r="D795" s="7">
        <v>0</v>
      </c>
    </row>
    <row r="796" spans="1:4" x14ac:dyDescent="0.2">
      <c r="A796" s="6" t="s">
        <v>39</v>
      </c>
      <c r="B796" s="6">
        <v>1999</v>
      </c>
      <c r="C796" s="6" t="s">
        <v>47</v>
      </c>
      <c r="D796" s="7">
        <v>0</v>
      </c>
    </row>
    <row r="797" spans="1:4" x14ac:dyDescent="0.2">
      <c r="A797" s="6" t="s">
        <v>40</v>
      </c>
      <c r="B797" s="6">
        <v>1999</v>
      </c>
      <c r="C797" s="6" t="s">
        <v>47</v>
      </c>
      <c r="D797" s="7">
        <v>352600</v>
      </c>
    </row>
    <row r="798" spans="1:4" x14ac:dyDescent="0.2">
      <c r="A798" s="6" t="s">
        <v>41</v>
      </c>
      <c r="B798" s="6">
        <v>1999</v>
      </c>
      <c r="C798" s="6" t="s">
        <v>47</v>
      </c>
      <c r="D798" s="7">
        <v>398800</v>
      </c>
    </row>
    <row r="799" spans="1:4" x14ac:dyDescent="0.2">
      <c r="A799" s="6" t="s">
        <v>42</v>
      </c>
      <c r="B799" s="6">
        <v>1999</v>
      </c>
      <c r="C799" s="6" t="s">
        <v>47</v>
      </c>
      <c r="D799" s="7">
        <v>389500</v>
      </c>
    </row>
    <row r="800" spans="1:4" x14ac:dyDescent="0.2">
      <c r="A800" s="6" t="s">
        <v>4</v>
      </c>
      <c r="B800" s="6">
        <v>2011</v>
      </c>
      <c r="C800" s="6" t="s">
        <v>47</v>
      </c>
      <c r="D800" s="7">
        <v>493000</v>
      </c>
    </row>
    <row r="801" spans="1:4" x14ac:dyDescent="0.2">
      <c r="A801" s="6" t="s">
        <v>6</v>
      </c>
      <c r="B801" s="6">
        <v>2011</v>
      </c>
      <c r="C801" s="6" t="s">
        <v>47</v>
      </c>
      <c r="D801" s="7">
        <v>387599.99999999994</v>
      </c>
    </row>
    <row r="802" spans="1:4" x14ac:dyDescent="0.2">
      <c r="A802" s="6" t="s">
        <v>7</v>
      </c>
      <c r="B802" s="6">
        <v>2011</v>
      </c>
      <c r="C802" s="6" t="s">
        <v>47</v>
      </c>
      <c r="D802" s="7">
        <v>321400</v>
      </c>
    </row>
    <row r="803" spans="1:4" x14ac:dyDescent="0.2">
      <c r="A803" s="6" t="s">
        <v>8</v>
      </c>
      <c r="B803" s="6">
        <v>2011</v>
      </c>
      <c r="C803" s="6" t="s">
        <v>47</v>
      </c>
      <c r="D803" s="7">
        <v>258399.99999999997</v>
      </c>
    </row>
    <row r="804" spans="1:4" x14ac:dyDescent="0.2">
      <c r="A804" s="6" t="s">
        <v>9</v>
      </c>
      <c r="B804" s="6">
        <v>2011</v>
      </c>
      <c r="C804" s="6" t="s">
        <v>47</v>
      </c>
      <c r="D804" s="7">
        <v>618400</v>
      </c>
    </row>
    <row r="805" spans="1:4" x14ac:dyDescent="0.2">
      <c r="A805" s="6" t="s">
        <v>10</v>
      </c>
      <c r="B805" s="6">
        <v>2011</v>
      </c>
      <c r="C805" s="6" t="s">
        <v>47</v>
      </c>
      <c r="D805" s="7">
        <v>154100</v>
      </c>
    </row>
    <row r="806" spans="1:4" x14ac:dyDescent="0.2">
      <c r="A806" s="6" t="s">
        <v>11</v>
      </c>
      <c r="B806" s="6">
        <v>2011</v>
      </c>
      <c r="C806" s="6" t="s">
        <v>47</v>
      </c>
      <c r="D806" s="7">
        <v>154600</v>
      </c>
    </row>
    <row r="807" spans="1:4" x14ac:dyDescent="0.2">
      <c r="A807" s="6" t="s">
        <v>12</v>
      </c>
      <c r="B807" s="6">
        <v>2011</v>
      </c>
      <c r="C807" s="6" t="s">
        <v>47</v>
      </c>
      <c r="D807" s="7">
        <v>147400</v>
      </c>
    </row>
    <row r="808" spans="1:4" x14ac:dyDescent="0.2">
      <c r="A808" s="6" t="s">
        <v>13</v>
      </c>
      <c r="B808" s="6">
        <v>2011</v>
      </c>
      <c r="C808" s="6" t="s">
        <v>47</v>
      </c>
      <c r="D808" s="7">
        <v>231700</v>
      </c>
    </row>
    <row r="809" spans="1:4" x14ac:dyDescent="0.2">
      <c r="A809" s="6" t="s">
        <v>14</v>
      </c>
      <c r="B809" s="6">
        <v>2011</v>
      </c>
      <c r="C809" s="6" t="s">
        <v>47</v>
      </c>
      <c r="D809" s="7">
        <v>191500</v>
      </c>
    </row>
    <row r="810" spans="1:4" x14ac:dyDescent="0.2">
      <c r="A810" s="6" t="s">
        <v>15</v>
      </c>
      <c r="B810" s="6">
        <v>2011</v>
      </c>
      <c r="C810" s="6" t="s">
        <v>47</v>
      </c>
      <c r="D810" s="7">
        <v>234500</v>
      </c>
    </row>
    <row r="811" spans="1:4" x14ac:dyDescent="0.2">
      <c r="A811" s="6" t="s">
        <v>16</v>
      </c>
      <c r="B811" s="6">
        <v>2011</v>
      </c>
      <c r="C811" s="6" t="s">
        <v>47</v>
      </c>
      <c r="D811" s="7">
        <v>566200</v>
      </c>
    </row>
    <row r="812" spans="1:4" x14ac:dyDescent="0.2">
      <c r="A812" s="6" t="s">
        <v>17</v>
      </c>
      <c r="B812" s="6">
        <v>2011</v>
      </c>
      <c r="C812" s="6" t="s">
        <v>47</v>
      </c>
      <c r="D812" s="7">
        <v>399200</v>
      </c>
    </row>
    <row r="813" spans="1:4" x14ac:dyDescent="0.2">
      <c r="A813" s="6" t="s">
        <v>18</v>
      </c>
      <c r="B813" s="6">
        <v>2011</v>
      </c>
      <c r="C813" s="6" t="s">
        <v>47</v>
      </c>
      <c r="D813" s="7">
        <v>95100</v>
      </c>
    </row>
    <row r="814" spans="1:4" x14ac:dyDescent="0.2">
      <c r="A814" s="6" t="s">
        <v>19</v>
      </c>
      <c r="B814" s="6">
        <v>2011</v>
      </c>
      <c r="C814" s="6" t="s">
        <v>47</v>
      </c>
      <c r="D814" s="7">
        <v>247900</v>
      </c>
    </row>
    <row r="815" spans="1:4" x14ac:dyDescent="0.2">
      <c r="A815" s="6" t="s">
        <v>20</v>
      </c>
      <c r="B815" s="6">
        <v>2011</v>
      </c>
      <c r="C815" s="6" t="s">
        <v>47</v>
      </c>
      <c r="D815" s="7">
        <v>501100</v>
      </c>
    </row>
    <row r="816" spans="1:4" x14ac:dyDescent="0.2">
      <c r="A816" s="6" t="s">
        <v>21</v>
      </c>
      <c r="B816" s="6">
        <v>2011</v>
      </c>
      <c r="C816" s="6" t="s">
        <v>47</v>
      </c>
      <c r="D816" s="7">
        <v>165000</v>
      </c>
    </row>
    <row r="817" spans="1:4" x14ac:dyDescent="0.2">
      <c r="A817" s="6" t="s">
        <v>22</v>
      </c>
      <c r="B817" s="6">
        <v>2011</v>
      </c>
      <c r="C817" s="6" t="s">
        <v>47</v>
      </c>
      <c r="D817" s="7">
        <v>187799.99999999997</v>
      </c>
    </row>
    <row r="818" spans="1:4" x14ac:dyDescent="0.2">
      <c r="A818" s="6" t="s">
        <v>23</v>
      </c>
      <c r="B818" s="6">
        <v>2011</v>
      </c>
      <c r="C818" s="6" t="s">
        <v>47</v>
      </c>
      <c r="D818" s="7">
        <v>242700</v>
      </c>
    </row>
    <row r="819" spans="1:4" x14ac:dyDescent="0.2">
      <c r="A819" s="6" t="s">
        <v>24</v>
      </c>
      <c r="B819" s="6">
        <v>2011</v>
      </c>
      <c r="C819" s="6" t="s">
        <v>47</v>
      </c>
      <c r="D819" s="7">
        <v>227600</v>
      </c>
    </row>
    <row r="820" spans="1:4" x14ac:dyDescent="0.2">
      <c r="A820" s="6" t="s">
        <v>25</v>
      </c>
      <c r="B820" s="6">
        <v>2011</v>
      </c>
      <c r="C820" s="6" t="s">
        <v>47</v>
      </c>
      <c r="D820" s="7">
        <v>322800</v>
      </c>
    </row>
    <row r="821" spans="1:4" x14ac:dyDescent="0.2">
      <c r="A821" s="6" t="s">
        <v>26</v>
      </c>
      <c r="B821" s="6">
        <v>2011</v>
      </c>
      <c r="C821" s="6" t="s">
        <v>47</v>
      </c>
      <c r="D821" s="7">
        <v>243600</v>
      </c>
    </row>
    <row r="822" spans="1:4" x14ac:dyDescent="0.2">
      <c r="A822" s="6" t="s">
        <v>27</v>
      </c>
      <c r="B822" s="6">
        <v>2011</v>
      </c>
      <c r="C822" s="6" t="s">
        <v>47</v>
      </c>
      <c r="D822" s="7">
        <v>345300</v>
      </c>
    </row>
    <row r="823" spans="1:4" x14ac:dyDescent="0.2">
      <c r="A823" s="6" t="s">
        <v>28</v>
      </c>
      <c r="B823" s="6">
        <v>2011</v>
      </c>
      <c r="C823" s="6" t="s">
        <v>47</v>
      </c>
      <c r="D823" s="7">
        <v>682400</v>
      </c>
    </row>
    <row r="824" spans="1:4" x14ac:dyDescent="0.2">
      <c r="A824" s="6" t="s">
        <v>29</v>
      </c>
      <c r="B824" s="6">
        <v>2011</v>
      </c>
      <c r="C824" s="6" t="s">
        <v>47</v>
      </c>
      <c r="D824" s="7">
        <v>646000</v>
      </c>
    </row>
    <row r="825" spans="1:4" x14ac:dyDescent="0.2">
      <c r="A825" s="6" t="s">
        <v>30</v>
      </c>
      <c r="B825" s="6">
        <v>2011</v>
      </c>
      <c r="C825" s="6" t="s">
        <v>47</v>
      </c>
      <c r="D825" s="7">
        <v>377000</v>
      </c>
    </row>
    <row r="826" spans="1:4" x14ac:dyDescent="0.2">
      <c r="A826" s="6" t="s">
        <v>31</v>
      </c>
      <c r="B826" s="6">
        <v>2011</v>
      </c>
      <c r="C826" s="6" t="s">
        <v>47</v>
      </c>
      <c r="D826" s="7">
        <v>278300</v>
      </c>
    </row>
    <row r="827" spans="1:4" x14ac:dyDescent="0.2">
      <c r="A827" s="6" t="s">
        <v>32</v>
      </c>
      <c r="B827" s="6">
        <v>2011</v>
      </c>
      <c r="C827" s="6" t="s">
        <v>47</v>
      </c>
      <c r="D827" s="7">
        <v>483400</v>
      </c>
    </row>
    <row r="828" spans="1:4" x14ac:dyDescent="0.2">
      <c r="A828" s="6" t="s">
        <v>33</v>
      </c>
      <c r="B828" s="6">
        <v>2011</v>
      </c>
      <c r="C828" s="6" t="s">
        <v>47</v>
      </c>
      <c r="D828" s="7">
        <v>236100.00000000003</v>
      </c>
    </row>
    <row r="829" spans="1:4" x14ac:dyDescent="0.2">
      <c r="A829" s="6" t="s">
        <v>34</v>
      </c>
      <c r="B829" s="6">
        <v>2011</v>
      </c>
      <c r="C829" s="6" t="s">
        <v>47</v>
      </c>
      <c r="D829" s="7">
        <v>80600</v>
      </c>
    </row>
    <row r="830" spans="1:4" x14ac:dyDescent="0.2">
      <c r="A830" s="6" t="s">
        <v>35</v>
      </c>
      <c r="B830" s="6">
        <v>2011</v>
      </c>
      <c r="C830" s="6" t="s">
        <v>47</v>
      </c>
      <c r="D830" s="7">
        <v>294100</v>
      </c>
    </row>
    <row r="831" spans="1:4" x14ac:dyDescent="0.2">
      <c r="A831" s="6" t="s">
        <v>36</v>
      </c>
      <c r="B831" s="6">
        <v>2011</v>
      </c>
      <c r="C831" s="6" t="s">
        <v>47</v>
      </c>
      <c r="D831" s="7">
        <v>144700</v>
      </c>
    </row>
    <row r="832" spans="1:4" x14ac:dyDescent="0.2">
      <c r="A832" s="6" t="s">
        <v>37</v>
      </c>
      <c r="B832" s="6">
        <v>2011</v>
      </c>
      <c r="C832" s="6" t="s">
        <v>47</v>
      </c>
      <c r="D832" s="7">
        <v>234500</v>
      </c>
    </row>
    <row r="833" spans="1:4" x14ac:dyDescent="0.2">
      <c r="A833" s="6" t="s">
        <v>38</v>
      </c>
      <c r="B833" s="6">
        <v>2011</v>
      </c>
      <c r="C833" s="6" t="s">
        <v>47</v>
      </c>
      <c r="D833" s="7">
        <v>195500</v>
      </c>
    </row>
    <row r="834" spans="1:4" x14ac:dyDescent="0.2">
      <c r="A834" s="6" t="s">
        <v>39</v>
      </c>
      <c r="B834" s="6">
        <v>2011</v>
      </c>
      <c r="C834" s="6" t="s">
        <v>47</v>
      </c>
      <c r="D834" s="7">
        <v>140400</v>
      </c>
    </row>
    <row r="835" spans="1:4" x14ac:dyDescent="0.2">
      <c r="A835" s="6" t="s">
        <v>40</v>
      </c>
      <c r="B835" s="6">
        <v>2011</v>
      </c>
      <c r="C835" s="6" t="s">
        <v>47</v>
      </c>
      <c r="D835" s="7">
        <v>330700</v>
      </c>
    </row>
    <row r="836" spans="1:4" x14ac:dyDescent="0.2">
      <c r="A836" s="6" t="s">
        <v>41</v>
      </c>
      <c r="B836" s="6">
        <v>2011</v>
      </c>
      <c r="C836" s="6" t="s">
        <v>47</v>
      </c>
      <c r="D836" s="7">
        <v>441700.00000000006</v>
      </c>
    </row>
    <row r="837" spans="1:4" x14ac:dyDescent="0.2">
      <c r="A837" s="6" t="s">
        <v>42</v>
      </c>
      <c r="B837" s="6">
        <v>2011</v>
      </c>
      <c r="C837" s="6" t="s">
        <v>47</v>
      </c>
      <c r="D837" s="7">
        <v>328799.99999999994</v>
      </c>
    </row>
    <row r="838" spans="1:4" x14ac:dyDescent="0.2">
      <c r="A838" s="6" t="s">
        <v>4</v>
      </c>
      <c r="B838" s="6">
        <v>2012</v>
      </c>
      <c r="C838" s="6" t="s">
        <v>47</v>
      </c>
      <c r="D838" s="7">
        <v>505800</v>
      </c>
    </row>
    <row r="839" spans="1:4" x14ac:dyDescent="0.2">
      <c r="A839" s="6" t="s">
        <v>6</v>
      </c>
      <c r="B839" s="6">
        <v>2012</v>
      </c>
      <c r="C839" s="6" t="s">
        <v>47</v>
      </c>
      <c r="D839" s="7">
        <v>392500</v>
      </c>
    </row>
    <row r="840" spans="1:4" x14ac:dyDescent="0.2">
      <c r="A840" s="6" t="s">
        <v>7</v>
      </c>
      <c r="B840" s="6">
        <v>2012</v>
      </c>
      <c r="C840" s="6" t="s">
        <v>47</v>
      </c>
      <c r="D840" s="7">
        <v>328099.99999999994</v>
      </c>
    </row>
    <row r="841" spans="1:4" x14ac:dyDescent="0.2">
      <c r="A841" s="6" t="s">
        <v>8</v>
      </c>
      <c r="B841" s="6">
        <v>2012</v>
      </c>
      <c r="C841" s="6" t="s">
        <v>47</v>
      </c>
      <c r="D841" s="7">
        <v>260300</v>
      </c>
    </row>
    <row r="842" spans="1:4" x14ac:dyDescent="0.2">
      <c r="A842" s="6" t="s">
        <v>9</v>
      </c>
      <c r="B842" s="6">
        <v>2012</v>
      </c>
      <c r="C842" s="6" t="s">
        <v>47</v>
      </c>
      <c r="D842" s="7">
        <v>632199.99999999988</v>
      </c>
    </row>
    <row r="843" spans="1:4" x14ac:dyDescent="0.2">
      <c r="A843" s="6" t="s">
        <v>10</v>
      </c>
      <c r="B843" s="6">
        <v>2012</v>
      </c>
      <c r="C843" s="6" t="s">
        <v>47</v>
      </c>
      <c r="D843" s="7">
        <v>156000</v>
      </c>
    </row>
    <row r="844" spans="1:4" x14ac:dyDescent="0.2">
      <c r="A844" s="6" t="s">
        <v>11</v>
      </c>
      <c r="B844" s="6">
        <v>2012</v>
      </c>
      <c r="C844" s="6" t="s">
        <v>47</v>
      </c>
      <c r="D844" s="7">
        <v>161000</v>
      </c>
    </row>
    <row r="845" spans="1:4" x14ac:dyDescent="0.2">
      <c r="A845" s="6" t="s">
        <v>12</v>
      </c>
      <c r="B845" s="6">
        <v>2012</v>
      </c>
      <c r="C845" s="6" t="s">
        <v>47</v>
      </c>
      <c r="D845" s="7">
        <v>151700.00000000003</v>
      </c>
    </row>
    <row r="846" spans="1:4" x14ac:dyDescent="0.2">
      <c r="A846" s="6" t="s">
        <v>13</v>
      </c>
      <c r="B846" s="6">
        <v>2012</v>
      </c>
      <c r="C846" s="6" t="s">
        <v>47</v>
      </c>
      <c r="D846" s="7">
        <v>242600.00000000003</v>
      </c>
    </row>
    <row r="847" spans="1:4" x14ac:dyDescent="0.2">
      <c r="A847" s="6" t="s">
        <v>14</v>
      </c>
      <c r="B847" s="6">
        <v>2012</v>
      </c>
      <c r="C847" s="6" t="s">
        <v>47</v>
      </c>
      <c r="D847" s="7">
        <v>197200</v>
      </c>
    </row>
    <row r="848" spans="1:4" x14ac:dyDescent="0.2">
      <c r="A848" s="6" t="s">
        <v>15</v>
      </c>
      <c r="B848" s="6">
        <v>2012</v>
      </c>
      <c r="C848" s="6" t="s">
        <v>47</v>
      </c>
      <c r="D848" s="7">
        <v>233700</v>
      </c>
    </row>
    <row r="849" spans="1:4" x14ac:dyDescent="0.2">
      <c r="A849" s="6" t="s">
        <v>16</v>
      </c>
      <c r="B849" s="6">
        <v>2012</v>
      </c>
      <c r="C849" s="6" t="s">
        <v>47</v>
      </c>
      <c r="D849" s="7">
        <v>570600</v>
      </c>
    </row>
    <row r="850" spans="1:4" x14ac:dyDescent="0.2">
      <c r="A850" s="6" t="s">
        <v>17</v>
      </c>
      <c r="B850" s="6">
        <v>2012</v>
      </c>
      <c r="C850" s="6" t="s">
        <v>47</v>
      </c>
      <c r="D850" s="7">
        <v>397700.00000000006</v>
      </c>
    </row>
    <row r="851" spans="1:4" x14ac:dyDescent="0.2">
      <c r="A851" s="6" t="s">
        <v>18</v>
      </c>
      <c r="B851" s="6">
        <v>2012</v>
      </c>
      <c r="C851" s="6" t="s">
        <v>47</v>
      </c>
      <c r="D851" s="7">
        <v>94800</v>
      </c>
    </row>
    <row r="852" spans="1:4" x14ac:dyDescent="0.2">
      <c r="A852" s="6" t="s">
        <v>19</v>
      </c>
      <c r="B852" s="6">
        <v>2012</v>
      </c>
      <c r="C852" s="6" t="s">
        <v>47</v>
      </c>
      <c r="D852" s="7">
        <v>258700</v>
      </c>
    </row>
    <row r="853" spans="1:4" x14ac:dyDescent="0.2">
      <c r="A853" s="6" t="s">
        <v>20</v>
      </c>
      <c r="B853" s="6">
        <v>2012</v>
      </c>
      <c r="C853" s="6" t="s">
        <v>47</v>
      </c>
      <c r="D853" s="7">
        <v>507000</v>
      </c>
    </row>
    <row r="854" spans="1:4" x14ac:dyDescent="0.2">
      <c r="A854" s="6" t="s">
        <v>21</v>
      </c>
      <c r="B854" s="6">
        <v>2012</v>
      </c>
      <c r="C854" s="6" t="s">
        <v>47</v>
      </c>
      <c r="D854" s="7">
        <v>164500</v>
      </c>
    </row>
    <row r="855" spans="1:4" x14ac:dyDescent="0.2">
      <c r="A855" s="6" t="s">
        <v>22</v>
      </c>
      <c r="B855" s="6">
        <v>2012</v>
      </c>
      <c r="C855" s="6" t="s">
        <v>47</v>
      </c>
      <c r="D855" s="7">
        <v>192600</v>
      </c>
    </row>
    <row r="856" spans="1:4" x14ac:dyDescent="0.2">
      <c r="A856" s="6" t="s">
        <v>23</v>
      </c>
      <c r="B856" s="6">
        <v>2012</v>
      </c>
      <c r="C856" s="6" t="s">
        <v>47</v>
      </c>
      <c r="D856" s="7">
        <v>231299.99999999997</v>
      </c>
    </row>
    <row r="857" spans="1:4" x14ac:dyDescent="0.2">
      <c r="A857" s="6" t="s">
        <v>24</v>
      </c>
      <c r="B857" s="6">
        <v>2012</v>
      </c>
      <c r="C857" s="6" t="s">
        <v>47</v>
      </c>
      <c r="D857" s="7">
        <v>232700</v>
      </c>
    </row>
    <row r="858" spans="1:4" x14ac:dyDescent="0.2">
      <c r="A858" s="6" t="s">
        <v>25</v>
      </c>
      <c r="B858" s="6">
        <v>2012</v>
      </c>
      <c r="C858" s="6" t="s">
        <v>47</v>
      </c>
      <c r="D858" s="7">
        <v>335299.99999999994</v>
      </c>
    </row>
    <row r="859" spans="1:4" x14ac:dyDescent="0.2">
      <c r="A859" s="6" t="s">
        <v>26</v>
      </c>
      <c r="B859" s="6">
        <v>2012</v>
      </c>
      <c r="C859" s="6" t="s">
        <v>47</v>
      </c>
      <c r="D859" s="7">
        <v>247799.99999999997</v>
      </c>
    </row>
    <row r="860" spans="1:4" x14ac:dyDescent="0.2">
      <c r="A860" s="6" t="s">
        <v>27</v>
      </c>
      <c r="B860" s="6">
        <v>2012</v>
      </c>
      <c r="C860" s="6" t="s">
        <v>47</v>
      </c>
      <c r="D860" s="7">
        <v>362700.00000000006</v>
      </c>
    </row>
    <row r="861" spans="1:4" x14ac:dyDescent="0.2">
      <c r="A861" s="6" t="s">
        <v>28</v>
      </c>
      <c r="B861" s="6">
        <v>2012</v>
      </c>
      <c r="C861" s="6" t="s">
        <v>47</v>
      </c>
      <c r="D861" s="7">
        <v>690600</v>
      </c>
    </row>
    <row r="862" spans="1:4" x14ac:dyDescent="0.2">
      <c r="A862" s="6" t="s">
        <v>29</v>
      </c>
      <c r="B862" s="6">
        <v>2012</v>
      </c>
      <c r="C862" s="6" t="s">
        <v>47</v>
      </c>
      <c r="D862" s="7">
        <v>652700</v>
      </c>
    </row>
    <row r="863" spans="1:4" x14ac:dyDescent="0.2">
      <c r="A863" s="6" t="s">
        <v>30</v>
      </c>
      <c r="B863" s="6">
        <v>2012</v>
      </c>
      <c r="C863" s="6" t="s">
        <v>47</v>
      </c>
      <c r="D863" s="7">
        <v>379100</v>
      </c>
    </row>
    <row r="864" spans="1:4" x14ac:dyDescent="0.2">
      <c r="A864" s="6" t="s">
        <v>31</v>
      </c>
      <c r="B864" s="6">
        <v>2012</v>
      </c>
      <c r="C864" s="6" t="s">
        <v>47</v>
      </c>
      <c r="D864" s="7">
        <v>284500</v>
      </c>
    </row>
    <row r="865" spans="1:4" x14ac:dyDescent="0.2">
      <c r="A865" s="6" t="s">
        <v>32</v>
      </c>
      <c r="B865" s="6">
        <v>2012</v>
      </c>
      <c r="C865" s="6" t="s">
        <v>47</v>
      </c>
      <c r="D865" s="7">
        <v>494000</v>
      </c>
    </row>
    <row r="866" spans="1:4" x14ac:dyDescent="0.2">
      <c r="A866" s="6" t="s">
        <v>33</v>
      </c>
      <c r="B866" s="6">
        <v>2012</v>
      </c>
      <c r="C866" s="6" t="s">
        <v>47</v>
      </c>
      <c r="D866" s="7">
        <v>243100.00000000003</v>
      </c>
    </row>
    <row r="867" spans="1:4" x14ac:dyDescent="0.2">
      <c r="A867" s="6" t="s">
        <v>34</v>
      </c>
      <c r="B867" s="6">
        <v>2012</v>
      </c>
      <c r="C867" s="6" t="s">
        <v>47</v>
      </c>
      <c r="D867" s="7">
        <v>79100</v>
      </c>
    </row>
    <row r="868" spans="1:4" x14ac:dyDescent="0.2">
      <c r="A868" s="6" t="s">
        <v>35</v>
      </c>
      <c r="B868" s="6">
        <v>2012</v>
      </c>
      <c r="C868" s="6" t="s">
        <v>47</v>
      </c>
      <c r="D868" s="7">
        <v>309600</v>
      </c>
    </row>
    <row r="869" spans="1:4" x14ac:dyDescent="0.2">
      <c r="A869" s="6" t="s">
        <v>36</v>
      </c>
      <c r="B869" s="6">
        <v>2012</v>
      </c>
      <c r="C869" s="6" t="s">
        <v>47</v>
      </c>
      <c r="D869" s="7">
        <v>144600</v>
      </c>
    </row>
    <row r="870" spans="1:4" x14ac:dyDescent="0.2">
      <c r="A870" s="6" t="s">
        <v>37</v>
      </c>
      <c r="B870" s="6">
        <v>2012</v>
      </c>
      <c r="C870" s="6" t="s">
        <v>47</v>
      </c>
      <c r="D870" s="7">
        <v>230400</v>
      </c>
    </row>
    <row r="871" spans="1:4" x14ac:dyDescent="0.2">
      <c r="A871" s="6" t="s">
        <v>38</v>
      </c>
      <c r="B871" s="6">
        <v>2012</v>
      </c>
      <c r="C871" s="6" t="s">
        <v>47</v>
      </c>
      <c r="D871" s="7">
        <v>183700</v>
      </c>
    </row>
    <row r="872" spans="1:4" x14ac:dyDescent="0.2">
      <c r="A872" s="6" t="s">
        <v>39</v>
      </c>
      <c r="B872" s="6">
        <v>2012</v>
      </c>
      <c r="C872" s="6" t="s">
        <v>47</v>
      </c>
      <c r="D872" s="7">
        <v>143500</v>
      </c>
    </row>
    <row r="873" spans="1:4" x14ac:dyDescent="0.2">
      <c r="A873" s="6" t="s">
        <v>40</v>
      </c>
      <c r="B873" s="6">
        <v>2012</v>
      </c>
      <c r="C873" s="6" t="s">
        <v>47</v>
      </c>
      <c r="D873" s="7">
        <v>328600</v>
      </c>
    </row>
    <row r="874" spans="1:4" x14ac:dyDescent="0.2">
      <c r="A874" s="6" t="s">
        <v>41</v>
      </c>
      <c r="B874" s="6">
        <v>2012</v>
      </c>
      <c r="C874" s="6" t="s">
        <v>47</v>
      </c>
      <c r="D874" s="7">
        <v>446900</v>
      </c>
    </row>
    <row r="875" spans="1:4" x14ac:dyDescent="0.2">
      <c r="A875" s="6" t="s">
        <v>42</v>
      </c>
      <c r="B875" s="6">
        <v>2012</v>
      </c>
      <c r="C875" s="6" t="s">
        <v>47</v>
      </c>
      <c r="D875" s="7">
        <v>322400.00000000006</v>
      </c>
    </row>
    <row r="876" spans="1:4" x14ac:dyDescent="0.2">
      <c r="A876" s="6" t="s">
        <v>4</v>
      </c>
      <c r="B876" s="6">
        <v>2019</v>
      </c>
      <c r="C876" s="6" t="s">
        <v>47</v>
      </c>
      <c r="D876" s="7">
        <v>590200</v>
      </c>
    </row>
    <row r="877" spans="1:4" x14ac:dyDescent="0.2">
      <c r="A877" s="6" t="s">
        <v>6</v>
      </c>
      <c r="B877" s="6">
        <v>2019</v>
      </c>
      <c r="C877" s="6" t="s">
        <v>47</v>
      </c>
      <c r="D877" s="7">
        <v>439300</v>
      </c>
    </row>
    <row r="878" spans="1:4" x14ac:dyDescent="0.2">
      <c r="A878" s="6" t="s">
        <v>7</v>
      </c>
      <c r="B878" s="6">
        <v>2019</v>
      </c>
      <c r="C878" s="6" t="s">
        <v>47</v>
      </c>
      <c r="D878" s="7">
        <v>355200</v>
      </c>
    </row>
    <row r="879" spans="1:4" x14ac:dyDescent="0.2">
      <c r="A879" s="6" t="s">
        <v>8</v>
      </c>
      <c r="B879" s="6">
        <v>2019</v>
      </c>
      <c r="C879" s="6" t="s">
        <v>47</v>
      </c>
      <c r="D879" s="7">
        <v>275800</v>
      </c>
    </row>
    <row r="880" spans="1:4" x14ac:dyDescent="0.2">
      <c r="A880" s="6" t="s">
        <v>9</v>
      </c>
      <c r="B880" s="6">
        <v>2019</v>
      </c>
      <c r="C880" s="6" t="s">
        <v>47</v>
      </c>
      <c r="D880" s="7">
        <v>701500</v>
      </c>
    </row>
    <row r="881" spans="1:4" x14ac:dyDescent="0.2">
      <c r="A881" s="6" t="s">
        <v>10</v>
      </c>
      <c r="B881" s="6">
        <v>2019</v>
      </c>
      <c r="C881" s="6" t="s">
        <v>47</v>
      </c>
      <c r="D881" s="7">
        <v>177299.99999999997</v>
      </c>
    </row>
    <row r="882" spans="1:4" x14ac:dyDescent="0.2">
      <c r="A882" s="6" t="s">
        <v>11</v>
      </c>
      <c r="B882" s="6">
        <v>2019</v>
      </c>
      <c r="C882" s="6" t="s">
        <v>47</v>
      </c>
      <c r="D882" s="7">
        <v>166300</v>
      </c>
    </row>
    <row r="883" spans="1:4" x14ac:dyDescent="0.2">
      <c r="A883" s="6" t="s">
        <v>12</v>
      </c>
      <c r="B883" s="6">
        <v>2019</v>
      </c>
      <c r="C883" s="6" t="s">
        <v>47</v>
      </c>
      <c r="D883" s="7">
        <v>176399.99999999997</v>
      </c>
    </row>
    <row r="884" spans="1:4" x14ac:dyDescent="0.2">
      <c r="A884" s="6" t="s">
        <v>13</v>
      </c>
      <c r="B884" s="6">
        <v>2019</v>
      </c>
      <c r="C884" s="6" t="s">
        <v>47</v>
      </c>
      <c r="D884" s="7">
        <v>263500</v>
      </c>
    </row>
    <row r="885" spans="1:4" x14ac:dyDescent="0.2">
      <c r="A885" s="6" t="s">
        <v>14</v>
      </c>
      <c r="B885" s="6">
        <v>2019</v>
      </c>
      <c r="C885" s="6" t="s">
        <v>47</v>
      </c>
      <c r="D885" s="7">
        <v>202600</v>
      </c>
    </row>
    <row r="886" spans="1:4" x14ac:dyDescent="0.2">
      <c r="A886" s="6" t="s">
        <v>15</v>
      </c>
      <c r="B886" s="6">
        <v>2019</v>
      </c>
      <c r="C886" s="6" t="s">
        <v>47</v>
      </c>
      <c r="D886" s="7">
        <v>293300</v>
      </c>
    </row>
    <row r="887" spans="1:4" x14ac:dyDescent="0.2">
      <c r="A887" s="6" t="s">
        <v>16</v>
      </c>
      <c r="B887" s="6">
        <v>2019</v>
      </c>
      <c r="C887" s="6" t="s">
        <v>47</v>
      </c>
      <c r="D887" s="7">
        <v>666800</v>
      </c>
    </row>
    <row r="888" spans="1:4" x14ac:dyDescent="0.2">
      <c r="A888" s="6" t="s">
        <v>17</v>
      </c>
      <c r="B888" s="6">
        <v>2019</v>
      </c>
      <c r="C888" s="6" t="s">
        <v>47</v>
      </c>
      <c r="D888" s="7">
        <v>444200.00000000006</v>
      </c>
    </row>
    <row r="889" spans="1:4" x14ac:dyDescent="0.2">
      <c r="A889" s="6" t="s">
        <v>18</v>
      </c>
      <c r="B889" s="6">
        <v>2019</v>
      </c>
      <c r="C889" s="6" t="s">
        <v>47</v>
      </c>
      <c r="D889" s="7">
        <v>112400</v>
      </c>
    </row>
    <row r="890" spans="1:4" x14ac:dyDescent="0.2">
      <c r="A890" s="6" t="s">
        <v>19</v>
      </c>
      <c r="B890" s="6">
        <v>2019</v>
      </c>
      <c r="C890" s="6" t="s">
        <v>47</v>
      </c>
      <c r="D890" s="7">
        <v>288600</v>
      </c>
    </row>
    <row r="891" spans="1:4" x14ac:dyDescent="0.2">
      <c r="A891" s="6" t="s">
        <v>20</v>
      </c>
      <c r="B891" s="6">
        <v>2019</v>
      </c>
      <c r="C891" s="6" t="s">
        <v>47</v>
      </c>
      <c r="D891" s="7">
        <v>561800</v>
      </c>
    </row>
    <row r="892" spans="1:4" x14ac:dyDescent="0.2">
      <c r="A892" s="6" t="s">
        <v>21</v>
      </c>
      <c r="B892" s="6">
        <v>2019</v>
      </c>
      <c r="C892" s="6" t="s">
        <v>47</v>
      </c>
      <c r="D892" s="7">
        <v>174000</v>
      </c>
    </row>
    <row r="893" spans="1:4" x14ac:dyDescent="0.2">
      <c r="A893" s="6" t="s">
        <v>22</v>
      </c>
      <c r="B893" s="6">
        <v>2019</v>
      </c>
      <c r="C893" s="6" t="s">
        <v>47</v>
      </c>
      <c r="D893" s="7">
        <v>205300</v>
      </c>
    </row>
    <row r="894" spans="1:4" x14ac:dyDescent="0.2">
      <c r="A894" s="6" t="s">
        <v>23</v>
      </c>
      <c r="B894" s="6">
        <v>2019</v>
      </c>
      <c r="C894" s="6" t="s">
        <v>47</v>
      </c>
      <c r="D894" s="7">
        <v>259899.99999999997</v>
      </c>
    </row>
    <row r="895" spans="1:4" x14ac:dyDescent="0.2">
      <c r="A895" s="6" t="s">
        <v>24</v>
      </c>
      <c r="B895" s="6">
        <v>2019</v>
      </c>
      <c r="C895" s="6" t="s">
        <v>47</v>
      </c>
      <c r="D895" s="7">
        <v>249300</v>
      </c>
    </row>
    <row r="896" spans="1:4" x14ac:dyDescent="0.2">
      <c r="A896" s="6" t="s">
        <v>25</v>
      </c>
      <c r="B896" s="6">
        <v>2019</v>
      </c>
      <c r="C896" s="6" t="s">
        <v>47</v>
      </c>
      <c r="D896" s="7">
        <v>351300</v>
      </c>
    </row>
    <row r="897" spans="1:4" x14ac:dyDescent="0.2">
      <c r="A897" s="6" t="s">
        <v>26</v>
      </c>
      <c r="B897" s="6">
        <v>2019</v>
      </c>
      <c r="C897" s="6" t="s">
        <v>47</v>
      </c>
      <c r="D897" s="7">
        <v>269500</v>
      </c>
    </row>
    <row r="898" spans="1:4" x14ac:dyDescent="0.2">
      <c r="A898" s="6" t="s">
        <v>27</v>
      </c>
      <c r="B898" s="6">
        <v>2019</v>
      </c>
      <c r="C898" s="6" t="s">
        <v>47</v>
      </c>
      <c r="D898" s="7">
        <v>381500</v>
      </c>
    </row>
    <row r="899" spans="1:4" x14ac:dyDescent="0.2">
      <c r="A899" s="6" t="s">
        <v>28</v>
      </c>
      <c r="B899" s="6">
        <v>2019</v>
      </c>
      <c r="C899" s="6" t="s">
        <v>47</v>
      </c>
      <c r="D899" s="7">
        <v>766400</v>
      </c>
    </row>
    <row r="900" spans="1:4" x14ac:dyDescent="0.2">
      <c r="A900" s="6" t="s">
        <v>29</v>
      </c>
      <c r="B900" s="6">
        <v>2019</v>
      </c>
      <c r="C900" s="6" t="s">
        <v>47</v>
      </c>
      <c r="D900" s="7">
        <v>751100</v>
      </c>
    </row>
    <row r="901" spans="1:4" x14ac:dyDescent="0.2">
      <c r="A901" s="6" t="s">
        <v>30</v>
      </c>
      <c r="B901" s="6">
        <v>2019</v>
      </c>
      <c r="C901" s="6" t="s">
        <v>47</v>
      </c>
      <c r="D901" s="7">
        <v>441599.99999999994</v>
      </c>
    </row>
    <row r="902" spans="1:4" x14ac:dyDescent="0.2">
      <c r="A902" s="6" t="s">
        <v>31</v>
      </c>
      <c r="B902" s="6">
        <v>2019</v>
      </c>
      <c r="C902" s="6" t="s">
        <v>47</v>
      </c>
      <c r="D902" s="7">
        <v>301700</v>
      </c>
    </row>
    <row r="903" spans="1:4" x14ac:dyDescent="0.2">
      <c r="A903" s="6" t="s">
        <v>32</v>
      </c>
      <c r="B903" s="6">
        <v>2019</v>
      </c>
      <c r="C903" s="6" t="s">
        <v>47</v>
      </c>
      <c r="D903" s="7">
        <v>547000</v>
      </c>
    </row>
    <row r="904" spans="1:4" x14ac:dyDescent="0.2">
      <c r="A904" s="6" t="s">
        <v>33</v>
      </c>
      <c r="B904" s="6">
        <v>2019</v>
      </c>
      <c r="C904" s="6" t="s">
        <v>47</v>
      </c>
      <c r="D904" s="7">
        <v>244400</v>
      </c>
    </row>
    <row r="905" spans="1:4" x14ac:dyDescent="0.2">
      <c r="A905" s="6" t="s">
        <v>34</v>
      </c>
      <c r="B905" s="6">
        <v>2019</v>
      </c>
      <c r="C905" s="6" t="s">
        <v>47</v>
      </c>
      <c r="D905" s="7">
        <v>91899.999999999985</v>
      </c>
    </row>
    <row r="906" spans="1:4" x14ac:dyDescent="0.2">
      <c r="A906" s="6" t="s">
        <v>35</v>
      </c>
      <c r="B906" s="6">
        <v>2019</v>
      </c>
      <c r="C906" s="6" t="s">
        <v>47</v>
      </c>
      <c r="D906" s="7">
        <v>321099.99999999994</v>
      </c>
    </row>
    <row r="907" spans="1:4" x14ac:dyDescent="0.2">
      <c r="A907" s="6" t="s">
        <v>36</v>
      </c>
      <c r="B907" s="6">
        <v>2019</v>
      </c>
      <c r="C907" s="6" t="s">
        <v>47</v>
      </c>
      <c r="D907" s="7">
        <v>159500</v>
      </c>
    </row>
    <row r="908" spans="1:4" x14ac:dyDescent="0.2">
      <c r="A908" s="6" t="s">
        <v>37</v>
      </c>
      <c r="B908" s="6">
        <v>2019</v>
      </c>
      <c r="C908" s="6" t="s">
        <v>47</v>
      </c>
      <c r="D908" s="7">
        <v>259000</v>
      </c>
    </row>
    <row r="909" spans="1:4" x14ac:dyDescent="0.2">
      <c r="A909" s="6" t="s">
        <v>38</v>
      </c>
      <c r="B909" s="6">
        <v>2019</v>
      </c>
      <c r="C909" s="6" t="s">
        <v>47</v>
      </c>
      <c r="D909" s="7">
        <v>198400</v>
      </c>
    </row>
    <row r="910" spans="1:4" x14ac:dyDescent="0.2">
      <c r="A910" s="6" t="s">
        <v>39</v>
      </c>
      <c r="B910" s="6">
        <v>2019</v>
      </c>
      <c r="C910" s="6" t="s">
        <v>47</v>
      </c>
      <c r="D910" s="7">
        <v>165600</v>
      </c>
    </row>
    <row r="911" spans="1:4" x14ac:dyDescent="0.2">
      <c r="A911" s="6" t="s">
        <v>40</v>
      </c>
      <c r="B911" s="6">
        <v>2019</v>
      </c>
      <c r="C911" s="6" t="s">
        <v>47</v>
      </c>
      <c r="D911" s="7">
        <v>326700</v>
      </c>
    </row>
    <row r="912" spans="1:4" x14ac:dyDescent="0.2">
      <c r="A912" s="6" t="s">
        <v>41</v>
      </c>
      <c r="B912" s="6">
        <v>2019</v>
      </c>
      <c r="C912" s="6" t="s">
        <v>47</v>
      </c>
      <c r="D912" s="7">
        <v>499900.00000000006</v>
      </c>
    </row>
    <row r="913" spans="1:4" x14ac:dyDescent="0.2">
      <c r="A913" s="6" t="s">
        <v>42</v>
      </c>
      <c r="B913" s="6">
        <v>2019</v>
      </c>
      <c r="C913" s="6" t="s">
        <v>47</v>
      </c>
      <c r="D913" s="7">
        <v>322400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2FD2-4A7D-5640-A36C-9A39CB629986}">
  <dimension ref="A1:C25"/>
  <sheetViews>
    <sheetView workbookViewId="0">
      <selection activeCell="H28" sqref="H28"/>
    </sheetView>
  </sheetViews>
  <sheetFormatPr baseColWidth="10" defaultRowHeight="16" x14ac:dyDescent="0.2"/>
  <cols>
    <col min="1" max="2" width="10.83203125" style="1"/>
    <col min="3" max="3" width="17.83203125" style="5" bestFit="1" customWidth="1"/>
  </cols>
  <sheetData>
    <row r="1" spans="1:3" x14ac:dyDescent="0.2">
      <c r="A1" s="8" t="s">
        <v>1</v>
      </c>
      <c r="B1" s="8" t="s">
        <v>2</v>
      </c>
      <c r="C1" s="11" t="s">
        <v>48</v>
      </c>
    </row>
    <row r="2" spans="1:3" x14ac:dyDescent="0.2">
      <c r="A2" s="6">
        <v>1999</v>
      </c>
      <c r="B2" s="6" t="s">
        <v>5</v>
      </c>
      <c r="C2" s="10">
        <v>146970629</v>
      </c>
    </row>
    <row r="3" spans="1:3" x14ac:dyDescent="0.2">
      <c r="A3" s="6">
        <v>1999</v>
      </c>
      <c r="B3" s="6" t="s">
        <v>43</v>
      </c>
      <c r="C3" s="10">
        <v>14200111910</v>
      </c>
    </row>
    <row r="4" spans="1:3" x14ac:dyDescent="0.2">
      <c r="A4" s="6">
        <v>1999</v>
      </c>
      <c r="B4" s="6" t="s">
        <v>44</v>
      </c>
      <c r="C4" s="10">
        <v>0</v>
      </c>
    </row>
    <row r="5" spans="1:3" x14ac:dyDescent="0.2">
      <c r="A5" s="6">
        <v>1999</v>
      </c>
      <c r="B5" s="6" t="s">
        <v>45</v>
      </c>
      <c r="C5" s="10">
        <v>0</v>
      </c>
    </row>
    <row r="6" spans="1:3" x14ac:dyDescent="0.2">
      <c r="A6" s="6">
        <v>1999</v>
      </c>
      <c r="B6" s="6" t="s">
        <v>46</v>
      </c>
      <c r="C6" s="10">
        <v>55522</v>
      </c>
    </row>
    <row r="7" spans="1:3" x14ac:dyDescent="0.2">
      <c r="A7" s="6">
        <v>1999</v>
      </c>
      <c r="B7" s="6" t="s">
        <v>47</v>
      </c>
      <c r="C7" s="10">
        <v>163175969</v>
      </c>
    </row>
    <row r="8" spans="1:3" x14ac:dyDescent="0.2">
      <c r="A8" s="6">
        <v>2011</v>
      </c>
      <c r="B8" s="6" t="s">
        <v>5</v>
      </c>
      <c r="C8" s="10">
        <v>633660630.27900004</v>
      </c>
    </row>
    <row r="9" spans="1:3" x14ac:dyDescent="0.2">
      <c r="A9" s="6">
        <v>2011</v>
      </c>
      <c r="B9" s="6" t="s">
        <v>43</v>
      </c>
      <c r="C9" s="10">
        <v>110659133050.68896</v>
      </c>
    </row>
    <row r="10" spans="1:3" x14ac:dyDescent="0.2">
      <c r="A10" s="6">
        <v>2011</v>
      </c>
      <c r="B10" s="6" t="s">
        <v>44</v>
      </c>
      <c r="C10" s="10">
        <v>0</v>
      </c>
    </row>
    <row r="11" spans="1:3" x14ac:dyDescent="0.2">
      <c r="A11" s="6">
        <v>2011</v>
      </c>
      <c r="B11" s="6" t="s">
        <v>45</v>
      </c>
      <c r="C11" s="10">
        <v>0</v>
      </c>
    </row>
    <row r="12" spans="1:3" x14ac:dyDescent="0.2">
      <c r="A12" s="6">
        <v>2011</v>
      </c>
      <c r="B12" s="6" t="s">
        <v>46</v>
      </c>
      <c r="C12" s="10">
        <v>73440.386999999988</v>
      </c>
    </row>
    <row r="13" spans="1:3" x14ac:dyDescent="0.2">
      <c r="A13" s="6">
        <v>2011</v>
      </c>
      <c r="B13" s="6" t="s">
        <v>47</v>
      </c>
      <c r="C13" s="10">
        <v>413299784.12299979</v>
      </c>
    </row>
    <row r="14" spans="1:3" x14ac:dyDescent="0.2">
      <c r="A14" s="6">
        <v>2012</v>
      </c>
      <c r="B14" s="6" t="s">
        <v>5</v>
      </c>
      <c r="C14" s="10">
        <v>533349099.61199999</v>
      </c>
    </row>
    <row r="15" spans="1:3" x14ac:dyDescent="0.2">
      <c r="A15" s="6">
        <v>2012</v>
      </c>
      <c r="B15" s="6" t="s">
        <v>43</v>
      </c>
      <c r="C15" s="10">
        <v>101071578146.75795</v>
      </c>
    </row>
    <row r="16" spans="1:3" x14ac:dyDescent="0.2">
      <c r="A16" s="6">
        <v>2012</v>
      </c>
      <c r="B16" s="6" t="s">
        <v>44</v>
      </c>
      <c r="C16" s="10">
        <v>0</v>
      </c>
    </row>
    <row r="17" spans="1:3" x14ac:dyDescent="0.2">
      <c r="A17" s="6">
        <v>2012</v>
      </c>
      <c r="B17" s="6" t="s">
        <v>45</v>
      </c>
      <c r="C17" s="10">
        <v>0</v>
      </c>
    </row>
    <row r="18" spans="1:3" x14ac:dyDescent="0.2">
      <c r="A18" s="6">
        <v>2012</v>
      </c>
      <c r="B18" s="6" t="s">
        <v>46</v>
      </c>
      <c r="C18" s="10">
        <v>57016.032999999996</v>
      </c>
    </row>
    <row r="19" spans="1:3" x14ac:dyDescent="0.2">
      <c r="A19" s="6">
        <v>2012</v>
      </c>
      <c r="B19" s="6" t="s">
        <v>47</v>
      </c>
      <c r="C19" s="10">
        <v>7768447.6730000004</v>
      </c>
    </row>
    <row r="20" spans="1:3" x14ac:dyDescent="0.2">
      <c r="A20" s="6">
        <v>2019</v>
      </c>
      <c r="B20" s="6" t="s">
        <v>5</v>
      </c>
      <c r="C20" s="10">
        <v>489299766.17799985</v>
      </c>
    </row>
    <row r="21" spans="1:3" x14ac:dyDescent="0.2">
      <c r="A21" s="6">
        <v>2019</v>
      </c>
      <c r="B21" s="6" t="s">
        <v>43</v>
      </c>
      <c r="C21" s="10">
        <v>121093993846.57802</v>
      </c>
    </row>
    <row r="22" spans="1:3" x14ac:dyDescent="0.2">
      <c r="A22" s="6">
        <v>2019</v>
      </c>
      <c r="B22" s="6" t="s">
        <v>44</v>
      </c>
      <c r="C22" s="10">
        <v>0</v>
      </c>
    </row>
    <row r="23" spans="1:3" x14ac:dyDescent="0.2">
      <c r="A23" s="6">
        <v>2019</v>
      </c>
      <c r="B23" s="6" t="s">
        <v>45</v>
      </c>
      <c r="C23" s="10">
        <v>0</v>
      </c>
    </row>
    <row r="24" spans="1:3" x14ac:dyDescent="0.2">
      <c r="A24" s="6">
        <v>2019</v>
      </c>
      <c r="B24" s="6" t="s">
        <v>46</v>
      </c>
      <c r="C24" s="10">
        <v>61635.131999999998</v>
      </c>
    </row>
    <row r="25" spans="1:3" x14ac:dyDescent="0.2">
      <c r="A25" s="6">
        <v>2019</v>
      </c>
      <c r="B25" s="6" t="s">
        <v>47</v>
      </c>
      <c r="C25" s="10">
        <v>21161266.818999998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8BB0C-BF06-8145-A51A-B3E338CB9F10}">
  <dimension ref="A1:J39"/>
  <sheetViews>
    <sheetView workbookViewId="0">
      <selection activeCell="F16" sqref="F16"/>
    </sheetView>
  </sheetViews>
  <sheetFormatPr baseColWidth="10" defaultRowHeight="16" x14ac:dyDescent="0.2"/>
  <cols>
    <col min="1" max="1" width="10.83203125" style="1"/>
    <col min="3" max="3" width="10.83203125" style="4"/>
  </cols>
  <sheetData>
    <row r="1" spans="1:10" x14ac:dyDescent="0.2">
      <c r="A1" s="8" t="s">
        <v>1</v>
      </c>
      <c r="B1" s="14" t="s">
        <v>2</v>
      </c>
      <c r="C1" s="15" t="s">
        <v>49</v>
      </c>
    </row>
    <row r="2" spans="1:10" x14ac:dyDescent="0.2">
      <c r="A2" s="6">
        <v>1999</v>
      </c>
      <c r="B2" s="6" t="s">
        <v>5</v>
      </c>
      <c r="C2" s="7">
        <f>SUM(employment!D2:D39)</f>
        <v>919800</v>
      </c>
      <c r="D2" s="2"/>
    </row>
    <row r="3" spans="1:10" x14ac:dyDescent="0.2">
      <c r="A3" s="6">
        <v>1999</v>
      </c>
      <c r="B3" s="6" t="s">
        <v>43</v>
      </c>
      <c r="C3" s="7">
        <f>SUM(employment!D154:D191)</f>
        <v>8638900</v>
      </c>
      <c r="D3" s="2"/>
    </row>
    <row r="4" spans="1:10" x14ac:dyDescent="0.2">
      <c r="A4" s="6">
        <v>1999</v>
      </c>
      <c r="B4" s="6" t="s">
        <v>44</v>
      </c>
      <c r="C4" s="7">
        <f>SUM(employment!D306:D343)</f>
        <v>2830400</v>
      </c>
      <c r="D4" s="2"/>
    </row>
    <row r="5" spans="1:10" x14ac:dyDescent="0.2">
      <c r="A5" s="6">
        <v>1999</v>
      </c>
      <c r="B5" s="6" t="s">
        <v>45</v>
      </c>
      <c r="C5" s="7">
        <f>SUM(employment!D458:D495)</f>
        <v>7772900</v>
      </c>
      <c r="D5" s="2"/>
    </row>
    <row r="6" spans="1:10" x14ac:dyDescent="0.2">
      <c r="A6" s="6">
        <v>1999</v>
      </c>
      <c r="B6" s="6" t="s">
        <v>46</v>
      </c>
      <c r="C6" s="7">
        <f>SUM(employment!D610:D647)</f>
        <v>3768800</v>
      </c>
      <c r="D6" s="2"/>
    </row>
    <row r="7" spans="1:10" x14ac:dyDescent="0.2">
      <c r="A7" s="6">
        <v>1999</v>
      </c>
      <c r="B7" s="6" t="s">
        <v>47</v>
      </c>
      <c r="C7" s="7">
        <f>SUM(employment!D762:D799)</f>
        <v>9883600</v>
      </c>
      <c r="D7" s="2"/>
    </row>
    <row r="8" spans="1:10" x14ac:dyDescent="0.2">
      <c r="A8" s="6">
        <v>2011</v>
      </c>
      <c r="B8" s="6" t="s">
        <v>5</v>
      </c>
      <c r="C8" s="7">
        <f>SUM(employment!D40:D77)</f>
        <v>564400</v>
      </c>
      <c r="D8" s="2"/>
      <c r="G8" s="3"/>
      <c r="H8" s="3"/>
      <c r="I8" s="3"/>
      <c r="J8" s="3"/>
    </row>
    <row r="9" spans="1:10" x14ac:dyDescent="0.2">
      <c r="A9" s="6">
        <v>2011</v>
      </c>
      <c r="B9" s="6" t="s">
        <v>43</v>
      </c>
      <c r="C9" s="7">
        <f>SUM(employment!D192:D229)</f>
        <v>8286100</v>
      </c>
      <c r="D9" s="2"/>
      <c r="G9" s="3"/>
      <c r="H9" s="3"/>
      <c r="I9" s="3"/>
      <c r="J9" s="3"/>
    </row>
    <row r="10" spans="1:10" x14ac:dyDescent="0.2">
      <c r="A10" s="6">
        <v>2011</v>
      </c>
      <c r="B10" s="6" t="s">
        <v>44</v>
      </c>
      <c r="C10" s="7">
        <f>SUM(employment!D344:D381)</f>
        <v>2527900</v>
      </c>
      <c r="D10" s="2"/>
      <c r="G10" s="3"/>
      <c r="H10" s="3"/>
      <c r="I10" s="3"/>
      <c r="J10" s="3"/>
    </row>
    <row r="11" spans="1:10" x14ac:dyDescent="0.2">
      <c r="A11" s="6">
        <v>2011</v>
      </c>
      <c r="B11" s="6" t="s">
        <v>45</v>
      </c>
      <c r="C11" s="7">
        <f>SUM(employment!D496:D533)</f>
        <v>9568700</v>
      </c>
      <c r="D11" s="2"/>
      <c r="G11" s="3"/>
      <c r="H11" s="3"/>
      <c r="I11" s="3"/>
      <c r="J11" s="3"/>
    </row>
    <row r="12" spans="1:10" x14ac:dyDescent="0.2">
      <c r="A12" s="6">
        <v>2011</v>
      </c>
      <c r="B12" s="6" t="s">
        <v>46</v>
      </c>
      <c r="C12" s="7">
        <f>SUM(employment!D648:D685)</f>
        <v>5387800</v>
      </c>
      <c r="D12" s="2"/>
      <c r="G12" s="3"/>
      <c r="H12" s="3"/>
      <c r="I12" s="3"/>
      <c r="J12" s="3"/>
    </row>
    <row r="13" spans="1:10" x14ac:dyDescent="0.2">
      <c r="A13" s="6">
        <v>2011</v>
      </c>
      <c r="B13" s="6" t="s">
        <v>47</v>
      </c>
      <c r="C13" s="7">
        <f>SUM(employment!D800:D837)</f>
        <v>11631100</v>
      </c>
      <c r="D13" s="2"/>
      <c r="G13" s="3"/>
      <c r="H13" s="3"/>
      <c r="I13" s="3"/>
      <c r="J13" s="3"/>
    </row>
    <row r="14" spans="1:10" x14ac:dyDescent="0.2">
      <c r="A14" s="6">
        <v>2012</v>
      </c>
      <c r="B14" s="6" t="s">
        <v>5</v>
      </c>
      <c r="C14" s="7">
        <f>SUM(employment!D78:D115)</f>
        <v>541100</v>
      </c>
      <c r="D14" s="2"/>
    </row>
    <row r="15" spans="1:10" x14ac:dyDescent="0.2">
      <c r="A15" s="6">
        <v>2012</v>
      </c>
      <c r="B15" s="6" t="s">
        <v>43</v>
      </c>
      <c r="C15" s="7">
        <f>SUM(employment!D230:D267)</f>
        <v>8311100</v>
      </c>
      <c r="D15" s="2"/>
    </row>
    <row r="16" spans="1:10" x14ac:dyDescent="0.2">
      <c r="A16" s="6">
        <v>2012</v>
      </c>
      <c r="B16" s="6" t="s">
        <v>44</v>
      </c>
      <c r="C16" s="7">
        <f>SUM(employment!D382:D419)</f>
        <v>2573000</v>
      </c>
      <c r="D16" s="2"/>
    </row>
    <row r="17" spans="1:4" x14ac:dyDescent="0.2">
      <c r="A17" s="6">
        <v>2012</v>
      </c>
      <c r="B17" s="6" t="s">
        <v>45</v>
      </c>
      <c r="C17" s="7">
        <f>SUM(employment!D534:D571)</f>
        <v>9643700</v>
      </c>
      <c r="D17" s="2"/>
    </row>
    <row r="18" spans="1:4" x14ac:dyDescent="0.2">
      <c r="A18" s="6">
        <v>2012</v>
      </c>
      <c r="B18" s="6" t="s">
        <v>46</v>
      </c>
      <c r="C18" s="7">
        <f>SUM(employment!D686:D723)</f>
        <v>5389800</v>
      </c>
      <c r="D18" s="2"/>
    </row>
    <row r="19" spans="1:4" x14ac:dyDescent="0.2">
      <c r="A19" s="6">
        <v>2012</v>
      </c>
      <c r="B19" s="6" t="s">
        <v>47</v>
      </c>
      <c r="C19" s="7">
        <f>SUM(employment!D838:D875)</f>
        <v>11789600</v>
      </c>
      <c r="D19" s="2"/>
    </row>
    <row r="20" spans="1:4" x14ac:dyDescent="0.2">
      <c r="A20" s="6">
        <v>2019</v>
      </c>
      <c r="B20" s="6" t="s">
        <v>5</v>
      </c>
      <c r="C20" s="7">
        <f>SUM(employment!D116:D153)</f>
        <v>455000</v>
      </c>
      <c r="D20" s="2"/>
    </row>
    <row r="21" spans="1:4" x14ac:dyDescent="0.2">
      <c r="A21" s="6">
        <v>2019</v>
      </c>
      <c r="B21" s="6" t="s">
        <v>43</v>
      </c>
      <c r="C21" s="7">
        <f>SUM(employment!D268:D305)</f>
        <v>8508400</v>
      </c>
      <c r="D21" s="2"/>
    </row>
    <row r="22" spans="1:4" x14ac:dyDescent="0.2">
      <c r="A22" s="6">
        <v>2019</v>
      </c>
      <c r="B22" s="6" t="s">
        <v>44</v>
      </c>
      <c r="C22" s="7">
        <f>SUM(employment!D420:D457)</f>
        <v>2771500</v>
      </c>
      <c r="D22" s="2"/>
    </row>
    <row r="23" spans="1:4" x14ac:dyDescent="0.2">
      <c r="A23" s="6">
        <v>2019</v>
      </c>
      <c r="B23" s="6" t="s">
        <v>45</v>
      </c>
      <c r="C23" s="7">
        <f>SUM(employment!D572:D609)</f>
        <v>10513400</v>
      </c>
      <c r="D23" s="2"/>
    </row>
    <row r="24" spans="1:4" x14ac:dyDescent="0.2">
      <c r="A24" s="6">
        <v>2019</v>
      </c>
      <c r="B24" s="6" t="s">
        <v>46</v>
      </c>
      <c r="C24" s="7">
        <f>SUM(employment!D724:D761)</f>
        <v>5731400</v>
      </c>
      <c r="D24" s="2"/>
    </row>
    <row r="25" spans="1:4" x14ac:dyDescent="0.2">
      <c r="A25" s="6">
        <v>2019</v>
      </c>
      <c r="B25" s="6" t="s">
        <v>47</v>
      </c>
      <c r="C25" s="7">
        <f>SUM(employment!D876:D913)</f>
        <v>13002700</v>
      </c>
      <c r="D25" s="2"/>
    </row>
    <row r="26" spans="1:4" x14ac:dyDescent="0.2">
      <c r="B26" s="1"/>
      <c r="C26" s="2"/>
      <c r="D26" s="2"/>
    </row>
    <row r="27" spans="1:4" x14ac:dyDescent="0.2">
      <c r="B27" s="1"/>
      <c r="C27" s="2"/>
      <c r="D27" s="2"/>
    </row>
    <row r="28" spans="1:4" x14ac:dyDescent="0.2">
      <c r="B28" s="1"/>
      <c r="C28" s="2"/>
      <c r="D28" s="2"/>
    </row>
    <row r="29" spans="1:4" x14ac:dyDescent="0.2">
      <c r="B29" s="1"/>
      <c r="C29" s="2"/>
      <c r="D29" s="2"/>
    </row>
    <row r="30" spans="1:4" x14ac:dyDescent="0.2">
      <c r="B30" s="1"/>
      <c r="C30" s="2"/>
      <c r="D30" s="2"/>
    </row>
    <row r="31" spans="1:4" x14ac:dyDescent="0.2">
      <c r="B31" s="1"/>
      <c r="C31" s="2"/>
      <c r="D31" s="2"/>
    </row>
    <row r="32" spans="1:4" x14ac:dyDescent="0.2">
      <c r="B32" s="1"/>
      <c r="C32" s="2"/>
      <c r="D32" s="2"/>
    </row>
    <row r="33" spans="2:4" x14ac:dyDescent="0.2">
      <c r="B33" s="1"/>
      <c r="C33" s="2"/>
      <c r="D33" s="2"/>
    </row>
    <row r="34" spans="2:4" x14ac:dyDescent="0.2">
      <c r="B34" s="1"/>
      <c r="C34" s="2"/>
      <c r="D34" s="2"/>
    </row>
    <row r="35" spans="2:4" x14ac:dyDescent="0.2">
      <c r="B35" s="1"/>
      <c r="C35" s="2"/>
      <c r="D35" s="2"/>
    </row>
    <row r="36" spans="2:4" x14ac:dyDescent="0.2">
      <c r="B36" s="1"/>
      <c r="C36" s="2"/>
      <c r="D36" s="2"/>
    </row>
    <row r="37" spans="2:4" x14ac:dyDescent="0.2">
      <c r="B37" s="1"/>
      <c r="C37" s="2"/>
      <c r="D37" s="2"/>
    </row>
    <row r="38" spans="2:4" x14ac:dyDescent="0.2">
      <c r="B38" s="1"/>
      <c r="C38" s="2"/>
      <c r="D38" s="2"/>
    </row>
    <row r="39" spans="2:4" x14ac:dyDescent="0.2">
      <c r="B39" s="1"/>
      <c r="C39" s="2"/>
      <c r="D3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F079-7E3C-1F40-9313-CEBED88C629A}">
  <dimension ref="A1:C13"/>
  <sheetViews>
    <sheetView workbookViewId="0">
      <selection activeCell="D9" sqref="D9"/>
    </sheetView>
  </sheetViews>
  <sheetFormatPr baseColWidth="10" defaultRowHeight="16" x14ac:dyDescent="0.2"/>
  <cols>
    <col min="3" max="3" width="16.83203125" style="5" bestFit="1" customWidth="1"/>
  </cols>
  <sheetData>
    <row r="1" spans="1:3" x14ac:dyDescent="0.2">
      <c r="A1" s="14" t="s">
        <v>50</v>
      </c>
      <c r="B1" s="14" t="s">
        <v>2</v>
      </c>
      <c r="C1" s="11" t="s">
        <v>53</v>
      </c>
    </row>
    <row r="2" spans="1:3" x14ac:dyDescent="0.2">
      <c r="A2" s="16" t="s">
        <v>51</v>
      </c>
      <c r="B2" s="16" t="s">
        <v>5</v>
      </c>
      <c r="C2" s="10">
        <f>import!C8-import!C2</f>
        <v>486690001.27900004</v>
      </c>
    </row>
    <row r="3" spans="1:3" x14ac:dyDescent="0.2">
      <c r="A3" s="16" t="s">
        <v>51</v>
      </c>
      <c r="B3" s="16" t="s">
        <v>43</v>
      </c>
      <c r="C3" s="10">
        <f>import!C9-import!C3</f>
        <v>96459021140.688965</v>
      </c>
    </row>
    <row r="4" spans="1:3" x14ac:dyDescent="0.2">
      <c r="A4" s="16" t="s">
        <v>51</v>
      </c>
      <c r="B4" s="16" t="s">
        <v>44</v>
      </c>
      <c r="C4" s="10">
        <f>import!C10-import!C4</f>
        <v>0</v>
      </c>
    </row>
    <row r="5" spans="1:3" x14ac:dyDescent="0.2">
      <c r="A5" s="16" t="s">
        <v>51</v>
      </c>
      <c r="B5" s="16" t="s">
        <v>45</v>
      </c>
      <c r="C5" s="10">
        <f>import!C11-import!C5</f>
        <v>0</v>
      </c>
    </row>
    <row r="6" spans="1:3" x14ac:dyDescent="0.2">
      <c r="A6" s="16" t="s">
        <v>51</v>
      </c>
      <c r="B6" s="16" t="s">
        <v>46</v>
      </c>
      <c r="C6" s="10">
        <f>import!C12-import!C6</f>
        <v>17918.386999999988</v>
      </c>
    </row>
    <row r="7" spans="1:3" x14ac:dyDescent="0.2">
      <c r="A7" s="16" t="s">
        <v>51</v>
      </c>
      <c r="B7" s="16" t="s">
        <v>47</v>
      </c>
      <c r="C7" s="10">
        <f>import!C13-import!C7</f>
        <v>250123815.12299979</v>
      </c>
    </row>
    <row r="8" spans="1:3" x14ac:dyDescent="0.2">
      <c r="A8" s="16" t="s">
        <v>52</v>
      </c>
      <c r="B8" s="16" t="s">
        <v>5</v>
      </c>
      <c r="C8" s="10">
        <f>import!C20-import!C14</f>
        <v>-44049333.434000134</v>
      </c>
    </row>
    <row r="9" spans="1:3" x14ac:dyDescent="0.2">
      <c r="A9" s="16" t="s">
        <v>52</v>
      </c>
      <c r="B9" s="16" t="s">
        <v>43</v>
      </c>
      <c r="C9" s="10">
        <f>import!C21-import!C15</f>
        <v>20022415699.820068</v>
      </c>
    </row>
    <row r="10" spans="1:3" x14ac:dyDescent="0.2">
      <c r="A10" s="16" t="s">
        <v>52</v>
      </c>
      <c r="B10" s="16" t="s">
        <v>44</v>
      </c>
      <c r="C10" s="10">
        <f>import!C22-import!C16</f>
        <v>0</v>
      </c>
    </row>
    <row r="11" spans="1:3" x14ac:dyDescent="0.2">
      <c r="A11" s="16" t="s">
        <v>52</v>
      </c>
      <c r="B11" s="16" t="s">
        <v>45</v>
      </c>
      <c r="C11" s="10">
        <f>import!C23-import!C17</f>
        <v>0</v>
      </c>
    </row>
    <row r="12" spans="1:3" x14ac:dyDescent="0.2">
      <c r="A12" s="16" t="s">
        <v>52</v>
      </c>
      <c r="B12" s="16" t="s">
        <v>46</v>
      </c>
      <c r="C12" s="10">
        <f>import!C24-import!C18</f>
        <v>4619.099000000002</v>
      </c>
    </row>
    <row r="13" spans="1:3" x14ac:dyDescent="0.2">
      <c r="A13" s="16" t="s">
        <v>52</v>
      </c>
      <c r="B13" s="16" t="s">
        <v>47</v>
      </c>
      <c r="C13" s="10">
        <f>import!C25-import!C19</f>
        <v>13392819.145999998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5D97-1686-7B44-92AB-279A401A2C90}">
  <dimension ref="A1:E25"/>
  <sheetViews>
    <sheetView workbookViewId="0">
      <selection activeCell="L29" sqref="L29"/>
    </sheetView>
  </sheetViews>
  <sheetFormatPr baseColWidth="10" defaultRowHeight="16" x14ac:dyDescent="0.2"/>
  <cols>
    <col min="4" max="4" width="16.83203125" style="5" bestFit="1" customWidth="1"/>
    <col min="5" max="5" width="13.33203125" style="5" bestFit="1" customWidth="1"/>
  </cols>
  <sheetData>
    <row r="1" spans="1:5" x14ac:dyDescent="0.2">
      <c r="A1" s="8" t="s">
        <v>50</v>
      </c>
      <c r="B1" s="14" t="s">
        <v>2</v>
      </c>
      <c r="C1" s="14" t="s">
        <v>54</v>
      </c>
      <c r="D1" s="11" t="s">
        <v>53</v>
      </c>
      <c r="E1" s="11" t="s">
        <v>55</v>
      </c>
    </row>
    <row r="2" spans="1:5" x14ac:dyDescent="0.2">
      <c r="A2" s="6" t="s">
        <v>51</v>
      </c>
      <c r="B2" s="6" t="s">
        <v>5</v>
      </c>
      <c r="C2" s="7">
        <f>L_i!C2</f>
        <v>919800</v>
      </c>
      <c r="D2" s="10">
        <f>delta_М!C2</f>
        <v>486690001.27900004</v>
      </c>
      <c r="E2" s="10">
        <f>D2/C2</f>
        <v>529.12589832463584</v>
      </c>
    </row>
    <row r="3" spans="1:5" x14ac:dyDescent="0.2">
      <c r="A3" s="6" t="s">
        <v>51</v>
      </c>
      <c r="B3" s="6" t="s">
        <v>43</v>
      </c>
      <c r="C3" s="7">
        <f>L_i!C3</f>
        <v>8638900</v>
      </c>
      <c r="D3" s="10">
        <f>delta_М!C3</f>
        <v>96459021140.688965</v>
      </c>
      <c r="E3" s="10">
        <f t="shared" ref="E3:E13" si="0">D3/C3</f>
        <v>11165.660111899544</v>
      </c>
    </row>
    <row r="4" spans="1:5" x14ac:dyDescent="0.2">
      <c r="A4" s="6" t="s">
        <v>51</v>
      </c>
      <c r="B4" s="6" t="s">
        <v>44</v>
      </c>
      <c r="C4" s="7">
        <f>L_i!C4</f>
        <v>2830400</v>
      </c>
      <c r="D4" s="10">
        <f>delta_М!C4</f>
        <v>0</v>
      </c>
      <c r="E4" s="10">
        <f t="shared" si="0"/>
        <v>0</v>
      </c>
    </row>
    <row r="5" spans="1:5" x14ac:dyDescent="0.2">
      <c r="A5" s="6" t="s">
        <v>51</v>
      </c>
      <c r="B5" s="6" t="s">
        <v>45</v>
      </c>
      <c r="C5" s="7">
        <f>L_i!C5</f>
        <v>7772900</v>
      </c>
      <c r="D5" s="10">
        <f>delta_М!C5</f>
        <v>0</v>
      </c>
      <c r="E5" s="10">
        <f t="shared" si="0"/>
        <v>0</v>
      </c>
    </row>
    <row r="6" spans="1:5" x14ac:dyDescent="0.2">
      <c r="A6" s="6" t="s">
        <v>51</v>
      </c>
      <c r="B6" s="6" t="s">
        <v>46</v>
      </c>
      <c r="C6" s="7">
        <f>L_i!C6</f>
        <v>3768800</v>
      </c>
      <c r="D6" s="10">
        <f>delta_М!C6</f>
        <v>17918.386999999988</v>
      </c>
      <c r="E6" s="10">
        <f t="shared" si="0"/>
        <v>4.7544011356399881E-3</v>
      </c>
    </row>
    <row r="7" spans="1:5" x14ac:dyDescent="0.2">
      <c r="A7" s="6" t="s">
        <v>51</v>
      </c>
      <c r="B7" s="6" t="s">
        <v>47</v>
      </c>
      <c r="C7" s="7">
        <f>L_i!C7</f>
        <v>9883600</v>
      </c>
      <c r="D7" s="10">
        <f>delta_М!C7</f>
        <v>250123815.12299979</v>
      </c>
      <c r="E7" s="10">
        <f t="shared" si="0"/>
        <v>25.306954462240459</v>
      </c>
    </row>
    <row r="8" spans="1:5" x14ac:dyDescent="0.2">
      <c r="A8" s="6" t="s">
        <v>52</v>
      </c>
      <c r="B8" s="6" t="s">
        <v>5</v>
      </c>
      <c r="C8" s="7">
        <f>L_i!C14</f>
        <v>541100</v>
      </c>
      <c r="D8" s="10">
        <f>delta_М!C8</f>
        <v>-44049333.434000134</v>
      </c>
      <c r="E8" s="10">
        <f t="shared" si="0"/>
        <v>-81.407010596932423</v>
      </c>
    </row>
    <row r="9" spans="1:5" x14ac:dyDescent="0.2">
      <c r="A9" s="6" t="s">
        <v>52</v>
      </c>
      <c r="B9" s="6" t="s">
        <v>43</v>
      </c>
      <c r="C9" s="7">
        <f>L_i!C15</f>
        <v>8311100</v>
      </c>
      <c r="D9" s="10">
        <f>delta_М!C9</f>
        <v>20022415699.820068</v>
      </c>
      <c r="E9" s="10">
        <f t="shared" si="0"/>
        <v>2409.1174092262236</v>
      </c>
    </row>
    <row r="10" spans="1:5" x14ac:dyDescent="0.2">
      <c r="A10" s="6" t="s">
        <v>52</v>
      </c>
      <c r="B10" s="6" t="s">
        <v>44</v>
      </c>
      <c r="C10" s="7">
        <f>L_i!C16</f>
        <v>2573000</v>
      </c>
      <c r="D10" s="10">
        <f>delta_М!C10</f>
        <v>0</v>
      </c>
      <c r="E10" s="10">
        <f t="shared" si="0"/>
        <v>0</v>
      </c>
    </row>
    <row r="11" spans="1:5" x14ac:dyDescent="0.2">
      <c r="A11" s="6" t="s">
        <v>52</v>
      </c>
      <c r="B11" s="6" t="s">
        <v>45</v>
      </c>
      <c r="C11" s="7">
        <f>L_i!C17</f>
        <v>9643700</v>
      </c>
      <c r="D11" s="10">
        <f>delta_М!C11</f>
        <v>0</v>
      </c>
      <c r="E11" s="10">
        <f t="shared" si="0"/>
        <v>0</v>
      </c>
    </row>
    <row r="12" spans="1:5" x14ac:dyDescent="0.2">
      <c r="A12" s="6" t="s">
        <v>52</v>
      </c>
      <c r="B12" s="6" t="s">
        <v>46</v>
      </c>
      <c r="C12" s="7">
        <f>L_i!C18</f>
        <v>5389800</v>
      </c>
      <c r="D12" s="10">
        <f>delta_М!C12</f>
        <v>4619.099000000002</v>
      </c>
      <c r="E12" s="10">
        <f t="shared" si="0"/>
        <v>8.5700749563991281E-4</v>
      </c>
    </row>
    <row r="13" spans="1:5" x14ac:dyDescent="0.2">
      <c r="A13" s="6" t="s">
        <v>52</v>
      </c>
      <c r="B13" s="6" t="s">
        <v>47</v>
      </c>
      <c r="C13" s="7">
        <f>L_i!C19</f>
        <v>11789600</v>
      </c>
      <c r="D13" s="10">
        <f>delta_М!C13</f>
        <v>13392819.145999998</v>
      </c>
      <c r="E13" s="10">
        <f t="shared" si="0"/>
        <v>1.1359858812852004</v>
      </c>
    </row>
    <row r="14" spans="1:5" x14ac:dyDescent="0.2">
      <c r="A14" s="1"/>
      <c r="B14" s="1"/>
      <c r="C14" s="2"/>
    </row>
    <row r="15" spans="1:5" x14ac:dyDescent="0.2">
      <c r="A15" s="1"/>
      <c r="B15" s="1"/>
      <c r="C15" s="2"/>
    </row>
    <row r="16" spans="1:5" x14ac:dyDescent="0.2">
      <c r="A16" s="1"/>
      <c r="B16" s="1"/>
      <c r="C16" s="2"/>
    </row>
    <row r="17" spans="1:3" x14ac:dyDescent="0.2">
      <c r="A17" s="1"/>
      <c r="B17" s="1"/>
      <c r="C17" s="2"/>
    </row>
    <row r="18" spans="1:3" x14ac:dyDescent="0.2">
      <c r="A18" s="1"/>
      <c r="B18" s="1"/>
      <c r="C18" s="2"/>
    </row>
    <row r="19" spans="1:3" x14ac:dyDescent="0.2">
      <c r="A19" s="1"/>
      <c r="B19" s="1"/>
      <c r="C19" s="2"/>
    </row>
    <row r="20" spans="1:3" x14ac:dyDescent="0.2">
      <c r="A20" s="1"/>
      <c r="B20" s="1"/>
      <c r="C20" s="2"/>
    </row>
    <row r="21" spans="1:3" x14ac:dyDescent="0.2">
      <c r="A21" s="1"/>
      <c r="B21" s="1"/>
      <c r="C21" s="2"/>
    </row>
    <row r="22" spans="1:3" x14ac:dyDescent="0.2">
      <c r="A22" s="1"/>
      <c r="B22" s="1"/>
      <c r="C22" s="2"/>
    </row>
    <row r="23" spans="1:3" x14ac:dyDescent="0.2">
      <c r="A23" s="1"/>
      <c r="B23" s="1"/>
      <c r="C23" s="2"/>
    </row>
    <row r="24" spans="1:3" x14ac:dyDescent="0.2">
      <c r="A24" s="1"/>
      <c r="B24" s="1"/>
      <c r="C24" s="2"/>
    </row>
    <row r="25" spans="1:3" x14ac:dyDescent="0.2">
      <c r="A25" s="1"/>
      <c r="B25" s="1"/>
      <c r="C25" s="2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5518-44C4-634B-9145-B97B593F6369}">
  <dimension ref="A1:R40"/>
  <sheetViews>
    <sheetView workbookViewId="0">
      <selection activeCell="J11" sqref="J11"/>
    </sheetView>
  </sheetViews>
  <sheetFormatPr baseColWidth="10" defaultRowHeight="16" x14ac:dyDescent="0.2"/>
  <cols>
    <col min="1" max="1" width="22.83203125" bestFit="1" customWidth="1"/>
    <col min="11" max="11" width="22.83203125" bestFit="1" customWidth="1"/>
  </cols>
  <sheetData>
    <row r="1" spans="1:18" x14ac:dyDescent="0.2">
      <c r="A1" s="20">
        <v>1999</v>
      </c>
      <c r="B1" s="20"/>
      <c r="C1" s="20"/>
      <c r="D1" s="20"/>
      <c r="E1" s="20"/>
      <c r="F1" s="20"/>
      <c r="G1" s="20"/>
      <c r="H1" s="20"/>
      <c r="K1" s="20">
        <v>2012</v>
      </c>
      <c r="L1" s="20"/>
      <c r="M1" s="20"/>
      <c r="N1" s="20"/>
      <c r="O1" s="20"/>
      <c r="P1" s="20"/>
      <c r="Q1" s="20"/>
      <c r="R1" s="20"/>
    </row>
    <row r="2" spans="1:18" x14ac:dyDescent="0.2">
      <c r="A2" s="8"/>
      <c r="B2" s="8" t="s">
        <v>5</v>
      </c>
      <c r="C2" s="8" t="s">
        <v>43</v>
      </c>
      <c r="D2" s="8" t="s">
        <v>44</v>
      </c>
      <c r="E2" s="8" t="s">
        <v>45</v>
      </c>
      <c r="F2" s="8" t="s">
        <v>46</v>
      </c>
      <c r="G2" s="8" t="s">
        <v>47</v>
      </c>
      <c r="H2" s="8" t="s">
        <v>56</v>
      </c>
      <c r="K2" s="8"/>
      <c r="L2" s="8" t="s">
        <v>5</v>
      </c>
      <c r="M2" s="8" t="s">
        <v>43</v>
      </c>
      <c r="N2" s="8" t="s">
        <v>44</v>
      </c>
      <c r="O2" s="8" t="s">
        <v>45</v>
      </c>
      <c r="P2" s="8" t="s">
        <v>46</v>
      </c>
      <c r="Q2" s="8" t="s">
        <v>47</v>
      </c>
      <c r="R2" s="8" t="s">
        <v>57</v>
      </c>
    </row>
    <row r="3" spans="1:18" x14ac:dyDescent="0.2">
      <c r="A3" s="8" t="s">
        <v>4</v>
      </c>
      <c r="B3" s="7">
        <f>employment!D2</f>
        <v>31300</v>
      </c>
      <c r="C3" s="7">
        <f>employment!D154</f>
        <v>677000</v>
      </c>
      <c r="D3" s="7">
        <f>employment!D306</f>
        <v>125300</v>
      </c>
      <c r="E3" s="7">
        <f>employment!D458</f>
        <v>358700</v>
      </c>
      <c r="F3" s="7">
        <f>employment!D610</f>
        <v>194700</v>
      </c>
      <c r="G3" s="7">
        <f>employment!D762</f>
        <v>437500</v>
      </c>
      <c r="H3" s="7">
        <f>SUM(B3:G3)</f>
        <v>1824500</v>
      </c>
      <c r="K3" s="8" t="s">
        <v>4</v>
      </c>
      <c r="L3" s="7">
        <f>employment!D78</f>
        <v>19700</v>
      </c>
      <c r="M3" s="7">
        <f>employment!D230</f>
        <v>595600</v>
      </c>
      <c r="N3" s="7">
        <f>employment!D382</f>
        <v>116000</v>
      </c>
      <c r="O3" s="7">
        <f>employment!D534</f>
        <v>421800</v>
      </c>
      <c r="P3" s="7">
        <f>employment!D686</f>
        <v>274400</v>
      </c>
      <c r="Q3" s="7">
        <f>employment!D838</f>
        <v>505800</v>
      </c>
      <c r="R3" s="7">
        <f>SUM(L3:Q3)</f>
        <v>1933300</v>
      </c>
    </row>
    <row r="4" spans="1:18" x14ac:dyDescent="0.2">
      <c r="A4" s="8" t="s">
        <v>6</v>
      </c>
      <c r="B4" s="7">
        <f>employment!D3</f>
        <v>17300</v>
      </c>
      <c r="C4" s="7">
        <f>employment!D155</f>
        <v>379400</v>
      </c>
      <c r="D4" s="7">
        <f>employment!D307</f>
        <v>67300</v>
      </c>
      <c r="E4" s="7">
        <f>employment!D459</f>
        <v>237800</v>
      </c>
      <c r="F4" s="7">
        <f>employment!D611</f>
        <v>135200</v>
      </c>
      <c r="G4" s="7">
        <f>employment!D763</f>
        <v>335200</v>
      </c>
      <c r="H4" s="7">
        <f t="shared" ref="H4:H40" si="0">SUM(B4:G4)</f>
        <v>1172200</v>
      </c>
      <c r="K4" s="8" t="s">
        <v>6</v>
      </c>
      <c r="L4" s="7">
        <f>employment!D79</f>
        <v>5900</v>
      </c>
      <c r="M4" s="7">
        <f>employment!D231</f>
        <v>353100</v>
      </c>
      <c r="N4" s="7">
        <f>employment!D383</f>
        <v>68100</v>
      </c>
      <c r="O4" s="7">
        <f>employment!D535</f>
        <v>312400</v>
      </c>
      <c r="P4" s="7">
        <f>employment!D687</f>
        <v>181000</v>
      </c>
      <c r="Q4" s="7">
        <f>employment!D839</f>
        <v>392500</v>
      </c>
      <c r="R4" s="7">
        <f t="shared" ref="R4:R40" si="1">SUM(L4:Q4)</f>
        <v>1313000</v>
      </c>
    </row>
    <row r="5" spans="1:18" x14ac:dyDescent="0.2">
      <c r="A5" s="8" t="s">
        <v>7</v>
      </c>
      <c r="B5" s="7">
        <f>employment!D4</f>
        <v>31100</v>
      </c>
      <c r="C5" s="7">
        <f>employment!D156</f>
        <v>311700</v>
      </c>
      <c r="D5" s="7">
        <f>employment!D308</f>
        <v>69400</v>
      </c>
      <c r="E5" s="7">
        <f>employment!D460</f>
        <v>194700</v>
      </c>
      <c r="F5" s="7">
        <f>employment!D612</f>
        <v>86600</v>
      </c>
      <c r="G5" s="7">
        <f>employment!D764</f>
        <v>253300</v>
      </c>
      <c r="H5" s="7">
        <f t="shared" si="0"/>
        <v>946800</v>
      </c>
      <c r="K5" s="8" t="s">
        <v>7</v>
      </c>
      <c r="L5" s="7">
        <f>employment!D80</f>
        <v>12000</v>
      </c>
      <c r="M5" s="7">
        <f>employment!D232</f>
        <v>315200</v>
      </c>
      <c r="N5" s="7">
        <f>employment!D384</f>
        <v>69300</v>
      </c>
      <c r="O5" s="7">
        <f>employment!D536</f>
        <v>265200</v>
      </c>
      <c r="P5" s="7">
        <f>employment!D688</f>
        <v>109399.99999999999</v>
      </c>
      <c r="Q5" s="7">
        <f>employment!D840</f>
        <v>328099.99999999994</v>
      </c>
      <c r="R5" s="7">
        <f t="shared" si="1"/>
        <v>1099200</v>
      </c>
    </row>
    <row r="6" spans="1:18" x14ac:dyDescent="0.2">
      <c r="A6" s="8" t="s">
        <v>8</v>
      </c>
      <c r="B6" s="7">
        <f>employment!D5</f>
        <v>32200.000000000004</v>
      </c>
      <c r="C6" s="7">
        <f>employment!D157</f>
        <v>290300</v>
      </c>
      <c r="D6" s="7">
        <f>employment!D309</f>
        <v>57600</v>
      </c>
      <c r="E6" s="7">
        <f>employment!D461</f>
        <v>145000</v>
      </c>
      <c r="F6" s="7">
        <f>employment!D613</f>
        <v>71800</v>
      </c>
      <c r="G6" s="7">
        <f>employment!D765</f>
        <v>205400</v>
      </c>
      <c r="H6" s="7">
        <f t="shared" si="0"/>
        <v>802300</v>
      </c>
      <c r="K6" s="8" t="s">
        <v>8</v>
      </c>
      <c r="L6" s="7">
        <f>employment!D81</f>
        <v>18600</v>
      </c>
      <c r="M6" s="7">
        <f>employment!D233</f>
        <v>288400</v>
      </c>
      <c r="N6" s="7">
        <f>employment!D385</f>
        <v>53700</v>
      </c>
      <c r="O6" s="7">
        <f>employment!D537</f>
        <v>181200</v>
      </c>
      <c r="P6" s="7">
        <f>employment!D689</f>
        <v>89300.000000000015</v>
      </c>
      <c r="Q6" s="7">
        <f>employment!D841</f>
        <v>260300</v>
      </c>
      <c r="R6" s="7">
        <f t="shared" si="1"/>
        <v>891500</v>
      </c>
    </row>
    <row r="7" spans="1:18" x14ac:dyDescent="0.2">
      <c r="A7" s="8" t="s">
        <v>9</v>
      </c>
      <c r="B7" s="7">
        <f>employment!D6</f>
        <v>52800</v>
      </c>
      <c r="C7" s="7">
        <f>employment!D158</f>
        <v>474800</v>
      </c>
      <c r="D7" s="7">
        <f>employment!D310</f>
        <v>125100</v>
      </c>
      <c r="E7" s="7">
        <f>employment!D462</f>
        <v>446700</v>
      </c>
      <c r="F7" s="7">
        <f>employment!D614</f>
        <v>331900</v>
      </c>
      <c r="G7" s="7">
        <f>employment!D766</f>
        <v>549400</v>
      </c>
      <c r="H7" s="7">
        <f t="shared" si="0"/>
        <v>1980700</v>
      </c>
      <c r="K7" s="8" t="s">
        <v>9</v>
      </c>
      <c r="L7" s="7">
        <f>employment!D82</f>
        <v>34600</v>
      </c>
      <c r="M7" s="7">
        <f>employment!D234</f>
        <v>450800</v>
      </c>
      <c r="N7" s="7">
        <f>employment!D386</f>
        <v>130699.99999999999</v>
      </c>
      <c r="O7" s="7">
        <f>employment!D538</f>
        <v>593100</v>
      </c>
      <c r="P7" s="7">
        <f>employment!D690</f>
        <v>414400</v>
      </c>
      <c r="Q7" s="7">
        <f>employment!D842</f>
        <v>632199.99999999988</v>
      </c>
      <c r="R7" s="7">
        <f t="shared" si="1"/>
        <v>2255800</v>
      </c>
    </row>
    <row r="8" spans="1:18" x14ac:dyDescent="0.2">
      <c r="A8" s="8" t="s">
        <v>10</v>
      </c>
      <c r="B8" s="7">
        <f>employment!D7</f>
        <v>35600</v>
      </c>
      <c r="C8" s="7">
        <f>employment!D159</f>
        <v>167700</v>
      </c>
      <c r="D8" s="7">
        <f>employment!D311</f>
        <v>56300</v>
      </c>
      <c r="E8" s="7">
        <f>employment!D463</f>
        <v>117300</v>
      </c>
      <c r="F8" s="7">
        <f>employment!D615</f>
        <v>48800</v>
      </c>
      <c r="G8" s="7">
        <f>employment!D767</f>
        <v>128300.00000000001</v>
      </c>
      <c r="H8" s="7">
        <f t="shared" si="0"/>
        <v>554000</v>
      </c>
      <c r="K8" s="8" t="s">
        <v>10</v>
      </c>
      <c r="L8" s="7">
        <f>employment!D83</f>
        <v>20900</v>
      </c>
      <c r="M8" s="7">
        <f>employment!D235</f>
        <v>163100</v>
      </c>
      <c r="N8" s="7">
        <f>employment!D387</f>
        <v>56500</v>
      </c>
      <c r="O8" s="7">
        <f>employment!D539</f>
        <v>139700</v>
      </c>
      <c r="P8" s="7">
        <f>employment!D691</f>
        <v>61400.000000000007</v>
      </c>
      <c r="Q8" s="7">
        <f>employment!D843</f>
        <v>156000</v>
      </c>
      <c r="R8" s="7">
        <f t="shared" si="1"/>
        <v>597600</v>
      </c>
    </row>
    <row r="9" spans="1:18" x14ac:dyDescent="0.2">
      <c r="A9" s="8" t="s">
        <v>11</v>
      </c>
      <c r="B9" s="7">
        <f>employment!D8</f>
        <v>29900</v>
      </c>
      <c r="C9" s="7">
        <f>employment!D160</f>
        <v>146600</v>
      </c>
      <c r="D9" s="7">
        <f>employment!D312</f>
        <v>45900</v>
      </c>
      <c r="E9" s="7">
        <f>employment!D464</f>
        <v>102900</v>
      </c>
      <c r="F9" s="7">
        <f>employment!D616</f>
        <v>39900</v>
      </c>
      <c r="G9" s="7">
        <f>employment!D768</f>
        <v>129600</v>
      </c>
      <c r="H9" s="7">
        <f t="shared" si="0"/>
        <v>494800</v>
      </c>
      <c r="K9" s="8" t="s">
        <v>11</v>
      </c>
      <c r="L9" s="7">
        <f>employment!D84</f>
        <v>14100</v>
      </c>
      <c r="M9" s="7">
        <f>employment!D236</f>
        <v>155000</v>
      </c>
      <c r="N9" s="7">
        <f>employment!D388</f>
        <v>36700</v>
      </c>
      <c r="O9" s="7">
        <f>employment!D540</f>
        <v>121800</v>
      </c>
      <c r="P9" s="7">
        <f>employment!D692</f>
        <v>53200</v>
      </c>
      <c r="Q9" s="7">
        <f>employment!D844</f>
        <v>161000</v>
      </c>
      <c r="R9" s="7">
        <f t="shared" si="1"/>
        <v>541800</v>
      </c>
    </row>
    <row r="10" spans="1:18" x14ac:dyDescent="0.2">
      <c r="A10" s="8" t="s">
        <v>12</v>
      </c>
      <c r="B10" s="7">
        <f>employment!D9</f>
        <v>14200</v>
      </c>
      <c r="C10" s="7">
        <f>employment!D161</f>
        <v>157500</v>
      </c>
      <c r="D10" s="7">
        <f>employment!D313</f>
        <v>35500</v>
      </c>
      <c r="E10" s="7">
        <f>employment!D465</f>
        <v>117100</v>
      </c>
      <c r="F10" s="7">
        <f>employment!D617</f>
        <v>48600</v>
      </c>
      <c r="G10" s="7">
        <f>employment!D769</f>
        <v>132900</v>
      </c>
      <c r="H10" s="7">
        <f t="shared" si="0"/>
        <v>505800</v>
      </c>
      <c r="K10" s="8" t="s">
        <v>12</v>
      </c>
      <c r="L10" s="7">
        <f>employment!D85</f>
        <v>9200</v>
      </c>
      <c r="M10" s="7">
        <f>employment!D237</f>
        <v>152500</v>
      </c>
      <c r="N10" s="7">
        <f>employment!D389</f>
        <v>34700</v>
      </c>
      <c r="O10" s="7">
        <f>employment!D541</f>
        <v>117800</v>
      </c>
      <c r="P10" s="7">
        <f>employment!D693</f>
        <v>58099.999999999993</v>
      </c>
      <c r="Q10" s="7">
        <f>employment!D845</f>
        <v>151700.00000000003</v>
      </c>
      <c r="R10" s="7">
        <f t="shared" si="1"/>
        <v>524000</v>
      </c>
    </row>
    <row r="11" spans="1:18" x14ac:dyDescent="0.2">
      <c r="A11" s="8" t="s">
        <v>13</v>
      </c>
      <c r="B11" s="7">
        <f>employment!D10</f>
        <v>33300</v>
      </c>
      <c r="C11" s="7">
        <f>employment!D162</f>
        <v>234300</v>
      </c>
      <c r="D11" s="7">
        <f>employment!D314</f>
        <v>56000</v>
      </c>
      <c r="E11" s="7">
        <f>employment!D466</f>
        <v>165200</v>
      </c>
      <c r="F11" s="7">
        <f>employment!D618</f>
        <v>91800</v>
      </c>
      <c r="G11" s="7">
        <f>employment!D770</f>
        <v>177200</v>
      </c>
      <c r="H11" s="7">
        <f t="shared" si="0"/>
        <v>757800</v>
      </c>
      <c r="K11" s="8" t="s">
        <v>13</v>
      </c>
      <c r="L11" s="7">
        <f>employment!D86</f>
        <v>12000</v>
      </c>
      <c r="M11" s="7">
        <f>employment!D238</f>
        <v>222900</v>
      </c>
      <c r="N11" s="7">
        <f>employment!D390</f>
        <v>46600</v>
      </c>
      <c r="O11" s="7">
        <f>employment!D542</f>
        <v>215700</v>
      </c>
      <c r="P11" s="7">
        <f>employment!D694</f>
        <v>113000</v>
      </c>
      <c r="Q11" s="7">
        <f>employment!D846</f>
        <v>242600.00000000003</v>
      </c>
      <c r="R11" s="7">
        <f t="shared" si="1"/>
        <v>852800</v>
      </c>
    </row>
    <row r="12" spans="1:18" x14ac:dyDescent="0.2">
      <c r="A12" s="8" t="s">
        <v>14</v>
      </c>
      <c r="B12" s="7">
        <f>employment!D11</f>
        <v>15900</v>
      </c>
      <c r="C12" s="7">
        <f>employment!D163</f>
        <v>184500</v>
      </c>
      <c r="D12" s="7">
        <f>employment!D315</f>
        <v>51600</v>
      </c>
      <c r="E12" s="7">
        <f>employment!D467</f>
        <v>128100</v>
      </c>
      <c r="F12" s="7">
        <f>employment!D619</f>
        <v>53500</v>
      </c>
      <c r="G12" s="7">
        <f>employment!D771</f>
        <v>163600</v>
      </c>
      <c r="H12" s="7">
        <f t="shared" si="0"/>
        <v>597200</v>
      </c>
      <c r="K12" s="8" t="s">
        <v>14</v>
      </c>
      <c r="L12" s="7">
        <f>employment!D87</f>
        <v>10400</v>
      </c>
      <c r="M12" s="7">
        <f>employment!D239</f>
        <v>175800</v>
      </c>
      <c r="N12" s="7">
        <f>employment!D391</f>
        <v>44400</v>
      </c>
      <c r="O12" s="7">
        <f>employment!D543</f>
        <v>155900</v>
      </c>
      <c r="P12" s="7">
        <f>employment!D695</f>
        <v>69199.999999999985</v>
      </c>
      <c r="Q12" s="7">
        <f>employment!D847</f>
        <v>197200</v>
      </c>
      <c r="R12" s="7">
        <f t="shared" si="1"/>
        <v>652900</v>
      </c>
    </row>
    <row r="13" spans="1:18" x14ac:dyDescent="0.2">
      <c r="A13" s="8" t="s">
        <v>15</v>
      </c>
      <c r="B13" s="7">
        <f>employment!D12</f>
        <v>33500</v>
      </c>
      <c r="C13" s="7">
        <f>employment!D164</f>
        <v>254000</v>
      </c>
      <c r="D13" s="7">
        <f>employment!D316</f>
        <v>56300</v>
      </c>
      <c r="E13" s="7">
        <f>employment!D468</f>
        <v>183300</v>
      </c>
      <c r="F13" s="7">
        <f>employment!D620</f>
        <v>77300</v>
      </c>
      <c r="G13" s="7">
        <f>employment!D772</f>
        <v>208400</v>
      </c>
      <c r="H13" s="7">
        <f t="shared" si="0"/>
        <v>812800</v>
      </c>
      <c r="K13" s="8" t="s">
        <v>15</v>
      </c>
      <c r="L13" s="7">
        <f>employment!D88</f>
        <v>20100</v>
      </c>
      <c r="M13" s="7">
        <f>employment!D240</f>
        <v>250300</v>
      </c>
      <c r="N13" s="7">
        <f>employment!D392</f>
        <v>63100</v>
      </c>
      <c r="O13" s="7">
        <f>employment!D544</f>
        <v>211299.99999999997</v>
      </c>
      <c r="P13" s="7">
        <f>employment!D696</f>
        <v>100199.99999999999</v>
      </c>
      <c r="Q13" s="7">
        <f>employment!D848</f>
        <v>233700</v>
      </c>
      <c r="R13" s="7">
        <f t="shared" si="1"/>
        <v>878700</v>
      </c>
    </row>
    <row r="14" spans="1:18" x14ac:dyDescent="0.2">
      <c r="A14" s="8" t="s">
        <v>16</v>
      </c>
      <c r="B14" s="7">
        <f>employment!D13</f>
        <v>11400</v>
      </c>
      <c r="C14" s="7">
        <f>employment!D165</f>
        <v>205800</v>
      </c>
      <c r="D14" s="7">
        <f>employment!D317</f>
        <v>132800</v>
      </c>
      <c r="E14" s="7">
        <f>employment!D469</f>
        <v>314400</v>
      </c>
      <c r="F14" s="7">
        <f>employment!D621</f>
        <v>237600</v>
      </c>
      <c r="G14" s="7">
        <f>employment!D773</f>
        <v>545800</v>
      </c>
      <c r="H14" s="7">
        <f t="shared" si="0"/>
        <v>1447800</v>
      </c>
      <c r="K14" s="8" t="s">
        <v>16</v>
      </c>
      <c r="L14" s="7">
        <f>employment!D89</f>
        <v>0</v>
      </c>
      <c r="M14" s="7">
        <f>employment!D241</f>
        <v>144200</v>
      </c>
      <c r="N14" s="7">
        <f>employment!D393</f>
        <v>88600</v>
      </c>
      <c r="O14" s="7">
        <f>employment!D545</f>
        <v>442000</v>
      </c>
      <c r="P14" s="7">
        <f>employment!D697</f>
        <v>295200.00000000006</v>
      </c>
      <c r="Q14" s="7">
        <f>employment!D849</f>
        <v>570600</v>
      </c>
      <c r="R14" s="7">
        <f t="shared" si="1"/>
        <v>1540600</v>
      </c>
    </row>
    <row r="15" spans="1:18" x14ac:dyDescent="0.2">
      <c r="A15" s="8" t="s">
        <v>17</v>
      </c>
      <c r="B15" s="7">
        <f>employment!D14</f>
        <v>61400</v>
      </c>
      <c r="C15" s="7">
        <f>employment!D166</f>
        <v>171900</v>
      </c>
      <c r="D15" s="7">
        <f>employment!D318</f>
        <v>196500</v>
      </c>
      <c r="E15" s="7">
        <f>employment!D470</f>
        <v>245700</v>
      </c>
      <c r="F15" s="7">
        <f>employment!D622</f>
        <v>101700</v>
      </c>
      <c r="G15" s="7">
        <f>employment!D774</f>
        <v>362300</v>
      </c>
      <c r="H15" s="7">
        <f t="shared" si="0"/>
        <v>1139500</v>
      </c>
      <c r="K15" s="8" t="s">
        <v>17</v>
      </c>
      <c r="L15" s="7">
        <f>employment!D90</f>
        <v>27200</v>
      </c>
      <c r="M15" s="7">
        <f>employment!D242</f>
        <v>179500</v>
      </c>
      <c r="N15" s="7">
        <f>employment!D394</f>
        <v>113500</v>
      </c>
      <c r="O15" s="7">
        <f>employment!D546</f>
        <v>295600</v>
      </c>
      <c r="P15" s="7">
        <f>employment!D698</f>
        <v>172600</v>
      </c>
      <c r="Q15" s="7">
        <f>employment!D850</f>
        <v>397700.00000000006</v>
      </c>
      <c r="R15" s="7">
        <f t="shared" si="1"/>
        <v>1186100</v>
      </c>
    </row>
    <row r="16" spans="1:18" x14ac:dyDescent="0.2">
      <c r="A16" s="8" t="s">
        <v>18</v>
      </c>
      <c r="B16" s="7">
        <f>employment!D15</f>
        <v>0</v>
      </c>
      <c r="C16" s="7">
        <f>employment!D167</f>
        <v>55600</v>
      </c>
      <c r="D16" s="7">
        <f>employment!D319</f>
        <v>16200</v>
      </c>
      <c r="E16" s="7">
        <f>employment!D471</f>
        <v>83700</v>
      </c>
      <c r="F16" s="7">
        <f>employment!D623</f>
        <v>31200</v>
      </c>
      <c r="G16" s="7">
        <f>employment!D775</f>
        <v>81100</v>
      </c>
      <c r="H16" s="7">
        <f t="shared" si="0"/>
        <v>267800</v>
      </c>
      <c r="K16" s="8" t="s">
        <v>18</v>
      </c>
      <c r="L16" s="7">
        <f>employment!D91</f>
        <v>0</v>
      </c>
      <c r="M16" s="7">
        <f>employment!D243</f>
        <v>44100</v>
      </c>
      <c r="N16" s="7">
        <f>employment!D395</f>
        <v>13200</v>
      </c>
      <c r="O16" s="7">
        <f>employment!D547</f>
        <v>92100</v>
      </c>
      <c r="P16" s="7">
        <f>employment!D699</f>
        <v>44199.999999999993</v>
      </c>
      <c r="Q16" s="7">
        <f>employment!D851</f>
        <v>94800</v>
      </c>
      <c r="R16" s="7">
        <f t="shared" si="1"/>
        <v>288400</v>
      </c>
    </row>
    <row r="17" spans="1:18" x14ac:dyDescent="0.2">
      <c r="A17" s="8" t="s">
        <v>19</v>
      </c>
      <c r="B17" s="7">
        <f>employment!D16</f>
        <v>0</v>
      </c>
      <c r="C17" s="7">
        <f>employment!D168</f>
        <v>127100</v>
      </c>
      <c r="D17" s="7">
        <f>employment!D320</f>
        <v>47700</v>
      </c>
      <c r="E17" s="7">
        <f>employment!D472</f>
        <v>234400</v>
      </c>
      <c r="F17" s="7">
        <f>employment!D624</f>
        <v>140400</v>
      </c>
      <c r="G17" s="7">
        <f>employment!D776</f>
        <v>226900</v>
      </c>
      <c r="H17" s="7">
        <f t="shared" si="0"/>
        <v>776500</v>
      </c>
      <c r="K17" s="8" t="s">
        <v>19</v>
      </c>
      <c r="L17" s="7">
        <f>employment!D92</f>
        <v>0</v>
      </c>
      <c r="M17" s="7">
        <f>employment!D244</f>
        <v>96400</v>
      </c>
      <c r="N17" s="7">
        <f>employment!D396</f>
        <v>37900</v>
      </c>
      <c r="O17" s="7">
        <f>employment!D548</f>
        <v>273100</v>
      </c>
      <c r="P17" s="7">
        <f>employment!D700</f>
        <v>180000</v>
      </c>
      <c r="Q17" s="7">
        <f>employment!D852</f>
        <v>258700</v>
      </c>
      <c r="R17" s="7">
        <f t="shared" si="1"/>
        <v>846100</v>
      </c>
    </row>
    <row r="18" spans="1:18" x14ac:dyDescent="0.2">
      <c r="A18" s="8" t="s">
        <v>20</v>
      </c>
      <c r="B18" s="7">
        <f>employment!D17</f>
        <v>18000</v>
      </c>
      <c r="C18" s="7">
        <f>employment!D169</f>
        <v>392200</v>
      </c>
      <c r="D18" s="7">
        <f>employment!D321</f>
        <v>104100</v>
      </c>
      <c r="E18" s="7">
        <f>employment!D473</f>
        <v>424200</v>
      </c>
      <c r="F18" s="7">
        <f>employment!D625</f>
        <v>294400</v>
      </c>
      <c r="G18" s="7">
        <f>employment!D777</f>
        <v>454200</v>
      </c>
      <c r="H18" s="7">
        <f t="shared" si="0"/>
        <v>1687100</v>
      </c>
      <c r="K18" s="8" t="s">
        <v>20</v>
      </c>
      <c r="L18" s="7">
        <f>employment!D93</f>
        <v>14300</v>
      </c>
      <c r="M18" s="7">
        <f>employment!D245</f>
        <v>331200</v>
      </c>
      <c r="N18" s="7">
        <f>employment!D397</f>
        <v>91200</v>
      </c>
      <c r="O18" s="7">
        <f>employment!D549</f>
        <v>514500</v>
      </c>
      <c r="P18" s="7">
        <f>employment!D701</f>
        <v>378900</v>
      </c>
      <c r="Q18" s="7">
        <f>employment!D853</f>
        <v>507000</v>
      </c>
      <c r="R18" s="7">
        <f t="shared" si="1"/>
        <v>1837100</v>
      </c>
    </row>
    <row r="19" spans="1:18" x14ac:dyDescent="0.2">
      <c r="A19" s="8" t="s">
        <v>21</v>
      </c>
      <c r="B19" s="7">
        <f>employment!D18</f>
        <v>9700</v>
      </c>
      <c r="C19" s="7">
        <f>employment!D170</f>
        <v>127200</v>
      </c>
      <c r="D19" s="7">
        <f>employment!D322</f>
        <v>33000</v>
      </c>
      <c r="E19" s="7">
        <f>employment!D474</f>
        <v>97400</v>
      </c>
      <c r="F19" s="7">
        <f>employment!D626</f>
        <v>41300</v>
      </c>
      <c r="G19" s="7">
        <f>employment!D778</f>
        <v>132400</v>
      </c>
      <c r="H19" s="7">
        <f t="shared" si="0"/>
        <v>441000</v>
      </c>
      <c r="K19" s="8" t="s">
        <v>21</v>
      </c>
      <c r="L19" s="7">
        <f>employment!D94</f>
        <v>0</v>
      </c>
      <c r="M19" s="7">
        <f>employment!D246</f>
        <v>120800</v>
      </c>
      <c r="N19" s="7">
        <f>employment!D398</f>
        <v>31300</v>
      </c>
      <c r="O19" s="7">
        <f>employment!D550</f>
        <v>107199.99999999999</v>
      </c>
      <c r="P19" s="7">
        <f>employment!D702</f>
        <v>54000</v>
      </c>
      <c r="Q19" s="7">
        <f>employment!D854</f>
        <v>164500</v>
      </c>
      <c r="R19" s="7">
        <f t="shared" si="1"/>
        <v>477800</v>
      </c>
    </row>
    <row r="20" spans="1:18" x14ac:dyDescent="0.2">
      <c r="A20" s="8" t="s">
        <v>22</v>
      </c>
      <c r="B20" s="7">
        <f>employment!D19</f>
        <v>15500</v>
      </c>
      <c r="C20" s="7">
        <f>employment!D171</f>
        <v>143200</v>
      </c>
      <c r="D20" s="7">
        <f>employment!D323</f>
        <v>45200</v>
      </c>
      <c r="E20" s="7">
        <f>employment!D475</f>
        <v>125500</v>
      </c>
      <c r="F20" s="7">
        <f>employment!D627</f>
        <v>44500</v>
      </c>
      <c r="G20" s="7">
        <f>employment!D779</f>
        <v>158700</v>
      </c>
      <c r="H20" s="7">
        <f t="shared" si="0"/>
        <v>532600</v>
      </c>
      <c r="K20" s="8" t="s">
        <v>22</v>
      </c>
      <c r="L20" s="7">
        <f>employment!D95</f>
        <v>6800</v>
      </c>
      <c r="M20" s="7">
        <f>employment!D247</f>
        <v>132100</v>
      </c>
      <c r="N20" s="7">
        <f>employment!D399</f>
        <v>32400</v>
      </c>
      <c r="O20" s="7">
        <f>employment!D551</f>
        <v>147500</v>
      </c>
      <c r="P20" s="7">
        <f>employment!D703</f>
        <v>64300</v>
      </c>
      <c r="Q20" s="7">
        <f>employment!D855</f>
        <v>192600</v>
      </c>
      <c r="R20" s="7">
        <f t="shared" si="1"/>
        <v>575700</v>
      </c>
    </row>
    <row r="21" spans="1:18" x14ac:dyDescent="0.2">
      <c r="A21" s="8" t="s">
        <v>23</v>
      </c>
      <c r="B21" s="7">
        <f>employment!D20</f>
        <v>50600</v>
      </c>
      <c r="C21" s="7">
        <f>employment!D172</f>
        <v>80700</v>
      </c>
      <c r="D21" s="7">
        <f>employment!D324</f>
        <v>122400</v>
      </c>
      <c r="E21" s="7">
        <f>employment!D476</f>
        <v>186600</v>
      </c>
      <c r="F21" s="7">
        <f>employment!D628</f>
        <v>47800</v>
      </c>
      <c r="G21" s="7">
        <f>employment!D780</f>
        <v>264600</v>
      </c>
      <c r="H21" s="7">
        <f t="shared" si="0"/>
        <v>752700</v>
      </c>
      <c r="K21" s="8" t="s">
        <v>23</v>
      </c>
      <c r="L21" s="7">
        <f>employment!D96</f>
        <v>26900</v>
      </c>
      <c r="M21" s="7">
        <f>employment!D248</f>
        <v>104300</v>
      </c>
      <c r="N21" s="7">
        <f>employment!D400</f>
        <v>79800</v>
      </c>
      <c r="O21" s="7">
        <f>employment!D552</f>
        <v>196000</v>
      </c>
      <c r="P21" s="7">
        <f>employment!D704</f>
        <v>98000</v>
      </c>
      <c r="Q21" s="7">
        <f>employment!D856</f>
        <v>231299.99999999997</v>
      </c>
      <c r="R21" s="7">
        <f t="shared" si="1"/>
        <v>736300</v>
      </c>
    </row>
    <row r="22" spans="1:18" x14ac:dyDescent="0.2">
      <c r="A22" s="8" t="s">
        <v>24</v>
      </c>
      <c r="B22" s="7">
        <f>employment!D21</f>
        <v>15700</v>
      </c>
      <c r="C22" s="7">
        <f>employment!D173</f>
        <v>220700</v>
      </c>
      <c r="D22" s="7">
        <f>employment!D325</f>
        <v>42600</v>
      </c>
      <c r="E22" s="7">
        <f>employment!D477</f>
        <v>147400</v>
      </c>
      <c r="F22" s="7">
        <f>employment!D629</f>
        <v>69300</v>
      </c>
      <c r="G22" s="7">
        <f>employment!D781</f>
        <v>201000</v>
      </c>
      <c r="H22" s="7">
        <f t="shared" si="0"/>
        <v>696700</v>
      </c>
      <c r="K22" s="8" t="s">
        <v>24</v>
      </c>
      <c r="L22" s="7">
        <f>employment!D97</f>
        <v>10900</v>
      </c>
      <c r="M22" s="7">
        <f>employment!D249</f>
        <v>187600</v>
      </c>
      <c r="N22" s="7">
        <f>employment!D401</f>
        <v>33900</v>
      </c>
      <c r="O22" s="7">
        <f>employment!D553</f>
        <v>161800</v>
      </c>
      <c r="P22" s="7">
        <f>employment!D705</f>
        <v>96400</v>
      </c>
      <c r="Q22" s="7">
        <f>employment!D857</f>
        <v>232700</v>
      </c>
      <c r="R22" s="7">
        <f t="shared" si="1"/>
        <v>723300</v>
      </c>
    </row>
    <row r="23" spans="1:18" x14ac:dyDescent="0.2">
      <c r="A23" s="8" t="s">
        <v>25</v>
      </c>
      <c r="B23" s="7">
        <f>employment!D22</f>
        <v>18600</v>
      </c>
      <c r="C23" s="7">
        <f>employment!D174</f>
        <v>217200</v>
      </c>
      <c r="D23" s="7">
        <f>employment!D326</f>
        <v>77000</v>
      </c>
      <c r="E23" s="7">
        <f>employment!D478</f>
        <v>221500</v>
      </c>
      <c r="F23" s="7">
        <f>employment!D630</f>
        <v>106500</v>
      </c>
      <c r="G23" s="7">
        <f>employment!D782</f>
        <v>268200</v>
      </c>
      <c r="H23" s="7">
        <f t="shared" si="0"/>
        <v>909000</v>
      </c>
      <c r="K23" s="8" t="s">
        <v>25</v>
      </c>
      <c r="L23" s="7">
        <f>employment!D98</f>
        <v>13200</v>
      </c>
      <c r="M23" s="7">
        <f>employment!D250</f>
        <v>178800</v>
      </c>
      <c r="N23" s="7">
        <f>employment!D402</f>
        <v>57600</v>
      </c>
      <c r="O23" s="7">
        <f>employment!D554</f>
        <v>251500</v>
      </c>
      <c r="P23" s="7">
        <f>employment!D706</f>
        <v>145500</v>
      </c>
      <c r="Q23" s="7">
        <f>employment!D858</f>
        <v>335299.99999999994</v>
      </c>
      <c r="R23" s="7">
        <f t="shared" si="1"/>
        <v>981900</v>
      </c>
    </row>
    <row r="24" spans="1:18" x14ac:dyDescent="0.2">
      <c r="A24" s="8" t="s">
        <v>26</v>
      </c>
      <c r="B24" s="7">
        <f>employment!D23</f>
        <v>33300</v>
      </c>
      <c r="C24" s="7">
        <f>employment!D175</f>
        <v>138500</v>
      </c>
      <c r="D24" s="7">
        <f>employment!D327</f>
        <v>64500</v>
      </c>
      <c r="E24" s="7">
        <f>employment!D479</f>
        <v>182800</v>
      </c>
      <c r="F24" s="7">
        <f>employment!D631</f>
        <v>73800</v>
      </c>
      <c r="G24" s="7">
        <f>employment!D783</f>
        <v>218700</v>
      </c>
      <c r="H24" s="7">
        <f t="shared" si="0"/>
        <v>711600</v>
      </c>
      <c r="K24" s="8" t="s">
        <v>26</v>
      </c>
      <c r="L24" s="7">
        <f>employment!D99</f>
        <v>28400</v>
      </c>
      <c r="M24" s="7">
        <f>employment!D251</f>
        <v>131200</v>
      </c>
      <c r="N24" s="7">
        <f>employment!D403</f>
        <v>55200</v>
      </c>
      <c r="O24" s="7">
        <f>employment!D555</f>
        <v>221399.99999999997</v>
      </c>
      <c r="P24" s="7">
        <f>employment!D707</f>
        <v>90800</v>
      </c>
      <c r="Q24" s="7">
        <f>employment!D859</f>
        <v>247799.99999999997</v>
      </c>
      <c r="R24" s="7">
        <f t="shared" si="1"/>
        <v>774800</v>
      </c>
    </row>
    <row r="25" spans="1:18" x14ac:dyDescent="0.2">
      <c r="A25" s="8" t="s">
        <v>27</v>
      </c>
      <c r="B25" s="7">
        <f>employment!D24</f>
        <v>62000</v>
      </c>
      <c r="C25" s="7">
        <f>employment!D176</f>
        <v>242500</v>
      </c>
      <c r="D25" s="7">
        <f>employment!D328</f>
        <v>86800</v>
      </c>
      <c r="E25" s="7">
        <f>employment!D480</f>
        <v>239300</v>
      </c>
      <c r="F25" s="7">
        <f>employment!D632</f>
        <v>81600</v>
      </c>
      <c r="G25" s="7">
        <f>employment!D784</f>
        <v>305600</v>
      </c>
      <c r="H25" s="7">
        <f t="shared" si="0"/>
        <v>1017800</v>
      </c>
      <c r="K25" s="8" t="s">
        <v>27</v>
      </c>
      <c r="L25" s="7">
        <f>employment!D100</f>
        <v>39100</v>
      </c>
      <c r="M25" s="7">
        <f>employment!D252</f>
        <v>243600</v>
      </c>
      <c r="N25" s="7">
        <f>employment!D404</f>
        <v>91900</v>
      </c>
      <c r="O25" s="7">
        <f>employment!D556</f>
        <v>292000</v>
      </c>
      <c r="P25" s="7">
        <f>employment!D708</f>
        <v>119200</v>
      </c>
      <c r="Q25" s="7">
        <f>employment!D860</f>
        <v>362700.00000000006</v>
      </c>
      <c r="R25" s="7">
        <f t="shared" si="1"/>
        <v>1148500</v>
      </c>
    </row>
    <row r="26" spans="1:18" x14ac:dyDescent="0.2">
      <c r="A26" s="8" t="s">
        <v>28</v>
      </c>
      <c r="B26" s="7">
        <f>employment!D25</f>
        <v>31500</v>
      </c>
      <c r="C26" s="7">
        <f>employment!D177</f>
        <v>567800</v>
      </c>
      <c r="D26" s="7">
        <f>employment!D329</f>
        <v>138000</v>
      </c>
      <c r="E26" s="7">
        <f>employment!D481</f>
        <v>557400</v>
      </c>
      <c r="F26" s="7">
        <f>employment!D633</f>
        <v>265100</v>
      </c>
      <c r="G26" s="7">
        <f>employment!D785</f>
        <v>609100</v>
      </c>
      <c r="H26" s="7">
        <f t="shared" si="0"/>
        <v>2168900</v>
      </c>
      <c r="K26" s="8" t="s">
        <v>28</v>
      </c>
      <c r="L26" s="7">
        <f>employment!D101</f>
        <v>9900</v>
      </c>
      <c r="M26" s="7">
        <f>employment!D253</f>
        <v>467400</v>
      </c>
      <c r="N26" s="7">
        <f>employment!D405</f>
        <v>136200</v>
      </c>
      <c r="O26" s="7">
        <f>employment!D557</f>
        <v>631099.99999999988</v>
      </c>
      <c r="P26" s="7">
        <f>employment!D709</f>
        <v>364299.99999999994</v>
      </c>
      <c r="Q26" s="7">
        <f>employment!D861</f>
        <v>690600</v>
      </c>
      <c r="R26" s="7">
        <f t="shared" si="1"/>
        <v>2299500</v>
      </c>
    </row>
    <row r="27" spans="1:18" x14ac:dyDescent="0.2">
      <c r="A27" s="8" t="s">
        <v>29</v>
      </c>
      <c r="B27" s="7">
        <f>employment!D26</f>
        <v>26400</v>
      </c>
      <c r="C27" s="7">
        <f>employment!D178</f>
        <v>430700</v>
      </c>
      <c r="D27" s="7">
        <f>employment!D330</f>
        <v>119400</v>
      </c>
      <c r="E27" s="7">
        <f>employment!D482</f>
        <v>423500</v>
      </c>
      <c r="F27" s="7">
        <f>employment!D634</f>
        <v>233100</v>
      </c>
      <c r="G27" s="7">
        <f>employment!D786</f>
        <v>577200</v>
      </c>
      <c r="H27" s="7">
        <f t="shared" si="0"/>
        <v>1810300</v>
      </c>
      <c r="K27" s="8" t="s">
        <v>29</v>
      </c>
      <c r="L27" s="7">
        <f>employment!D102</f>
        <v>12400</v>
      </c>
      <c r="M27" s="7">
        <f>employment!D254</f>
        <v>366300</v>
      </c>
      <c r="N27" s="7">
        <f>employment!D406</f>
        <v>106300</v>
      </c>
      <c r="O27" s="7">
        <f>employment!D558</f>
        <v>500400.00000000006</v>
      </c>
      <c r="P27" s="7">
        <f>employment!D710</f>
        <v>331700</v>
      </c>
      <c r="Q27" s="7">
        <f>employment!D862</f>
        <v>652700</v>
      </c>
      <c r="R27" s="7">
        <f t="shared" si="1"/>
        <v>1969800</v>
      </c>
    </row>
    <row r="28" spans="1:18" x14ac:dyDescent="0.2">
      <c r="A28" s="8" t="s">
        <v>30</v>
      </c>
      <c r="B28" s="7">
        <f>employment!D27</f>
        <v>29400</v>
      </c>
      <c r="C28" s="7">
        <f>employment!D179</f>
        <v>286500</v>
      </c>
      <c r="D28" s="7">
        <f>employment!D331</f>
        <v>86400</v>
      </c>
      <c r="E28" s="7">
        <f>employment!D483</f>
        <v>251100</v>
      </c>
      <c r="F28" s="7">
        <f>employment!D635</f>
        <v>105600</v>
      </c>
      <c r="G28" s="7">
        <f>employment!D787</f>
        <v>300700</v>
      </c>
      <c r="H28" s="7">
        <f t="shared" si="0"/>
        <v>1059700</v>
      </c>
      <c r="K28" s="8" t="s">
        <v>30</v>
      </c>
      <c r="L28" s="7">
        <f>employment!D103</f>
        <v>16900</v>
      </c>
      <c r="M28" s="7">
        <f>employment!D255</f>
        <v>247300</v>
      </c>
      <c r="N28" s="7">
        <f>employment!D407</f>
        <v>91000</v>
      </c>
      <c r="O28" s="7">
        <f>employment!D559</f>
        <v>296500</v>
      </c>
      <c r="P28" s="7">
        <f>employment!D711</f>
        <v>148500</v>
      </c>
      <c r="Q28" s="7">
        <f>employment!D863</f>
        <v>379100</v>
      </c>
      <c r="R28" s="7">
        <f t="shared" si="1"/>
        <v>1179300</v>
      </c>
    </row>
    <row r="29" spans="1:18" x14ac:dyDescent="0.2">
      <c r="A29" s="8" t="s">
        <v>31</v>
      </c>
      <c r="B29" s="7">
        <f>employment!D28</f>
        <v>17300</v>
      </c>
      <c r="C29" s="7">
        <f>employment!D180</f>
        <v>290200</v>
      </c>
      <c r="D29" s="7">
        <f>employment!D332</f>
        <v>64400.000000000007</v>
      </c>
      <c r="E29" s="7">
        <f>employment!D484</f>
        <v>191900</v>
      </c>
      <c r="F29" s="7">
        <f>employment!D636</f>
        <v>72200</v>
      </c>
      <c r="G29" s="7">
        <f>employment!D788</f>
        <v>241600</v>
      </c>
      <c r="H29" s="7">
        <f t="shared" si="0"/>
        <v>877600</v>
      </c>
      <c r="K29" s="8" t="s">
        <v>31</v>
      </c>
      <c r="L29" s="7">
        <f>employment!D104</f>
        <v>10700</v>
      </c>
      <c r="M29" s="7">
        <f>employment!D256</f>
        <v>254200</v>
      </c>
      <c r="N29" s="7">
        <f>employment!D408</f>
        <v>62800</v>
      </c>
      <c r="O29" s="7">
        <f>employment!D560</f>
        <v>233100.00000000003</v>
      </c>
      <c r="P29" s="7">
        <f>employment!D712</f>
        <v>100900</v>
      </c>
      <c r="Q29" s="7">
        <f>employment!D864</f>
        <v>284500</v>
      </c>
      <c r="R29" s="7">
        <f t="shared" si="1"/>
        <v>946200</v>
      </c>
    </row>
    <row r="30" spans="1:18" x14ac:dyDescent="0.2">
      <c r="A30" s="8" t="s">
        <v>32</v>
      </c>
      <c r="B30" s="7">
        <f>employment!D29</f>
        <v>25700</v>
      </c>
      <c r="C30" s="7">
        <f>employment!D181</f>
        <v>469200</v>
      </c>
      <c r="D30" s="7">
        <f>employment!D333</f>
        <v>104800</v>
      </c>
      <c r="E30" s="7">
        <f>employment!D485</f>
        <v>363300</v>
      </c>
      <c r="F30" s="7">
        <f>employment!D637</f>
        <v>144700</v>
      </c>
      <c r="G30" s="7">
        <f>employment!D789</f>
        <v>429100</v>
      </c>
      <c r="H30" s="7">
        <f t="shared" si="0"/>
        <v>1536800</v>
      </c>
      <c r="K30" s="8" t="s">
        <v>32</v>
      </c>
      <c r="L30" s="7">
        <f>employment!D105</f>
        <v>8100</v>
      </c>
      <c r="M30" s="7">
        <f>employment!D257</f>
        <v>418800</v>
      </c>
      <c r="N30" s="7">
        <f>employment!D409</f>
        <v>89200</v>
      </c>
      <c r="O30" s="7">
        <f>employment!D561</f>
        <v>389400</v>
      </c>
      <c r="P30" s="7">
        <f>employment!D713</f>
        <v>192200</v>
      </c>
      <c r="Q30" s="7">
        <f>employment!D865</f>
        <v>494000</v>
      </c>
      <c r="R30" s="7">
        <f t="shared" si="1"/>
        <v>1591700</v>
      </c>
    </row>
    <row r="31" spans="1:18" x14ac:dyDescent="0.2">
      <c r="A31" s="8" t="s">
        <v>33</v>
      </c>
      <c r="B31" s="7">
        <f>employment!D30</f>
        <v>14000</v>
      </c>
      <c r="C31" s="7">
        <f>employment!D182</f>
        <v>175000</v>
      </c>
      <c r="D31" s="7">
        <f>employment!D334</f>
        <v>60700</v>
      </c>
      <c r="E31" s="7">
        <f>employment!D486</f>
        <v>142200</v>
      </c>
      <c r="F31" s="7">
        <f>employment!D638</f>
        <v>57700</v>
      </c>
      <c r="G31" s="7">
        <f>employment!D790</f>
        <v>196000</v>
      </c>
      <c r="H31" s="7">
        <f t="shared" si="0"/>
        <v>645600</v>
      </c>
      <c r="K31" s="8" t="s">
        <v>33</v>
      </c>
      <c r="L31" s="7">
        <f>employment!D106</f>
        <v>8300</v>
      </c>
      <c r="M31" s="7">
        <f>employment!D258</f>
        <v>145400</v>
      </c>
      <c r="N31" s="7">
        <f>employment!D410</f>
        <v>50700</v>
      </c>
      <c r="O31" s="7">
        <f>employment!D562</f>
        <v>175300</v>
      </c>
      <c r="P31" s="7">
        <f>employment!D714</f>
        <v>75199.999999999985</v>
      </c>
      <c r="Q31" s="7">
        <f>employment!D866</f>
        <v>243100.00000000003</v>
      </c>
      <c r="R31" s="7">
        <f t="shared" si="1"/>
        <v>698000</v>
      </c>
    </row>
    <row r="32" spans="1:18" x14ac:dyDescent="0.2">
      <c r="A32" s="8" t="s">
        <v>34</v>
      </c>
      <c r="B32" s="7">
        <f>employment!D31</f>
        <v>8800</v>
      </c>
      <c r="C32" s="7">
        <f>employment!D183</f>
        <v>46400</v>
      </c>
      <c r="D32" s="7">
        <f>employment!D335</f>
        <v>20600</v>
      </c>
      <c r="E32" s="7">
        <f>employment!D487</f>
        <v>49000</v>
      </c>
      <c r="F32" s="7">
        <f>employment!D639</f>
        <v>21200</v>
      </c>
      <c r="G32" s="7">
        <f>employment!D791</f>
        <v>67700</v>
      </c>
      <c r="H32" s="7">
        <f t="shared" si="0"/>
        <v>213700</v>
      </c>
      <c r="K32" s="8" t="s">
        <v>34</v>
      </c>
      <c r="L32" s="7">
        <f>employment!D107</f>
        <v>8200</v>
      </c>
      <c r="M32" s="7">
        <f>employment!D259</f>
        <v>46400</v>
      </c>
      <c r="N32" s="7">
        <f>employment!D411</f>
        <v>22100</v>
      </c>
      <c r="O32" s="7">
        <f>employment!D563</f>
        <v>68300</v>
      </c>
      <c r="P32" s="7">
        <f>employment!D715</f>
        <v>29299.999999999996</v>
      </c>
      <c r="Q32" s="7">
        <f>employment!D867</f>
        <v>79100</v>
      </c>
      <c r="R32" s="7">
        <f t="shared" si="1"/>
        <v>253400</v>
      </c>
    </row>
    <row r="33" spans="1:18" x14ac:dyDescent="0.2">
      <c r="A33" s="8" t="s">
        <v>35</v>
      </c>
      <c r="B33" s="7">
        <f>employment!D32</f>
        <v>19100</v>
      </c>
      <c r="C33" s="7">
        <f>employment!D184</f>
        <v>265100</v>
      </c>
      <c r="D33" s="7">
        <f>employment!D336</f>
        <v>67400</v>
      </c>
      <c r="E33" s="7">
        <f>employment!D488</f>
        <v>197900</v>
      </c>
      <c r="F33" s="7">
        <f>employment!D640</f>
        <v>88800</v>
      </c>
      <c r="G33" s="7">
        <f>employment!D792</f>
        <v>247500</v>
      </c>
      <c r="H33" s="7">
        <f t="shared" si="0"/>
        <v>885800</v>
      </c>
      <c r="K33" s="8" t="s">
        <v>35</v>
      </c>
      <c r="L33" s="7">
        <f>employment!D108</f>
        <v>16200</v>
      </c>
      <c r="M33" s="7">
        <f>employment!D260</f>
        <v>222900</v>
      </c>
      <c r="N33" s="7">
        <f>employment!D412</f>
        <v>58400</v>
      </c>
      <c r="O33" s="7">
        <f>employment!D564</f>
        <v>221200</v>
      </c>
      <c r="P33" s="7">
        <f>employment!D716</f>
        <v>120200</v>
      </c>
      <c r="Q33" s="7">
        <f>employment!D868</f>
        <v>309600</v>
      </c>
      <c r="R33" s="7">
        <f t="shared" si="1"/>
        <v>948500</v>
      </c>
    </row>
    <row r="34" spans="1:18" x14ac:dyDescent="0.2">
      <c r="A34" s="8" t="s">
        <v>36</v>
      </c>
      <c r="B34" s="7">
        <f>employment!D33</f>
        <v>0</v>
      </c>
      <c r="C34" s="7">
        <f>employment!D185</f>
        <v>119100</v>
      </c>
      <c r="D34" s="7">
        <f>employment!D337</f>
        <v>31500</v>
      </c>
      <c r="E34" s="7">
        <f>employment!D489</f>
        <v>100500</v>
      </c>
      <c r="F34" s="7">
        <f>employment!D641</f>
        <v>44500</v>
      </c>
      <c r="G34" s="7">
        <f>employment!D793</f>
        <v>133500</v>
      </c>
      <c r="H34" s="7">
        <f t="shared" si="0"/>
        <v>429100</v>
      </c>
      <c r="K34" s="8" t="s">
        <v>36</v>
      </c>
      <c r="L34" s="7">
        <f>employment!D109</f>
        <v>0</v>
      </c>
      <c r="M34" s="7">
        <f>employment!D261</f>
        <v>108300</v>
      </c>
      <c r="N34" s="7">
        <f>employment!D413</f>
        <v>29700</v>
      </c>
      <c r="O34" s="7">
        <f>employment!D565</f>
        <v>107399.99999999999</v>
      </c>
      <c r="P34" s="7">
        <f>employment!D717</f>
        <v>54700</v>
      </c>
      <c r="Q34" s="7">
        <f>employment!D869</f>
        <v>144600</v>
      </c>
      <c r="R34" s="7">
        <f t="shared" si="1"/>
        <v>444700</v>
      </c>
    </row>
    <row r="35" spans="1:18" x14ac:dyDescent="0.2">
      <c r="A35" s="8" t="s">
        <v>37</v>
      </c>
      <c r="B35" s="7">
        <f>employment!D34</f>
        <v>0</v>
      </c>
      <c r="C35" s="7">
        <f>employment!D186</f>
        <v>0</v>
      </c>
      <c r="D35" s="7">
        <f>employment!D338</f>
        <v>0</v>
      </c>
      <c r="E35" s="7">
        <f>employment!D490</f>
        <v>0</v>
      </c>
      <c r="F35" s="7">
        <f>employment!D642</f>
        <v>0</v>
      </c>
      <c r="G35" s="7">
        <f>employment!D794</f>
        <v>0</v>
      </c>
      <c r="H35" s="7">
        <f t="shared" si="0"/>
        <v>0</v>
      </c>
      <c r="K35" s="8" t="s">
        <v>37</v>
      </c>
      <c r="L35" s="7">
        <f>employment!D110</f>
        <v>11400</v>
      </c>
      <c r="M35" s="7">
        <f>employment!D262</f>
        <v>151400</v>
      </c>
      <c r="N35" s="7">
        <f>employment!D414</f>
        <v>64800</v>
      </c>
      <c r="O35" s="7">
        <f>employment!D566</f>
        <v>170600.00000000003</v>
      </c>
      <c r="P35" s="7">
        <f>employment!D718</f>
        <v>103000</v>
      </c>
      <c r="Q35" s="7">
        <f>employment!D870</f>
        <v>230400</v>
      </c>
      <c r="R35" s="7">
        <f t="shared" si="1"/>
        <v>731600</v>
      </c>
    </row>
    <row r="36" spans="1:18" x14ac:dyDescent="0.2">
      <c r="A36" s="8" t="s">
        <v>38</v>
      </c>
      <c r="B36" s="7">
        <f>employment!D35</f>
        <v>0</v>
      </c>
      <c r="C36" s="7">
        <f>employment!D187</f>
        <v>0</v>
      </c>
      <c r="D36" s="7">
        <f>employment!D339</f>
        <v>0</v>
      </c>
      <c r="E36" s="7">
        <f>employment!D491</f>
        <v>0</v>
      </c>
      <c r="F36" s="7">
        <f>employment!D643</f>
        <v>0</v>
      </c>
      <c r="G36" s="7">
        <f>employment!D795</f>
        <v>0</v>
      </c>
      <c r="H36" s="7">
        <f t="shared" si="0"/>
        <v>0</v>
      </c>
      <c r="K36" s="8" t="s">
        <v>38</v>
      </c>
      <c r="L36" s="7">
        <f>employment!D111</f>
        <v>10700</v>
      </c>
      <c r="M36" s="7">
        <f>employment!D263</f>
        <v>169300</v>
      </c>
      <c r="N36" s="7">
        <f>employment!D415</f>
        <v>68600</v>
      </c>
      <c r="O36" s="7">
        <f>employment!D567</f>
        <v>160700</v>
      </c>
      <c r="P36" s="7">
        <f>employment!D719</f>
        <v>75400</v>
      </c>
      <c r="Q36" s="7">
        <f>employment!D871</f>
        <v>183700</v>
      </c>
      <c r="R36" s="7">
        <f t="shared" si="1"/>
        <v>668400</v>
      </c>
    </row>
    <row r="37" spans="1:18" x14ac:dyDescent="0.2">
      <c r="A37" s="8" t="s">
        <v>39</v>
      </c>
      <c r="B37" s="7">
        <f>employment!D36</f>
        <v>0</v>
      </c>
      <c r="C37" s="7">
        <f>employment!D188</f>
        <v>0</v>
      </c>
      <c r="D37" s="7">
        <f>employment!D340</f>
        <v>0</v>
      </c>
      <c r="E37" s="7">
        <f>employment!D492</f>
        <v>0</v>
      </c>
      <c r="F37" s="7">
        <f>employment!D644</f>
        <v>0</v>
      </c>
      <c r="G37" s="7">
        <f>employment!D796</f>
        <v>0</v>
      </c>
      <c r="H37" s="7">
        <f t="shared" si="0"/>
        <v>0</v>
      </c>
      <c r="K37" s="8" t="s">
        <v>39</v>
      </c>
      <c r="L37" s="7">
        <f>employment!D112</f>
        <v>7200</v>
      </c>
      <c r="M37" s="7">
        <f>employment!D264</f>
        <v>66000</v>
      </c>
      <c r="N37" s="7">
        <f>employment!D416</f>
        <v>41400</v>
      </c>
      <c r="O37" s="7">
        <f>employment!D568</f>
        <v>126500</v>
      </c>
      <c r="P37" s="7">
        <f>employment!D720</f>
        <v>73900</v>
      </c>
      <c r="Q37" s="7">
        <f>employment!D872</f>
        <v>143500</v>
      </c>
      <c r="R37" s="7">
        <f t="shared" si="1"/>
        <v>458500</v>
      </c>
    </row>
    <row r="38" spans="1:18" x14ac:dyDescent="0.2">
      <c r="A38" s="8" t="s">
        <v>40</v>
      </c>
      <c r="B38" s="7">
        <f>employment!D37</f>
        <v>44900</v>
      </c>
      <c r="C38" s="7">
        <f>employment!D189</f>
        <v>173500</v>
      </c>
      <c r="D38" s="7">
        <f>employment!D341</f>
        <v>168400</v>
      </c>
      <c r="E38" s="7">
        <f>employment!D493</f>
        <v>252500</v>
      </c>
      <c r="F38" s="7">
        <f>employment!D645</f>
        <v>78500</v>
      </c>
      <c r="G38" s="7">
        <f>employment!D797</f>
        <v>352600</v>
      </c>
      <c r="H38" s="7">
        <f t="shared" si="0"/>
        <v>1070400</v>
      </c>
      <c r="K38" s="8" t="s">
        <v>40</v>
      </c>
      <c r="L38" s="7">
        <f>employment!D113</f>
        <v>21300</v>
      </c>
      <c r="M38" s="7">
        <f>employment!D265</f>
        <v>188500</v>
      </c>
      <c r="N38" s="7">
        <f>employment!D417</f>
        <v>111700</v>
      </c>
      <c r="O38" s="7">
        <f>employment!D569</f>
        <v>250200.00000000003</v>
      </c>
      <c r="P38" s="7">
        <f>employment!D721</f>
        <v>139500</v>
      </c>
      <c r="Q38" s="7">
        <f>employment!D873</f>
        <v>328600</v>
      </c>
      <c r="R38" s="7">
        <f t="shared" si="1"/>
        <v>1039800</v>
      </c>
    </row>
    <row r="39" spans="1:18" x14ac:dyDescent="0.2">
      <c r="A39" s="8" t="s">
        <v>41</v>
      </c>
      <c r="B39" s="7">
        <f>employment!D38</f>
        <v>38600</v>
      </c>
      <c r="C39" s="7">
        <f>employment!D190</f>
        <v>205300</v>
      </c>
      <c r="D39" s="7">
        <f>employment!D342</f>
        <v>94200</v>
      </c>
      <c r="E39" s="7">
        <f>employment!D494</f>
        <v>325100</v>
      </c>
      <c r="F39" s="7">
        <f>employment!D646</f>
        <v>140700</v>
      </c>
      <c r="G39" s="7">
        <f>employment!D798</f>
        <v>398800</v>
      </c>
      <c r="H39" s="7">
        <f t="shared" si="0"/>
        <v>1202700</v>
      </c>
      <c r="K39" s="8" t="s">
        <v>41</v>
      </c>
      <c r="L39" s="7">
        <f>employment!D114</f>
        <v>31800</v>
      </c>
      <c r="M39" s="7">
        <f>employment!D266</f>
        <v>194200</v>
      </c>
      <c r="N39" s="7">
        <f>employment!D418</f>
        <v>89800</v>
      </c>
      <c r="O39" s="7">
        <f>employment!D570</f>
        <v>354599.99999999994</v>
      </c>
      <c r="P39" s="7">
        <f>employment!D722</f>
        <v>194799.99999999997</v>
      </c>
      <c r="Q39" s="7">
        <f>employment!D874</f>
        <v>446900</v>
      </c>
      <c r="R39" s="7">
        <f t="shared" si="1"/>
        <v>1312100</v>
      </c>
    </row>
    <row r="40" spans="1:18" x14ac:dyDescent="0.2">
      <c r="A40" s="8" t="s">
        <v>42</v>
      </c>
      <c r="B40" s="7">
        <f>employment!D39</f>
        <v>40800</v>
      </c>
      <c r="C40" s="7">
        <f>employment!D191</f>
        <v>209700</v>
      </c>
      <c r="D40" s="7">
        <f>employment!D343</f>
        <v>159500</v>
      </c>
      <c r="E40" s="7">
        <f>employment!D495</f>
        <v>218800</v>
      </c>
      <c r="F40" s="7">
        <f>employment!D647</f>
        <v>66500</v>
      </c>
      <c r="G40" s="7">
        <f>employment!D799</f>
        <v>389500</v>
      </c>
      <c r="H40" s="7">
        <f t="shared" si="0"/>
        <v>1084800</v>
      </c>
      <c r="K40" s="8" t="s">
        <v>42</v>
      </c>
      <c r="L40" s="7">
        <f>employment!D115</f>
        <v>23700</v>
      </c>
      <c r="M40" s="7">
        <f>employment!D267</f>
        <v>248200</v>
      </c>
      <c r="N40" s="7">
        <f>employment!D419</f>
        <v>104000</v>
      </c>
      <c r="O40" s="7">
        <f>employment!D571</f>
        <v>227799.99999999997</v>
      </c>
      <c r="P40" s="7">
        <f>employment!D723</f>
        <v>123500</v>
      </c>
      <c r="Q40" s="7">
        <f>employment!D875</f>
        <v>322400.00000000006</v>
      </c>
      <c r="R40" s="7">
        <f t="shared" si="1"/>
        <v>1049600</v>
      </c>
    </row>
  </sheetData>
  <mergeCells count="2">
    <mergeCell ref="A1:H1"/>
    <mergeCell ref="K1:R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20347-38B0-6B49-9389-6D1F1ABDF05C}">
  <dimension ref="A1:P40"/>
  <sheetViews>
    <sheetView workbookViewId="0">
      <selection activeCell="I34" sqref="I34"/>
    </sheetView>
  </sheetViews>
  <sheetFormatPr baseColWidth="10" defaultRowHeight="16" x14ac:dyDescent="0.2"/>
  <cols>
    <col min="1" max="1" width="23.6640625" bestFit="1" customWidth="1"/>
    <col min="10" max="10" width="23.6640625" bestFit="1" customWidth="1"/>
  </cols>
  <sheetData>
    <row r="1" spans="1:16" x14ac:dyDescent="0.2">
      <c r="A1" s="20">
        <v>1999</v>
      </c>
      <c r="B1" s="20"/>
      <c r="C1" s="20"/>
      <c r="D1" s="20"/>
      <c r="E1" s="20"/>
      <c r="F1" s="20"/>
      <c r="G1" s="20"/>
      <c r="J1" s="20">
        <v>2012</v>
      </c>
      <c r="K1" s="20"/>
      <c r="L1" s="20"/>
      <c r="M1" s="20"/>
      <c r="N1" s="20"/>
      <c r="O1" s="20"/>
      <c r="P1" s="20"/>
    </row>
    <row r="2" spans="1:16" x14ac:dyDescent="0.2">
      <c r="A2" s="14"/>
      <c r="B2" s="14" t="s">
        <v>5</v>
      </c>
      <c r="C2" s="14" t="s">
        <v>43</v>
      </c>
      <c r="D2" s="14" t="s">
        <v>44</v>
      </c>
      <c r="E2" s="14" t="s">
        <v>45</v>
      </c>
      <c r="F2" s="14" t="s">
        <v>46</v>
      </c>
      <c r="G2" s="14" t="s">
        <v>47</v>
      </c>
      <c r="J2" s="8"/>
      <c r="K2" s="8" t="s">
        <v>5</v>
      </c>
      <c r="L2" s="8" t="s">
        <v>43</v>
      </c>
      <c r="M2" s="8" t="s">
        <v>44</v>
      </c>
      <c r="N2" s="8" t="s">
        <v>45</v>
      </c>
      <c r="O2" s="8" t="s">
        <v>46</v>
      </c>
      <c r="P2" s="8" t="s">
        <v>47</v>
      </c>
    </row>
    <row r="3" spans="1:16" x14ac:dyDescent="0.2">
      <c r="A3" s="8" t="s">
        <v>4</v>
      </c>
      <c r="B3" s="17">
        <f>L_r!B3/L_r!$H3</f>
        <v>1.7155385036996436E-2</v>
      </c>
      <c r="C3" s="17">
        <f>L_r!C3/L_r!$H3</f>
        <v>0.37106056453822966</v>
      </c>
      <c r="D3" s="17">
        <f>L_r!D3/L_r!$H3</f>
        <v>6.8676349684845164E-2</v>
      </c>
      <c r="E3" s="17">
        <f>L_r!E3/L_r!$H3</f>
        <v>0.19660180871471636</v>
      </c>
      <c r="F3" s="17">
        <f>L_r!F3/L_r!$H3</f>
        <v>0.10671416826527816</v>
      </c>
      <c r="G3" s="17">
        <f>L_r!G3/L_r!$H3</f>
        <v>0.23979172375993424</v>
      </c>
      <c r="J3" s="8" t="s">
        <v>4</v>
      </c>
      <c r="K3" s="17">
        <f>L_r!L3/L_r!$R3</f>
        <v>1.0189830859152744E-2</v>
      </c>
      <c r="L3" s="17">
        <f>L_r!M3/L_r!$R3</f>
        <v>0.30807427714270935</v>
      </c>
      <c r="M3" s="17">
        <f>L_r!N3/L_r!$R3</f>
        <v>6.0001034500594838E-2</v>
      </c>
      <c r="N3" s="17">
        <f>L_r!O3/L_r!$R3</f>
        <v>0.21817617545130089</v>
      </c>
      <c r="O3" s="17">
        <f>L_r!P3/L_r!$R3</f>
        <v>0.14193348161175193</v>
      </c>
      <c r="P3" s="17">
        <f>L_r!Q3/L_r!$R3</f>
        <v>0.26162520043449022</v>
      </c>
    </row>
    <row r="4" spans="1:16" x14ac:dyDescent="0.2">
      <c r="A4" s="8" t="s">
        <v>6</v>
      </c>
      <c r="B4" s="17">
        <f>L_r!B4/L_r!$H4</f>
        <v>1.4758573622248763E-2</v>
      </c>
      <c r="C4" s="17">
        <f>L_r!C4/L_r!$H4</f>
        <v>0.32366490360006822</v>
      </c>
      <c r="D4" s="17">
        <f>L_r!D4/L_r!$H4</f>
        <v>5.7413410680771201E-2</v>
      </c>
      <c r="E4" s="17">
        <f>L_r!E4/L_r!$H4</f>
        <v>0.20286640505033271</v>
      </c>
      <c r="F4" s="17">
        <f>L_r!F4/L_r!$H4</f>
        <v>0.11533867940624466</v>
      </c>
      <c r="G4" s="17">
        <f>L_r!G4/L_r!$H4</f>
        <v>0.2859580276403344</v>
      </c>
      <c r="J4" s="8" t="s">
        <v>6</v>
      </c>
      <c r="K4" s="17">
        <f>L_r!L4/L_r!$R4</f>
        <v>4.4935262757044934E-3</v>
      </c>
      <c r="L4" s="17">
        <f>L_r!M4/L_r!$R4</f>
        <v>0.2689261233815689</v>
      </c>
      <c r="M4" s="17">
        <f>L_r!N4/L_r!$R4</f>
        <v>5.1865955826351867E-2</v>
      </c>
      <c r="N4" s="17">
        <f>L_r!O4/L_r!$R4</f>
        <v>0.23792840822543793</v>
      </c>
      <c r="O4" s="17">
        <f>L_r!P4/L_r!$R4</f>
        <v>0.13785224676313784</v>
      </c>
      <c r="P4" s="17">
        <f>L_r!Q4/L_r!$R4</f>
        <v>0.29893373952779895</v>
      </c>
    </row>
    <row r="5" spans="1:16" x14ac:dyDescent="0.2">
      <c r="A5" s="8" t="s">
        <v>7</v>
      </c>
      <c r="B5" s="17">
        <f>L_r!B5/L_r!$H5</f>
        <v>3.2847486269539504E-2</v>
      </c>
      <c r="C5" s="17">
        <f>L_r!C5/L_r!$H5</f>
        <v>0.32921419518377693</v>
      </c>
      <c r="D5" s="17">
        <f>L_r!D5/L_r!$H5</f>
        <v>7.3299535276721589E-2</v>
      </c>
      <c r="E5" s="17">
        <f>L_r!E5/L_r!$H5</f>
        <v>0.20564005069708491</v>
      </c>
      <c r="F5" s="17">
        <f>L_r!F5/L_r!$H5</f>
        <v>9.1465990705534433E-2</v>
      </c>
      <c r="G5" s="17">
        <f>L_r!G5/L_r!$H5</f>
        <v>0.2675327418673426</v>
      </c>
      <c r="J5" s="8" t="s">
        <v>7</v>
      </c>
      <c r="K5" s="17">
        <f>L_r!L5/L_r!$R5</f>
        <v>1.0917030567685589E-2</v>
      </c>
      <c r="L5" s="17">
        <f>L_r!M5/L_r!$R5</f>
        <v>0.28675400291120817</v>
      </c>
      <c r="M5" s="17">
        <f>L_r!N5/L_r!$R5</f>
        <v>6.3045851528384281E-2</v>
      </c>
      <c r="N5" s="17">
        <f>L_r!O5/L_r!$R5</f>
        <v>0.24126637554585154</v>
      </c>
      <c r="O5" s="17">
        <f>L_r!P5/L_r!$R5</f>
        <v>9.9526928675400278E-2</v>
      </c>
      <c r="P5" s="17">
        <f>L_r!Q5/L_r!$R5</f>
        <v>0.29848981077147013</v>
      </c>
    </row>
    <row r="6" spans="1:16" x14ac:dyDescent="0.2">
      <c r="A6" s="8" t="s">
        <v>8</v>
      </c>
      <c r="B6" s="17">
        <f>L_r!B6/L_r!$H6</f>
        <v>4.0134612987660481E-2</v>
      </c>
      <c r="C6" s="17">
        <f>L_r!C6/L_r!$H6</f>
        <v>0.3618347251651502</v>
      </c>
      <c r="D6" s="17">
        <f>L_r!D6/L_r!$H6</f>
        <v>7.1793593418920609E-2</v>
      </c>
      <c r="E6" s="17">
        <f>L_r!E6/L_r!$H6</f>
        <v>0.18073040009971333</v>
      </c>
      <c r="F6" s="17">
        <f>L_r!F6/L_r!$H6</f>
        <v>8.9492708463168397E-2</v>
      </c>
      <c r="G6" s="17">
        <f>L_r!G6/L_r!$H6</f>
        <v>0.256013959865387</v>
      </c>
      <c r="J6" s="8" t="s">
        <v>8</v>
      </c>
      <c r="K6" s="17">
        <f>L_r!L6/L_r!$R6</f>
        <v>2.0863712843522154E-2</v>
      </c>
      <c r="L6" s="17">
        <f>L_r!M6/L_r!$R6</f>
        <v>0.32349971957375212</v>
      </c>
      <c r="M6" s="17">
        <f>L_r!N6/L_r!$R6</f>
        <v>6.0235558048233315E-2</v>
      </c>
      <c r="N6" s="17">
        <f>L_r!O6/L_r!$R6</f>
        <v>0.20325294447560291</v>
      </c>
      <c r="O6" s="17">
        <f>L_r!P6/L_r!$R6</f>
        <v>0.1001682557487381</v>
      </c>
      <c r="P6" s="17">
        <f>L_r!Q6/L_r!$R6</f>
        <v>0.29197980931015144</v>
      </c>
    </row>
    <row r="7" spans="1:16" x14ac:dyDescent="0.2">
      <c r="A7" s="8" t="s">
        <v>9</v>
      </c>
      <c r="B7" s="17">
        <f>L_r!B7/L_r!$H7</f>
        <v>2.6657242389054373E-2</v>
      </c>
      <c r="C7" s="17">
        <f>L_r!C7/L_r!$H7</f>
        <v>0.23971323269551167</v>
      </c>
      <c r="D7" s="17">
        <f>L_r!D7/L_r!$H7</f>
        <v>6.3159489069520874E-2</v>
      </c>
      <c r="E7" s="17">
        <f>L_r!E7/L_r!$H7</f>
        <v>0.22552632907557935</v>
      </c>
      <c r="F7" s="17">
        <f>L_r!F7/L_r!$H7</f>
        <v>0.16756702175998384</v>
      </c>
      <c r="G7" s="17">
        <f>L_r!G7/L_r!$H7</f>
        <v>0.2773766850103499</v>
      </c>
      <c r="J7" s="8" t="s">
        <v>9</v>
      </c>
      <c r="K7" s="17">
        <f>L_r!L7/L_r!$R7</f>
        <v>1.5338239205603333E-2</v>
      </c>
      <c r="L7" s="17">
        <f>L_r!M7/L_r!$R7</f>
        <v>0.19984041138398795</v>
      </c>
      <c r="M7" s="17">
        <f>L_r!N7/L_r!$R7</f>
        <v>5.7939533646599872E-2</v>
      </c>
      <c r="N7" s="17">
        <f>L_r!O7/L_r!$R7</f>
        <v>0.26292224487986526</v>
      </c>
      <c r="O7" s="17">
        <f>L_r!P7/L_r!$R7</f>
        <v>0.18370422909832432</v>
      </c>
      <c r="P7" s="17">
        <f>L_r!Q7/L_r!$R7</f>
        <v>0.28025534178561923</v>
      </c>
    </row>
    <row r="8" spans="1:16" x14ac:dyDescent="0.2">
      <c r="A8" s="8" t="s">
        <v>10</v>
      </c>
      <c r="B8" s="17">
        <f>L_r!B8/L_r!$H8</f>
        <v>6.4259927797833932E-2</v>
      </c>
      <c r="C8" s="17">
        <f>L_r!C8/L_r!$H8</f>
        <v>0.30270758122743685</v>
      </c>
      <c r="D8" s="17">
        <f>L_r!D8/L_r!$H8</f>
        <v>0.10162454873646209</v>
      </c>
      <c r="E8" s="17">
        <f>L_r!E8/L_r!$H8</f>
        <v>0.21173285198555958</v>
      </c>
      <c r="F8" s="17">
        <f>L_r!F8/L_r!$H8</f>
        <v>8.8086642599277981E-2</v>
      </c>
      <c r="G8" s="17">
        <f>L_r!G8/L_r!$H8</f>
        <v>0.23158844765342962</v>
      </c>
      <c r="J8" s="8" t="s">
        <v>10</v>
      </c>
      <c r="K8" s="17">
        <f>L_r!L8/L_r!$R8</f>
        <v>3.4973226238286477E-2</v>
      </c>
      <c r="L8" s="17">
        <f>L_r!M8/L_r!$R8</f>
        <v>0.27292503346720215</v>
      </c>
      <c r="M8" s="17">
        <f>L_r!N8/L_r!$R8</f>
        <v>9.4544846050870143E-2</v>
      </c>
      <c r="N8" s="17">
        <f>L_r!O8/L_r!$R8</f>
        <v>0.23376840696117804</v>
      </c>
      <c r="O8" s="17">
        <f>L_r!P8/L_r!$R8</f>
        <v>0.10274431057563589</v>
      </c>
      <c r="P8" s="17">
        <f>L_r!Q8/L_r!$R8</f>
        <v>0.26104417670682734</v>
      </c>
    </row>
    <row r="9" spans="1:16" x14ac:dyDescent="0.2">
      <c r="A9" s="8" t="s">
        <v>11</v>
      </c>
      <c r="B9" s="17">
        <f>L_r!B9/L_r!$H9</f>
        <v>6.0428455941794662E-2</v>
      </c>
      <c r="C9" s="17">
        <f>L_r!C9/L_r!$H9</f>
        <v>0.29628132578819727</v>
      </c>
      <c r="D9" s="17">
        <f>L_r!D9/L_r!$H9</f>
        <v>9.2764753435731609E-2</v>
      </c>
      <c r="E9" s="17">
        <f>L_r!E9/L_r!$H9</f>
        <v>0.20796281325788196</v>
      </c>
      <c r="F9" s="17">
        <f>L_r!F9/L_r!$H9</f>
        <v>8.0638641875505249E-2</v>
      </c>
      <c r="G9" s="17">
        <f>L_r!G9/L_r!$H9</f>
        <v>0.26192400970088925</v>
      </c>
      <c r="J9" s="8" t="s">
        <v>11</v>
      </c>
      <c r="K9" s="17">
        <f>L_r!L9/L_r!$R9</f>
        <v>2.6024363233665561E-2</v>
      </c>
      <c r="L9" s="17">
        <f>L_r!M9/L_r!$R9</f>
        <v>0.28608342561830935</v>
      </c>
      <c r="M9" s="17">
        <f>L_r!N9/L_r!$R9</f>
        <v>6.7737172388335182E-2</v>
      </c>
      <c r="N9" s="17">
        <f>L_r!O9/L_r!$R9</f>
        <v>0.22480620155038761</v>
      </c>
      <c r="O9" s="17">
        <f>L_r!P9/L_r!$R9</f>
        <v>9.8191214470284241E-2</v>
      </c>
      <c r="P9" s="17">
        <f>L_r!Q9/L_r!$R9</f>
        <v>0.29715762273901808</v>
      </c>
    </row>
    <row r="10" spans="1:16" x14ac:dyDescent="0.2">
      <c r="A10" s="8" t="s">
        <v>12</v>
      </c>
      <c r="B10" s="17">
        <f>L_r!B10/L_r!$H10</f>
        <v>2.8074337682878609E-2</v>
      </c>
      <c r="C10" s="17">
        <f>L_r!C10/L_r!$H10</f>
        <v>0.31138790035587188</v>
      </c>
      <c r="D10" s="17">
        <f>L_r!D10/L_r!$H10</f>
        <v>7.0185844207196521E-2</v>
      </c>
      <c r="E10" s="17">
        <f>L_r!E10/L_r!$H10</f>
        <v>0.23151443258204824</v>
      </c>
      <c r="F10" s="17">
        <f>L_r!F10/L_r!$H10</f>
        <v>9.6085409252669035E-2</v>
      </c>
      <c r="G10" s="17">
        <f>L_r!G10/L_r!$H10</f>
        <v>0.26275207591933569</v>
      </c>
      <c r="J10" s="8" t="s">
        <v>12</v>
      </c>
      <c r="K10" s="17">
        <f>L_r!L10/L_r!$R10</f>
        <v>1.7557251908396947E-2</v>
      </c>
      <c r="L10" s="17">
        <f>L_r!M10/L_r!$R10</f>
        <v>0.29103053435114506</v>
      </c>
      <c r="M10" s="17">
        <f>L_r!N10/L_r!$R10</f>
        <v>6.6221374045801529E-2</v>
      </c>
      <c r="N10" s="17">
        <f>L_r!O10/L_r!$R10</f>
        <v>0.22480916030534351</v>
      </c>
      <c r="O10" s="17">
        <f>L_r!P10/L_r!$R10</f>
        <v>0.11087786259541983</v>
      </c>
      <c r="P10" s="17">
        <f>L_r!Q10/L_r!$R10</f>
        <v>0.2895038167938932</v>
      </c>
    </row>
    <row r="11" spans="1:16" x14ac:dyDescent="0.2">
      <c r="A11" s="8" t="s">
        <v>13</v>
      </c>
      <c r="B11" s="17">
        <f>L_r!B11/L_r!$H11</f>
        <v>4.3942992874109264E-2</v>
      </c>
      <c r="C11" s="17">
        <f>L_r!C11/L_r!$H11</f>
        <v>0.30918448139350752</v>
      </c>
      <c r="D11" s="17">
        <f>L_r!D11/L_r!$H11</f>
        <v>7.3898126154658225E-2</v>
      </c>
      <c r="E11" s="17">
        <f>L_r!E11/L_r!$H11</f>
        <v>0.21799947215624174</v>
      </c>
      <c r="F11" s="17">
        <f>L_r!F11/L_r!$H11</f>
        <v>0.12114014251781473</v>
      </c>
      <c r="G11" s="17">
        <f>L_r!G11/L_r!$H11</f>
        <v>0.23383478490366852</v>
      </c>
      <c r="J11" s="8" t="s">
        <v>13</v>
      </c>
      <c r="K11" s="17">
        <f>L_r!L11/L_r!$R11</f>
        <v>1.4071294559099437E-2</v>
      </c>
      <c r="L11" s="17">
        <f>L_r!M11/L_r!$R11</f>
        <v>0.26137429643527205</v>
      </c>
      <c r="M11" s="17">
        <f>L_r!N11/L_r!$R11</f>
        <v>5.4643527204502815E-2</v>
      </c>
      <c r="N11" s="17">
        <f>L_r!O11/L_r!$R11</f>
        <v>0.25293151969981237</v>
      </c>
      <c r="O11" s="17">
        <f>L_r!P11/L_r!$R11</f>
        <v>0.13250469043151969</v>
      </c>
      <c r="P11" s="17">
        <f>L_r!Q11/L_r!$R11</f>
        <v>0.28447467166979368</v>
      </c>
    </row>
    <row r="12" spans="1:16" x14ac:dyDescent="0.2">
      <c r="A12" s="8" t="s">
        <v>14</v>
      </c>
      <c r="B12" s="17">
        <f>L_r!B12/L_r!$H12</f>
        <v>2.6624246483590085E-2</v>
      </c>
      <c r="C12" s="17">
        <f>L_r!C12/L_r!$H12</f>
        <v>0.30894172806430009</v>
      </c>
      <c r="D12" s="17">
        <f>L_r!D12/L_r!$H12</f>
        <v>8.6403215003348965E-2</v>
      </c>
      <c r="E12" s="17">
        <f>L_r!E12/L_r!$H12</f>
        <v>0.21450100468854655</v>
      </c>
      <c r="F12" s="17">
        <f>L_r!F12/L_r!$H12</f>
        <v>8.9584728734092428E-2</v>
      </c>
      <c r="G12" s="17">
        <f>L_r!G12/L_r!$H12</f>
        <v>0.27394507702612192</v>
      </c>
      <c r="J12" s="8" t="s">
        <v>14</v>
      </c>
      <c r="K12" s="17">
        <f>L_r!L12/L_r!$R12</f>
        <v>1.5928932455199878E-2</v>
      </c>
      <c r="L12" s="17">
        <f>L_r!M12/L_r!$R12</f>
        <v>0.26926022361770563</v>
      </c>
      <c r="M12" s="17">
        <f>L_r!N12/L_r!$R12</f>
        <v>6.8004288558737941E-2</v>
      </c>
      <c r="N12" s="17">
        <f>L_r!O12/L_r!$R12</f>
        <v>0.23878082401592893</v>
      </c>
      <c r="O12" s="17">
        <f>L_r!P12/L_r!$R12</f>
        <v>0.10598866595190685</v>
      </c>
      <c r="P12" s="17">
        <f>L_r!Q12/L_r!$R12</f>
        <v>0.30203706540052078</v>
      </c>
    </row>
    <row r="13" spans="1:16" x14ac:dyDescent="0.2">
      <c r="A13" s="8" t="s">
        <v>15</v>
      </c>
      <c r="B13" s="17">
        <f>L_r!B13/L_r!$H13</f>
        <v>4.1215551181102365E-2</v>
      </c>
      <c r="C13" s="17">
        <f>L_r!C13/L_r!$H13</f>
        <v>0.3125</v>
      </c>
      <c r="D13" s="17">
        <f>L_r!D13/L_r!$H13</f>
        <v>6.9266732283464569E-2</v>
      </c>
      <c r="E13" s="17">
        <f>L_r!E13/L_r!$H13</f>
        <v>0.22551673228346455</v>
      </c>
      <c r="F13" s="17">
        <f>L_r!F13/L_r!$H13</f>
        <v>9.5103346456692911E-2</v>
      </c>
      <c r="G13" s="17">
        <f>L_r!G13/L_r!$H13</f>
        <v>0.25639763779527558</v>
      </c>
      <c r="J13" s="8" t="s">
        <v>15</v>
      </c>
      <c r="K13" s="17">
        <f>L_r!L13/L_r!$R13</f>
        <v>2.2874701263229772E-2</v>
      </c>
      <c r="L13" s="17">
        <f>L_r!M13/L_r!$R13</f>
        <v>0.2848526231933538</v>
      </c>
      <c r="M13" s="17">
        <f>L_r!N13/L_r!$R13</f>
        <v>7.181062933879595E-2</v>
      </c>
      <c r="N13" s="17">
        <f>L_r!O13/L_r!$R13</f>
        <v>0.24046887447365423</v>
      </c>
      <c r="O13" s="17">
        <f>L_r!P13/L_r!$R13</f>
        <v>0.11403209286445884</v>
      </c>
      <c r="P13" s="17">
        <f>L_r!Q13/L_r!$R13</f>
        <v>0.26596107886650733</v>
      </c>
    </row>
    <row r="14" spans="1:16" x14ac:dyDescent="0.2">
      <c r="A14" s="8" t="s">
        <v>16</v>
      </c>
      <c r="B14" s="17">
        <f>L_r!B14/L_r!$H14</f>
        <v>7.874015748031496E-3</v>
      </c>
      <c r="C14" s="17">
        <f>L_r!C14/L_r!$H14</f>
        <v>0.14214670534604226</v>
      </c>
      <c r="D14" s="17">
        <f>L_r!D14/L_r!$H14</f>
        <v>9.1725376433209008E-2</v>
      </c>
      <c r="E14" s="17">
        <f>L_r!E14/L_r!$H14</f>
        <v>0.21715706589307915</v>
      </c>
      <c r="F14" s="17">
        <f>L_r!F14/L_r!$H14</f>
        <v>0.1641110650642354</v>
      </c>
      <c r="G14" s="17">
        <f>L_r!G14/L_r!$H14</f>
        <v>0.37698577151540269</v>
      </c>
      <c r="J14" s="8" t="s">
        <v>16</v>
      </c>
      <c r="K14" s="17">
        <f>L_r!L14/L_r!$R14</f>
        <v>0</v>
      </c>
      <c r="L14" s="17">
        <f>L_r!M14/L_r!$R14</f>
        <v>9.3599896144359346E-2</v>
      </c>
      <c r="M14" s="17">
        <f>L_r!N14/L_r!$R14</f>
        <v>5.7510061015188886E-2</v>
      </c>
      <c r="N14" s="17">
        <f>L_r!O14/L_r!$R14</f>
        <v>0.28690120732182267</v>
      </c>
      <c r="O14" s="17">
        <f>L_r!P14/L_r!$R14</f>
        <v>0.19161365701674676</v>
      </c>
      <c r="P14" s="17">
        <f>L_r!Q14/L_r!$R14</f>
        <v>0.3703751785018824</v>
      </c>
    </row>
    <row r="15" spans="1:16" x14ac:dyDescent="0.2">
      <c r="A15" s="8" t="s">
        <v>17</v>
      </c>
      <c r="B15" s="17">
        <f>L_r!B15/L_r!$H15</f>
        <v>5.388328214129004E-2</v>
      </c>
      <c r="C15" s="17">
        <f>L_r!C15/L_r!$H15</f>
        <v>0.15085563843791136</v>
      </c>
      <c r="D15" s="17">
        <f>L_r!D15/L_r!$H15</f>
        <v>0.17244405440982888</v>
      </c>
      <c r="E15" s="17">
        <f>L_r!E15/L_r!$H15</f>
        <v>0.21562088635366389</v>
      </c>
      <c r="F15" s="17">
        <f>L_r!F15/L_r!$H15</f>
        <v>8.9249670908293111E-2</v>
      </c>
      <c r="G15" s="17">
        <f>L_r!G15/L_r!$H15</f>
        <v>0.31794646774901275</v>
      </c>
      <c r="J15" s="8" t="s">
        <v>17</v>
      </c>
      <c r="K15" s="17">
        <f>L_r!L15/L_r!$R15</f>
        <v>2.293229913160779E-2</v>
      </c>
      <c r="L15" s="17">
        <f>L_r!M15/L_r!$R15</f>
        <v>0.15133631228395583</v>
      </c>
      <c r="M15" s="17">
        <f>L_r!N15/L_r!$R15</f>
        <v>9.5691762920495749E-2</v>
      </c>
      <c r="N15" s="17">
        <f>L_r!O15/L_r!$R15</f>
        <v>0.24922013320967878</v>
      </c>
      <c r="O15" s="17">
        <f>L_r!P15/L_r!$R15</f>
        <v>0.1455189275777759</v>
      </c>
      <c r="P15" s="17">
        <f>L_r!Q15/L_r!$R15</f>
        <v>0.33530056487648602</v>
      </c>
    </row>
    <row r="16" spans="1:16" x14ac:dyDescent="0.2">
      <c r="A16" s="8" t="s">
        <v>18</v>
      </c>
      <c r="B16" s="17">
        <f>L_r!B16/L_r!$H16</f>
        <v>0</v>
      </c>
      <c r="C16" s="17">
        <f>L_r!C16/L_r!$H16</f>
        <v>0.20761762509335324</v>
      </c>
      <c r="D16" s="17">
        <f>L_r!D16/L_r!$H16</f>
        <v>6.0492905153099324E-2</v>
      </c>
      <c r="E16" s="17">
        <f>L_r!E16/L_r!$H16</f>
        <v>0.31254667662434654</v>
      </c>
      <c r="F16" s="17">
        <f>L_r!F16/L_r!$H16</f>
        <v>0.11650485436893204</v>
      </c>
      <c r="G16" s="17">
        <f>L_r!G16/L_r!$H16</f>
        <v>0.30283793876026888</v>
      </c>
      <c r="J16" s="8" t="s">
        <v>18</v>
      </c>
      <c r="K16" s="17">
        <f>L_r!L16/L_r!$R16</f>
        <v>0</v>
      </c>
      <c r="L16" s="17">
        <f>L_r!M16/L_r!$R16</f>
        <v>0.15291262135922329</v>
      </c>
      <c r="M16" s="17">
        <f>L_r!N16/L_r!$R16</f>
        <v>4.5769764216366159E-2</v>
      </c>
      <c r="N16" s="17">
        <f>L_r!O16/L_r!$R16</f>
        <v>0.31934812760055481</v>
      </c>
      <c r="O16" s="17">
        <f>L_r!P16/L_r!$R16</f>
        <v>0.15325936199722606</v>
      </c>
      <c r="P16" s="17">
        <f>L_r!Q16/L_r!$R16</f>
        <v>0.3287101248266297</v>
      </c>
    </row>
    <row r="17" spans="1:16" x14ac:dyDescent="0.2">
      <c r="A17" s="8" t="s">
        <v>19</v>
      </c>
      <c r="B17" s="17">
        <f>L_r!B17/L_r!$H17</f>
        <v>0</v>
      </c>
      <c r="C17" s="17">
        <f>L_r!C17/L_r!$H17</f>
        <v>0.16368319381841598</v>
      </c>
      <c r="D17" s="17">
        <f>L_r!D17/L_r!$H17</f>
        <v>6.1429491307147456E-2</v>
      </c>
      <c r="E17" s="17">
        <f>L_r!E17/L_r!$H17</f>
        <v>0.30186735350933674</v>
      </c>
      <c r="F17" s="17">
        <f>L_r!F17/L_r!$H17</f>
        <v>0.18081133290405665</v>
      </c>
      <c r="G17" s="17">
        <f>L_r!G17/L_r!$H17</f>
        <v>0.29220862846104312</v>
      </c>
      <c r="J17" s="8" t="s">
        <v>19</v>
      </c>
      <c r="K17" s="17">
        <f>L_r!L17/L_r!$R17</f>
        <v>0</v>
      </c>
      <c r="L17" s="17">
        <f>L_r!M17/L_r!$R17</f>
        <v>0.11393452310601583</v>
      </c>
      <c r="M17" s="17">
        <f>L_r!N17/L_r!$R17</f>
        <v>4.4793759602883822E-2</v>
      </c>
      <c r="N17" s="17">
        <f>L_r!O17/L_r!$R17</f>
        <v>0.32277508568727103</v>
      </c>
      <c r="O17" s="17">
        <f>L_r!P17/L_r!$R17</f>
        <v>0.21274081077886775</v>
      </c>
      <c r="P17" s="17">
        <f>L_r!Q17/L_r!$R17</f>
        <v>0.30575582082496161</v>
      </c>
    </row>
    <row r="18" spans="1:16" x14ac:dyDescent="0.2">
      <c r="A18" s="8" t="s">
        <v>20</v>
      </c>
      <c r="B18" s="17">
        <f>L_r!B18/L_r!$H18</f>
        <v>1.0669195661193764E-2</v>
      </c>
      <c r="C18" s="17">
        <f>L_r!C18/L_r!$H18</f>
        <v>0.23246991879556636</v>
      </c>
      <c r="D18" s="17">
        <f>L_r!D18/L_r!$H18</f>
        <v>6.1703514907237272E-2</v>
      </c>
      <c r="E18" s="17">
        <f>L_r!E18/L_r!$H18</f>
        <v>0.25143737774879971</v>
      </c>
      <c r="F18" s="17">
        <f>L_r!F18/L_r!$H18</f>
        <v>0.17450062236974689</v>
      </c>
      <c r="G18" s="17">
        <f>L_r!G18/L_r!$H18</f>
        <v>0.26921937051745598</v>
      </c>
      <c r="J18" s="8" t="s">
        <v>20</v>
      </c>
      <c r="K18" s="17">
        <f>L_r!L18/L_r!$R18</f>
        <v>7.7840074029720758E-3</v>
      </c>
      <c r="L18" s="17">
        <f>L_r!M18/L_r!$R18</f>
        <v>0.18028414348701757</v>
      </c>
      <c r="M18" s="17">
        <f>L_r!N18/L_r!$R18</f>
        <v>4.9643459800772956E-2</v>
      </c>
      <c r="N18" s="17">
        <f>L_r!O18/L_r!$R18</f>
        <v>0.28006096565238692</v>
      </c>
      <c r="O18" s="17">
        <f>L_r!P18/L_r!$R18</f>
        <v>0.20624897936965869</v>
      </c>
      <c r="P18" s="17">
        <f>L_r!Q18/L_r!$R18</f>
        <v>0.27597844428719176</v>
      </c>
    </row>
    <row r="19" spans="1:16" x14ac:dyDescent="0.2">
      <c r="A19" s="8" t="s">
        <v>21</v>
      </c>
      <c r="B19" s="17">
        <f>L_r!B19/L_r!$H19</f>
        <v>2.1995464852607709E-2</v>
      </c>
      <c r="C19" s="17">
        <f>L_r!C19/L_r!$H19</f>
        <v>0.28843537414965986</v>
      </c>
      <c r="D19" s="17">
        <f>L_r!D19/L_r!$H19</f>
        <v>7.4829931972789115E-2</v>
      </c>
      <c r="E19" s="17">
        <f>L_r!E19/L_r!$H19</f>
        <v>0.22086167800453516</v>
      </c>
      <c r="F19" s="17">
        <f>L_r!F19/L_r!$H19</f>
        <v>9.3650793650793651E-2</v>
      </c>
      <c r="G19" s="17">
        <f>L_r!G19/L_r!$H19</f>
        <v>0.30022675736961452</v>
      </c>
      <c r="J19" s="8" t="s">
        <v>21</v>
      </c>
      <c r="K19" s="17">
        <f>L_r!L19/L_r!$R19</f>
        <v>0</v>
      </c>
      <c r="L19" s="17">
        <f>L_r!M19/L_r!$R19</f>
        <v>0.25282544997907075</v>
      </c>
      <c r="M19" s="17">
        <f>L_r!N19/L_r!$R19</f>
        <v>6.5508580996232732E-2</v>
      </c>
      <c r="N19" s="17">
        <f>L_r!O19/L_r!$R19</f>
        <v>0.22436165759732102</v>
      </c>
      <c r="O19" s="17">
        <f>L_r!P19/L_r!$R19</f>
        <v>0.11301799916282963</v>
      </c>
      <c r="P19" s="17">
        <f>L_r!Q19/L_r!$R19</f>
        <v>0.34428631226454581</v>
      </c>
    </row>
    <row r="20" spans="1:16" x14ac:dyDescent="0.2">
      <c r="A20" s="8" t="s">
        <v>22</v>
      </c>
      <c r="B20" s="17">
        <f>L_r!B20/L_r!$H20</f>
        <v>2.9102515959444235E-2</v>
      </c>
      <c r="C20" s="17">
        <f>L_r!C20/L_r!$H20</f>
        <v>0.26886969583176867</v>
      </c>
      <c r="D20" s="17">
        <f>L_r!D20/L_r!$H20</f>
        <v>8.4866691701089E-2</v>
      </c>
      <c r="E20" s="17">
        <f>L_r!E20/L_r!$H20</f>
        <v>0.23563650018775817</v>
      </c>
      <c r="F20" s="17">
        <f>L_r!F20/L_r!$H20</f>
        <v>8.3552384528727E-2</v>
      </c>
      <c r="G20" s="17">
        <f>L_r!G20/L_r!$H20</f>
        <v>0.29797221179121292</v>
      </c>
      <c r="J20" s="8" t="s">
        <v>22</v>
      </c>
      <c r="K20" s="17">
        <f>L_r!L20/L_r!$R20</f>
        <v>1.1811707486538127E-2</v>
      </c>
      <c r="L20" s="17">
        <f>L_r!M20/L_r!$R20</f>
        <v>0.22945978808407155</v>
      </c>
      <c r="M20" s="17">
        <f>L_r!N20/L_r!$R20</f>
        <v>5.6279312141740492E-2</v>
      </c>
      <c r="N20" s="17">
        <f>L_r!O20/L_r!$R20</f>
        <v>0.25620983150946675</v>
      </c>
      <c r="O20" s="17">
        <f>L_r!P20/L_r!$R20</f>
        <v>0.11169011638005906</v>
      </c>
      <c r="P20" s="17">
        <f>L_r!Q20/L_r!$R20</f>
        <v>0.334549244398124</v>
      </c>
    </row>
    <row r="21" spans="1:16" x14ac:dyDescent="0.2">
      <c r="A21" s="8" t="s">
        <v>23</v>
      </c>
      <c r="B21" s="17">
        <f>L_r!B21/L_r!$H21</f>
        <v>6.7224657898233023E-2</v>
      </c>
      <c r="C21" s="17">
        <f>L_r!C21/L_r!$H21</f>
        <v>0.10721402949382224</v>
      </c>
      <c r="D21" s="17">
        <f>L_r!D21/L_r!$H21</f>
        <v>0.16261458748505381</v>
      </c>
      <c r="E21" s="17">
        <f>L_r!E21/L_r!$H21</f>
        <v>0.24790753288162615</v>
      </c>
      <c r="F21" s="17">
        <f>L_r!F21/L_r!$H21</f>
        <v>6.3504716354457286E-2</v>
      </c>
      <c r="G21" s="17">
        <f>L_r!G21/L_r!$H21</f>
        <v>0.35153447588680747</v>
      </c>
      <c r="J21" s="8" t="s">
        <v>23</v>
      </c>
      <c r="K21" s="17">
        <f>L_r!L21/L_r!$R21</f>
        <v>3.6534021458644574E-2</v>
      </c>
      <c r="L21" s="17">
        <f>L_r!M21/L_r!$R21</f>
        <v>0.14165421703110145</v>
      </c>
      <c r="M21" s="17">
        <f>L_r!N21/L_r!$R21</f>
        <v>0.10837973652044004</v>
      </c>
      <c r="N21" s="17">
        <f>L_r!O21/L_r!$R21</f>
        <v>0.26619584408529134</v>
      </c>
      <c r="O21" s="17">
        <f>L_r!P21/L_r!$R21</f>
        <v>0.13309792204264567</v>
      </c>
      <c r="P21" s="17">
        <f>L_r!Q21/L_r!$R21</f>
        <v>0.31413825886187691</v>
      </c>
    </row>
    <row r="22" spans="1:16" x14ac:dyDescent="0.2">
      <c r="A22" s="8" t="s">
        <v>24</v>
      </c>
      <c r="B22" s="17">
        <f>L_r!B22/L_r!$H22</f>
        <v>2.2534806947036027E-2</v>
      </c>
      <c r="C22" s="17">
        <f>L_r!C22/L_r!$H22</f>
        <v>0.31677910147839816</v>
      </c>
      <c r="D22" s="17">
        <f>L_r!D22/L_r!$H22</f>
        <v>6.1145399741639156E-2</v>
      </c>
      <c r="E22" s="17">
        <f>L_r!E22/L_r!$H22</f>
        <v>0.21156882445815989</v>
      </c>
      <c r="F22" s="17">
        <f>L_r!F22/L_r!$H22</f>
        <v>9.946892493182144E-2</v>
      </c>
      <c r="G22" s="17">
        <f>L_r!G22/L_r!$H22</f>
        <v>0.28850294244294533</v>
      </c>
      <c r="J22" s="8" t="s">
        <v>24</v>
      </c>
      <c r="K22" s="17">
        <f>L_r!L22/L_r!$R22</f>
        <v>1.5069818885662934E-2</v>
      </c>
      <c r="L22" s="17">
        <f>L_r!M22/L_r!$R22</f>
        <v>0.2593667910963639</v>
      </c>
      <c r="M22" s="17">
        <f>L_r!N22/L_r!$R22</f>
        <v>4.6868519286603072E-2</v>
      </c>
      <c r="N22" s="17">
        <f>L_r!O22/L_r!$R22</f>
        <v>0.22369694455965713</v>
      </c>
      <c r="O22" s="17">
        <f>L_r!P22/L_r!$R22</f>
        <v>0.13327803124567952</v>
      </c>
      <c r="P22" s="17">
        <f>L_r!Q22/L_r!$R22</f>
        <v>0.32171989492603348</v>
      </c>
    </row>
    <row r="23" spans="1:16" x14ac:dyDescent="0.2">
      <c r="A23" s="8" t="s">
        <v>25</v>
      </c>
      <c r="B23" s="17">
        <f>L_r!B23/L_r!$H23</f>
        <v>2.0462046204620461E-2</v>
      </c>
      <c r="C23" s="17">
        <f>L_r!C23/L_r!$H23</f>
        <v>0.23894389438943894</v>
      </c>
      <c r="D23" s="17">
        <f>L_r!D23/L_r!$H23</f>
        <v>8.4708470847084702E-2</v>
      </c>
      <c r="E23" s="17">
        <f>L_r!E23/L_r!$H23</f>
        <v>0.24367436743674367</v>
      </c>
      <c r="F23" s="17">
        <f>L_r!F23/L_r!$H23</f>
        <v>0.11716171617161716</v>
      </c>
      <c r="G23" s="17">
        <f>L_r!G23/L_r!$H23</f>
        <v>0.29504950495049503</v>
      </c>
      <c r="J23" s="8" t="s">
        <v>25</v>
      </c>
      <c r="K23" s="17">
        <f>L_r!L23/L_r!$R23</f>
        <v>1.3443324167430493E-2</v>
      </c>
      <c r="L23" s="17">
        <f>L_r!M23/L_r!$R23</f>
        <v>0.18209593644974029</v>
      </c>
      <c r="M23" s="17">
        <f>L_r!N23/L_r!$R23</f>
        <v>5.8661778185151239E-2</v>
      </c>
      <c r="N23" s="17">
        <f>L_r!O23/L_r!$R23</f>
        <v>0.25613606273551276</v>
      </c>
      <c r="O23" s="17">
        <f>L_r!P23/L_r!$R23</f>
        <v>0.14818209593644974</v>
      </c>
      <c r="P23" s="17">
        <f>L_r!Q23/L_r!$R23</f>
        <v>0.34148080252571539</v>
      </c>
    </row>
    <row r="24" spans="1:16" x14ac:dyDescent="0.2">
      <c r="A24" s="8" t="s">
        <v>26</v>
      </c>
      <c r="B24" s="17">
        <f>L_r!B24/L_r!$H24</f>
        <v>4.6795952782462055E-2</v>
      </c>
      <c r="C24" s="17">
        <f>L_r!C24/L_r!$H24</f>
        <v>0.1946318156267566</v>
      </c>
      <c r="D24" s="17">
        <f>L_r!D24/L_r!$H24</f>
        <v>9.0640809443507595E-2</v>
      </c>
      <c r="E24" s="17">
        <f>L_r!E24/L_r!$H24</f>
        <v>0.25688589094997188</v>
      </c>
      <c r="F24" s="17">
        <f>L_r!F24/L_r!$H24</f>
        <v>0.10370994940978077</v>
      </c>
      <c r="G24" s="17">
        <f>L_r!G24/L_r!$H24</f>
        <v>0.30733558178752107</v>
      </c>
      <c r="J24" s="8" t="s">
        <v>26</v>
      </c>
      <c r="K24" s="17">
        <f>L_r!L24/L_r!$R24</f>
        <v>3.6654620547237997E-2</v>
      </c>
      <c r="L24" s="17">
        <f>L_r!M24/L_r!$R24</f>
        <v>0.16933402168301498</v>
      </c>
      <c r="M24" s="17">
        <f>L_r!N24/L_r!$R24</f>
        <v>7.1244192049561172E-2</v>
      </c>
      <c r="N24" s="17">
        <f>L_r!O24/L_r!$R24</f>
        <v>0.28575116159008773</v>
      </c>
      <c r="O24" s="17">
        <f>L_r!P24/L_r!$R24</f>
        <v>0.11719153329891585</v>
      </c>
      <c r="P24" s="17">
        <f>L_r!Q24/L_r!$R24</f>
        <v>0.31982447083118221</v>
      </c>
    </row>
    <row r="25" spans="1:16" x14ac:dyDescent="0.2">
      <c r="A25" s="8" t="s">
        <v>27</v>
      </c>
      <c r="B25" s="17">
        <f>L_r!B25/L_r!$H25</f>
        <v>6.0915700530556102E-2</v>
      </c>
      <c r="C25" s="17">
        <f>L_r!C25/L_r!$H25</f>
        <v>0.23825898997838474</v>
      </c>
      <c r="D25" s="17">
        <f>L_r!D25/L_r!$H25</f>
        <v>8.528198074277854E-2</v>
      </c>
      <c r="E25" s="17">
        <f>L_r!E25/L_r!$H25</f>
        <v>0.23511495382196895</v>
      </c>
      <c r="F25" s="17">
        <f>L_r!F25/L_r!$H25</f>
        <v>8.0172921988602874E-2</v>
      </c>
      <c r="G25" s="17">
        <f>L_r!G25/L_r!$H25</f>
        <v>0.30025545293770878</v>
      </c>
      <c r="J25" s="8" t="s">
        <v>27</v>
      </c>
      <c r="K25" s="17">
        <f>L_r!L25/L_r!$R25</f>
        <v>3.4044405746626032E-2</v>
      </c>
      <c r="L25" s="17">
        <f>L_r!M25/L_r!$R25</f>
        <v>0.21210274270787985</v>
      </c>
      <c r="M25" s="17">
        <f>L_r!N25/L_r!$R25</f>
        <v>8.0017414018284716E-2</v>
      </c>
      <c r="N25" s="17">
        <f>L_r!O25/L_r!$R25</f>
        <v>0.25424466695690029</v>
      </c>
      <c r="O25" s="17">
        <f>L_r!P25/L_r!$R25</f>
        <v>0.10378754897692642</v>
      </c>
      <c r="P25" s="17">
        <f>L_r!Q25/L_r!$R25</f>
        <v>0.3158032215933827</v>
      </c>
    </row>
    <row r="26" spans="1:16" x14ac:dyDescent="0.2">
      <c r="A26" s="8" t="s">
        <v>28</v>
      </c>
      <c r="B26" s="17">
        <f>L_r!B26/L_r!$H26</f>
        <v>1.4523491170639495E-2</v>
      </c>
      <c r="C26" s="17">
        <f>L_r!C26/L_r!$H26</f>
        <v>0.26179169164092397</v>
      </c>
      <c r="D26" s="17">
        <f>L_r!D26/L_r!$H26</f>
        <v>6.362672322375397E-2</v>
      </c>
      <c r="E26" s="17">
        <f>L_r!E26/L_r!$H26</f>
        <v>0.25699663423855412</v>
      </c>
      <c r="F26" s="17">
        <f>L_r!F26/L_r!$H26</f>
        <v>0.12222785743925492</v>
      </c>
      <c r="G26" s="17">
        <f>L_r!G26/L_r!$H26</f>
        <v>0.28083360228687354</v>
      </c>
      <c r="J26" s="8" t="s">
        <v>28</v>
      </c>
      <c r="K26" s="17">
        <f>L_r!L26/L_r!$R26</f>
        <v>4.3052837573385521E-3</v>
      </c>
      <c r="L26" s="17">
        <f>L_r!M26/L_r!$R26</f>
        <v>0.20326157860404437</v>
      </c>
      <c r="M26" s="17">
        <f>L_r!N26/L_r!$R26</f>
        <v>5.9230267449445533E-2</v>
      </c>
      <c r="N26" s="17">
        <f>L_r!O26/L_r!$R26</f>
        <v>0.2744509676016525</v>
      </c>
      <c r="O26" s="17">
        <f>L_r!P26/L_r!$R26</f>
        <v>0.15842574472711457</v>
      </c>
      <c r="P26" s="17">
        <f>L_r!Q26/L_r!$R26</f>
        <v>0.30032615786040445</v>
      </c>
    </row>
    <row r="27" spans="1:16" x14ac:dyDescent="0.2">
      <c r="A27" s="8" t="s">
        <v>29</v>
      </c>
      <c r="B27" s="17">
        <f>L_r!B27/L_r!$H27</f>
        <v>1.4583218251118598E-2</v>
      </c>
      <c r="C27" s="17">
        <f>L_r!C27/L_r!$H27</f>
        <v>0.23791636745290837</v>
      </c>
      <c r="D27" s="17">
        <f>L_r!D27/L_r!$H27</f>
        <v>6.5955918908468206E-2</v>
      </c>
      <c r="E27" s="17">
        <f>L_r!E27/L_r!$H27</f>
        <v>0.23393912611169421</v>
      </c>
      <c r="F27" s="17">
        <f>L_r!F27/L_r!$H27</f>
        <v>0.12876318842180853</v>
      </c>
      <c r="G27" s="17">
        <f>L_r!G27/L_r!$H27</f>
        <v>0.31884218085400212</v>
      </c>
      <c r="J27" s="8" t="s">
        <v>29</v>
      </c>
      <c r="K27" s="17">
        <f>L_r!L27/L_r!$R27</f>
        <v>6.2950553355670628E-3</v>
      </c>
      <c r="L27" s="17">
        <f>L_r!M27/L_r!$R27</f>
        <v>0.1859579652756625</v>
      </c>
      <c r="M27" s="17">
        <f>L_r!N27/L_r!$R27</f>
        <v>5.396486952990151E-2</v>
      </c>
      <c r="N27" s="17">
        <f>L_r!O27/L_r!$R27</f>
        <v>0.25403594273530311</v>
      </c>
      <c r="O27" s="17">
        <f>L_r!P27/L_r!$R27</f>
        <v>0.16839273022641893</v>
      </c>
      <c r="P27" s="17">
        <f>L_r!Q27/L_r!$R27</f>
        <v>0.33135343689714691</v>
      </c>
    </row>
    <row r="28" spans="1:16" x14ac:dyDescent="0.2">
      <c r="A28" s="8" t="s">
        <v>30</v>
      </c>
      <c r="B28" s="17">
        <f>L_r!B28/L_r!$H28</f>
        <v>2.7743701047466263E-2</v>
      </c>
      <c r="C28" s="17">
        <f>L_r!C28/L_r!$H28</f>
        <v>0.27035953571765592</v>
      </c>
      <c r="D28" s="17">
        <f>L_r!D28/L_r!$H28</f>
        <v>8.1532509200717182E-2</v>
      </c>
      <c r="E28" s="17">
        <f>L_r!E28/L_r!$H28</f>
        <v>0.23695385486458431</v>
      </c>
      <c r="F28" s="17">
        <f>L_r!F28/L_r!$H28</f>
        <v>9.9650844578654335E-2</v>
      </c>
      <c r="G28" s="17">
        <f>L_r!G28/L_r!$H28</f>
        <v>0.28375955459092195</v>
      </c>
      <c r="J28" s="8" t="s">
        <v>30</v>
      </c>
      <c r="K28" s="17">
        <f>L_r!L28/L_r!$R28</f>
        <v>1.4330535063173069E-2</v>
      </c>
      <c r="L28" s="17">
        <f>L_r!M28/L_r!$R28</f>
        <v>0.20970066988891714</v>
      </c>
      <c r="M28" s="17">
        <f>L_r!N28/L_r!$R28</f>
        <v>7.7164419570931911E-2</v>
      </c>
      <c r="N28" s="17">
        <f>L_r!O28/L_r!$R28</f>
        <v>0.25142033409649794</v>
      </c>
      <c r="O28" s="17">
        <f>L_r!P28/L_r!$R28</f>
        <v>0.12592215721190536</v>
      </c>
      <c r="P28" s="17">
        <f>L_r!Q28/L_r!$R28</f>
        <v>0.32146188416857457</v>
      </c>
    </row>
    <row r="29" spans="1:16" x14ac:dyDescent="0.2">
      <c r="A29" s="8" t="s">
        <v>31</v>
      </c>
      <c r="B29" s="17">
        <f>L_r!B29/L_r!$H29</f>
        <v>1.9712853236098449E-2</v>
      </c>
      <c r="C29" s="17">
        <f>L_r!C29/L_r!$H29</f>
        <v>0.33067456700091158</v>
      </c>
      <c r="D29" s="17">
        <f>L_r!D29/L_r!$H29</f>
        <v>7.3381950774840485E-2</v>
      </c>
      <c r="E29" s="17">
        <f>L_r!E29/L_r!$H29</f>
        <v>0.21866453965360072</v>
      </c>
      <c r="F29" s="17">
        <f>L_r!F29/L_r!$H29</f>
        <v>8.2269826800364626E-2</v>
      </c>
      <c r="G29" s="17">
        <f>L_r!G29/L_r!$H29</f>
        <v>0.27529626253418416</v>
      </c>
      <c r="J29" s="8" t="s">
        <v>31</v>
      </c>
      <c r="K29" s="17">
        <f>L_r!L29/L_r!$R29</f>
        <v>1.1308391460579159E-2</v>
      </c>
      <c r="L29" s="17">
        <f>L_r!M29/L_r!$R29</f>
        <v>0.26865356161488058</v>
      </c>
      <c r="M29" s="17">
        <f>L_r!N29/L_r!$R29</f>
        <v>6.637074614246459E-2</v>
      </c>
      <c r="N29" s="17">
        <f>L_r!O29/L_r!$R29</f>
        <v>0.2463538363982245</v>
      </c>
      <c r="O29" s="17">
        <f>L_r!P29/L_r!$R29</f>
        <v>0.10663707461424646</v>
      </c>
      <c r="P29" s="17">
        <f>L_r!Q29/L_r!$R29</f>
        <v>0.30067638976960476</v>
      </c>
    </row>
    <row r="30" spans="1:16" x14ac:dyDescent="0.2">
      <c r="A30" s="8" t="s">
        <v>32</v>
      </c>
      <c r="B30" s="17">
        <f>L_r!B30/L_r!$H30</f>
        <v>1.6723060905778242E-2</v>
      </c>
      <c r="C30" s="17">
        <f>L_r!C30/L_r!$H30</f>
        <v>0.30530973451327431</v>
      </c>
      <c r="D30" s="17">
        <f>L_r!D30/L_r!$H30</f>
        <v>6.8193649141072357E-2</v>
      </c>
      <c r="E30" s="17">
        <f>L_r!E30/L_r!$H30</f>
        <v>0.23640031233732431</v>
      </c>
      <c r="F30" s="17">
        <f>L_r!F30/L_r!$H30</f>
        <v>9.4156689224362308E-2</v>
      </c>
      <c r="G30" s="17">
        <f>L_r!G30/L_r!$H30</f>
        <v>0.27921655387818844</v>
      </c>
      <c r="J30" s="8" t="s">
        <v>32</v>
      </c>
      <c r="K30" s="17">
        <f>L_r!L30/L_r!$R30</f>
        <v>5.0888986618081297E-3</v>
      </c>
      <c r="L30" s="17">
        <f>L_r!M30/L_r!$R30</f>
        <v>0.26311490858830183</v>
      </c>
      <c r="M30" s="17">
        <f>L_r!N30/L_r!$R30</f>
        <v>5.6040711189294462E-2</v>
      </c>
      <c r="N30" s="17">
        <f>L_r!O30/L_r!$R30</f>
        <v>0.24464409122322045</v>
      </c>
      <c r="O30" s="17">
        <f>L_r!P30/L_r!$R30</f>
        <v>0.12075139787648426</v>
      </c>
      <c r="P30" s="17">
        <f>L_r!Q30/L_r!$R30</f>
        <v>0.31035999246089085</v>
      </c>
    </row>
    <row r="31" spans="1:16" x14ac:dyDescent="0.2">
      <c r="A31" s="8" t="s">
        <v>33</v>
      </c>
      <c r="B31" s="17">
        <f>L_r!B31/L_r!$H31</f>
        <v>2.1685254027261461E-2</v>
      </c>
      <c r="C31" s="17">
        <f>L_r!C31/L_r!$H31</f>
        <v>0.27106567534076825</v>
      </c>
      <c r="D31" s="17">
        <f>L_r!D31/L_r!$H31</f>
        <v>9.402106567534077E-2</v>
      </c>
      <c r="E31" s="17">
        <f>L_r!E31/L_r!$H31</f>
        <v>0.22026022304832713</v>
      </c>
      <c r="F31" s="17">
        <f>L_r!F31/L_r!$H31</f>
        <v>8.9374225526641884E-2</v>
      </c>
      <c r="G31" s="17">
        <f>L_r!G31/L_r!$H31</f>
        <v>0.30359355638166047</v>
      </c>
      <c r="J31" s="8" t="s">
        <v>33</v>
      </c>
      <c r="K31" s="17">
        <f>L_r!L31/L_r!$R31</f>
        <v>1.1891117478510028E-2</v>
      </c>
      <c r="L31" s="17">
        <f>L_r!M31/L_r!$R31</f>
        <v>0.20830945558739256</v>
      </c>
      <c r="M31" s="17">
        <f>L_r!N31/L_r!$R31</f>
        <v>7.2636103151862461E-2</v>
      </c>
      <c r="N31" s="17">
        <f>L_r!O31/L_r!$R31</f>
        <v>0.2511461318051576</v>
      </c>
      <c r="O31" s="17">
        <f>L_r!P31/L_r!$R31</f>
        <v>0.10773638968481374</v>
      </c>
      <c r="P31" s="17">
        <f>L_r!Q31/L_r!$R31</f>
        <v>0.34828080229226366</v>
      </c>
    </row>
    <row r="32" spans="1:16" x14ac:dyDescent="0.2">
      <c r="A32" s="8" t="s">
        <v>34</v>
      </c>
      <c r="B32" s="17">
        <f>L_r!B32/L_r!$H32</f>
        <v>4.1179223210107627E-2</v>
      </c>
      <c r="C32" s="17">
        <f>L_r!C32/L_r!$H32</f>
        <v>0.21712681328965841</v>
      </c>
      <c r="D32" s="17">
        <f>L_r!D32/L_r!$H32</f>
        <v>9.6396817969115589E-2</v>
      </c>
      <c r="E32" s="17">
        <f>L_r!E32/L_r!$H32</f>
        <v>0.22929340196537201</v>
      </c>
      <c r="F32" s="17">
        <f>L_r!F32/L_r!$H32</f>
        <v>9.9204492278895648E-2</v>
      </c>
      <c r="G32" s="17">
        <f>L_r!G32/L_r!$H32</f>
        <v>0.31679925128685071</v>
      </c>
      <c r="J32" s="8" t="s">
        <v>34</v>
      </c>
      <c r="K32" s="17">
        <f>L_r!L32/L_r!$R32</f>
        <v>3.235990528808208E-2</v>
      </c>
      <c r="L32" s="17">
        <f>L_r!M32/L_r!$R32</f>
        <v>0.18310970797158643</v>
      </c>
      <c r="M32" s="17">
        <f>L_r!N32/L_r!$R32</f>
        <v>8.721389108129439E-2</v>
      </c>
      <c r="N32" s="17">
        <f>L_r!O32/L_r!$R32</f>
        <v>0.26953433307024466</v>
      </c>
      <c r="O32" s="17">
        <f>L_r!P32/L_r!$R32</f>
        <v>0.11562746645619572</v>
      </c>
      <c r="P32" s="17">
        <f>L_r!Q32/L_r!$R32</f>
        <v>0.31215469613259667</v>
      </c>
    </row>
    <row r="33" spans="1:16" x14ac:dyDescent="0.2">
      <c r="A33" s="8" t="s">
        <v>35</v>
      </c>
      <c r="B33" s="17">
        <f>L_r!B33/L_r!$H33</f>
        <v>2.1562429442312035E-2</v>
      </c>
      <c r="C33" s="17">
        <f>L_r!C33/L_r!$H33</f>
        <v>0.29927748927523146</v>
      </c>
      <c r="D33" s="17">
        <f>L_r!D33/L_r!$H33</f>
        <v>7.6089410702190108E-2</v>
      </c>
      <c r="E33" s="17">
        <f>L_r!E33/L_r!$H33</f>
        <v>0.22341386317453149</v>
      </c>
      <c r="F33" s="17">
        <f>L_r!F33/L_r!$H33</f>
        <v>0.1002483630616392</v>
      </c>
      <c r="G33" s="17">
        <f>L_r!G33/L_r!$H33</f>
        <v>0.27940844434409573</v>
      </c>
      <c r="J33" s="8" t="s">
        <v>35</v>
      </c>
      <c r="K33" s="17">
        <f>L_r!L33/L_r!$R33</f>
        <v>1.7079599367422246E-2</v>
      </c>
      <c r="L33" s="17">
        <f>L_r!M33/L_r!$R33</f>
        <v>0.23500263574064312</v>
      </c>
      <c r="M33" s="17">
        <f>L_r!N33/L_r!$R33</f>
        <v>6.1570901423299948E-2</v>
      </c>
      <c r="N33" s="17">
        <f>L_r!O33/L_r!$R33</f>
        <v>0.23321033210332104</v>
      </c>
      <c r="O33" s="17">
        <f>L_r!P33/L_r!$R33</f>
        <v>0.12672641012124408</v>
      </c>
      <c r="P33" s="17">
        <f>L_r!Q33/L_r!$R33</f>
        <v>0.3264101212440696</v>
      </c>
    </row>
    <row r="34" spans="1:16" x14ac:dyDescent="0.2">
      <c r="A34" s="8" t="s">
        <v>36</v>
      </c>
      <c r="B34" s="17">
        <f>L_r!B34/L_r!$H34</f>
        <v>0</v>
      </c>
      <c r="C34" s="17">
        <f>L_r!C34/L_r!$H34</f>
        <v>0.27755767886273597</v>
      </c>
      <c r="D34" s="17">
        <f>L_r!D34/L_r!$H34</f>
        <v>7.3409461663947795E-2</v>
      </c>
      <c r="E34" s="17">
        <f>L_r!E34/L_r!$H34</f>
        <v>0.23421113959450013</v>
      </c>
      <c r="F34" s="17">
        <f>L_r!F34/L_r!$H34</f>
        <v>0.10370542996970403</v>
      </c>
      <c r="G34" s="17">
        <f>L_r!G34/L_r!$H34</f>
        <v>0.31111628990911211</v>
      </c>
      <c r="J34" s="8" t="s">
        <v>36</v>
      </c>
      <c r="K34" s="17">
        <f>L_r!L34/L_r!$R34</f>
        <v>0</v>
      </c>
      <c r="L34" s="17">
        <f>L_r!M34/L_r!$R34</f>
        <v>0.24353496739374861</v>
      </c>
      <c r="M34" s="17">
        <f>L_r!N34/L_r!$R34</f>
        <v>6.6786597706318868E-2</v>
      </c>
      <c r="N34" s="17">
        <f>L_r!O34/L_r!$R34</f>
        <v>0.24151113109961769</v>
      </c>
      <c r="O34" s="17">
        <f>L_r!P34/L_r!$R34</f>
        <v>0.12300427254328761</v>
      </c>
      <c r="P34" s="17">
        <f>L_r!Q34/L_r!$R34</f>
        <v>0.32516303125702722</v>
      </c>
    </row>
    <row r="35" spans="1:16" x14ac:dyDescent="0.2">
      <c r="A35" s="8" t="s">
        <v>37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J35" s="8" t="s">
        <v>37</v>
      </c>
      <c r="K35" s="17">
        <f>L_r!L35/L_r!$R35</f>
        <v>1.558228540185894E-2</v>
      </c>
      <c r="L35" s="17">
        <f>L_r!M35/L_r!$R35</f>
        <v>0.20694368507381083</v>
      </c>
      <c r="M35" s="17">
        <f>L_r!N35/L_r!$R35</f>
        <v>8.8572990705303445E-2</v>
      </c>
      <c r="N35" s="17">
        <f>L_r!O35/L_r!$R35</f>
        <v>0.23318753417167856</v>
      </c>
      <c r="O35" s="17">
        <f>L_r!P35/L_r!$R35</f>
        <v>0.14078731547293602</v>
      </c>
      <c r="P35" s="17">
        <f>L_r!Q35/L_r!$R35</f>
        <v>0.31492618917441223</v>
      </c>
    </row>
    <row r="36" spans="1:16" x14ac:dyDescent="0.2">
      <c r="A36" s="8" t="s">
        <v>38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J36" s="8" t="s">
        <v>38</v>
      </c>
      <c r="K36" s="17">
        <f>L_r!L36/L_r!$R36</f>
        <v>1.6008378216636743E-2</v>
      </c>
      <c r="L36" s="17">
        <f>L_r!M36/L_r!$R36</f>
        <v>0.2532914422501496</v>
      </c>
      <c r="M36" s="17">
        <f>L_r!N36/L_r!$R36</f>
        <v>0.10263315380011968</v>
      </c>
      <c r="N36" s="17">
        <f>L_r!O36/L_r!$R36</f>
        <v>0.24042489527229205</v>
      </c>
      <c r="O36" s="17">
        <f>L_r!P36/L_r!$R36</f>
        <v>0.11280670257330939</v>
      </c>
      <c r="P36" s="17">
        <f>L_r!Q36/L_r!$R36</f>
        <v>0.27483542788749254</v>
      </c>
    </row>
    <row r="37" spans="1:16" x14ac:dyDescent="0.2">
      <c r="A37" s="8" t="s">
        <v>39</v>
      </c>
      <c r="B37" s="17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J37" s="8" t="s">
        <v>39</v>
      </c>
      <c r="K37" s="17">
        <f>L_r!L37/L_r!$R37</f>
        <v>1.5703380588876773E-2</v>
      </c>
      <c r="L37" s="17">
        <f>L_r!M37/L_r!$R37</f>
        <v>0.14394765539803708</v>
      </c>
      <c r="M37" s="17">
        <f>L_r!N37/L_r!$R37</f>
        <v>9.029443838604144E-2</v>
      </c>
      <c r="N37" s="17">
        <f>L_r!O37/L_r!$R37</f>
        <v>0.27589967284623773</v>
      </c>
      <c r="O37" s="17">
        <f>L_r!P37/L_r!$R37</f>
        <v>0.16117775354416575</v>
      </c>
      <c r="P37" s="17">
        <f>L_r!Q37/L_r!$R37</f>
        <v>0.31297709923664124</v>
      </c>
    </row>
    <row r="38" spans="1:16" x14ac:dyDescent="0.2">
      <c r="A38" s="8" t="s">
        <v>40</v>
      </c>
      <c r="B38" s="17">
        <f>L_r!B38/L_r!$H38</f>
        <v>4.1946935724962629E-2</v>
      </c>
      <c r="C38" s="17">
        <f>L_r!C38/L_r!$H38</f>
        <v>0.16208893871449925</v>
      </c>
      <c r="D38" s="17">
        <f>L_r!D38/L_r!$H38</f>
        <v>0.15732436472346786</v>
      </c>
      <c r="E38" s="17">
        <f>L_r!E38/L_r!$H38</f>
        <v>0.23589312406576982</v>
      </c>
      <c r="F38" s="17">
        <f>L_r!F38/L_r!$H38</f>
        <v>7.3337070254110612E-2</v>
      </c>
      <c r="G38" s="17">
        <f>L_r!G38/L_r!$H38</f>
        <v>0.32940956651718983</v>
      </c>
      <c r="J38" s="8" t="s">
        <v>40</v>
      </c>
      <c r="K38" s="17">
        <f>L_r!L38/L_r!$R38</f>
        <v>2.048470859780727E-2</v>
      </c>
      <c r="L38" s="17">
        <f>L_r!M38/L_r!$R38</f>
        <v>0.1812848624735526</v>
      </c>
      <c r="M38" s="17">
        <f>L_r!N38/L_r!$R38</f>
        <v>0.1074245047124447</v>
      </c>
      <c r="N38" s="17">
        <f>L_r!O38/L_r!$R38</f>
        <v>0.24062319676860938</v>
      </c>
      <c r="O38" s="17">
        <f>L_r!P38/L_r!$R38</f>
        <v>0.13416041546451241</v>
      </c>
      <c r="P38" s="17">
        <f>L_r!Q38/L_r!$R38</f>
        <v>0.31602231198307368</v>
      </c>
    </row>
    <row r="39" spans="1:16" x14ac:dyDescent="0.2">
      <c r="A39" s="8" t="s">
        <v>41</v>
      </c>
      <c r="B39" s="17">
        <f>L_r!B39/L_r!$H39</f>
        <v>3.2094454144840773E-2</v>
      </c>
      <c r="C39" s="17">
        <f>L_r!C39/L_r!$H39</f>
        <v>0.17069925999833707</v>
      </c>
      <c r="D39" s="17">
        <f>L_r!D39/L_r!$H39</f>
        <v>7.8323771514093296E-2</v>
      </c>
      <c r="E39" s="17">
        <f>L_r!E39/L_r!$H39</f>
        <v>0.2703084726033092</v>
      </c>
      <c r="F39" s="17">
        <f>L_r!F39/L_r!$H39</f>
        <v>0.11698677974557246</v>
      </c>
      <c r="G39" s="17">
        <f>L_r!G39/L_r!$H39</f>
        <v>0.33158726199384719</v>
      </c>
      <c r="J39" s="8" t="s">
        <v>41</v>
      </c>
      <c r="K39" s="17">
        <f>L_r!L39/L_r!$R39</f>
        <v>2.4235957625181007E-2</v>
      </c>
      <c r="L39" s="17">
        <f>L_r!M39/L_r!$R39</f>
        <v>0.1480070116606966</v>
      </c>
      <c r="M39" s="17">
        <f>L_r!N39/L_r!$R39</f>
        <v>6.8439905495008002E-2</v>
      </c>
      <c r="N39" s="17">
        <f>L_r!O39/L_r!$R39</f>
        <v>0.27025379163173535</v>
      </c>
      <c r="O39" s="17">
        <f>L_r!P39/L_r!$R39</f>
        <v>0.14846429388003962</v>
      </c>
      <c r="P39" s="17">
        <f>L_r!Q39/L_r!$R39</f>
        <v>0.3405990397073394</v>
      </c>
    </row>
    <row r="40" spans="1:16" x14ac:dyDescent="0.2">
      <c r="A40" s="8" t="s">
        <v>42</v>
      </c>
      <c r="B40" s="17">
        <f>L_r!B40/L_r!$H40</f>
        <v>3.7610619469026552E-2</v>
      </c>
      <c r="C40" s="17">
        <f>L_r!C40/L_r!$H40</f>
        <v>0.19330752212389379</v>
      </c>
      <c r="D40" s="17">
        <f>L_r!D40/L_r!$H40</f>
        <v>0.14703171091445427</v>
      </c>
      <c r="E40" s="17">
        <f>L_r!E40/L_r!$H40</f>
        <v>0.20169616519174041</v>
      </c>
      <c r="F40" s="17">
        <f>L_r!F40/L_r!$H40</f>
        <v>6.1301622418879056E-2</v>
      </c>
      <c r="G40" s="17">
        <f>L_r!G40/L_r!$H40</f>
        <v>0.3590523598820059</v>
      </c>
      <c r="J40" s="8" t="s">
        <v>42</v>
      </c>
      <c r="K40" s="17">
        <f>L_r!L40/L_r!$R40</f>
        <v>2.2580030487804877E-2</v>
      </c>
      <c r="L40" s="17">
        <f>L_r!M40/L_r!$R40</f>
        <v>0.23647103658536586</v>
      </c>
      <c r="M40" s="17">
        <f>L_r!N40/L_r!$R40</f>
        <v>9.9085365853658541E-2</v>
      </c>
      <c r="N40" s="17">
        <f>L_r!O40/L_r!$R40</f>
        <v>0.21703506097560973</v>
      </c>
      <c r="O40" s="17">
        <f>L_r!P40/L_r!$R40</f>
        <v>0.11766387195121951</v>
      </c>
      <c r="P40" s="17">
        <f>L_r!Q40/L_r!$R40</f>
        <v>0.30716463414634154</v>
      </c>
    </row>
  </sheetData>
  <mergeCells count="2">
    <mergeCell ref="A1:G1"/>
    <mergeCell ref="J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E552-ABF8-8C42-9AAA-36EDF8AD2A49}">
  <dimension ref="A1:R40"/>
  <sheetViews>
    <sheetView workbookViewId="0">
      <selection activeCell="J27" sqref="J27"/>
    </sheetView>
  </sheetViews>
  <sheetFormatPr baseColWidth="10" defaultRowHeight="16" x14ac:dyDescent="0.2"/>
  <cols>
    <col min="1" max="1" width="22.83203125" bestFit="1" customWidth="1"/>
    <col min="2" max="2" width="11.6640625" bestFit="1" customWidth="1"/>
    <col min="3" max="3" width="13.6640625" bestFit="1" customWidth="1"/>
    <col min="4" max="7" width="11.1640625" bestFit="1" customWidth="1"/>
    <col min="8" max="8" width="14.6640625" bestFit="1" customWidth="1"/>
    <col min="11" max="11" width="22.83203125" bestFit="1" customWidth="1"/>
    <col min="12" max="12" width="11" bestFit="1" customWidth="1"/>
    <col min="13" max="13" width="11.6640625" bestFit="1" customWidth="1"/>
    <col min="14" max="17" width="11" bestFit="1" customWidth="1"/>
    <col min="18" max="18" width="14.83203125" bestFit="1" customWidth="1"/>
  </cols>
  <sheetData>
    <row r="1" spans="1:18" x14ac:dyDescent="0.2">
      <c r="A1" s="20" t="s">
        <v>66</v>
      </c>
      <c r="B1" s="20"/>
      <c r="C1" s="20"/>
      <c r="D1" s="20"/>
      <c r="E1" s="20"/>
      <c r="F1" s="20"/>
      <c r="G1" s="20"/>
      <c r="H1" s="20"/>
      <c r="K1" s="20" t="s">
        <v>67</v>
      </c>
      <c r="L1" s="20"/>
      <c r="M1" s="20"/>
      <c r="N1" s="20"/>
      <c r="O1" s="20"/>
      <c r="P1" s="20"/>
      <c r="Q1" s="20"/>
      <c r="R1" s="20"/>
    </row>
    <row r="2" spans="1:18" x14ac:dyDescent="0.2">
      <c r="A2" s="8"/>
      <c r="B2" s="8" t="s">
        <v>5</v>
      </c>
      <c r="C2" s="8" t="s">
        <v>43</v>
      </c>
      <c r="D2" s="8" t="s">
        <v>44</v>
      </c>
      <c r="E2" s="8" t="s">
        <v>45</v>
      </c>
      <c r="F2" s="8" t="s">
        <v>46</v>
      </c>
      <c r="G2" s="8" t="s">
        <v>47</v>
      </c>
      <c r="H2" s="8" t="s">
        <v>70</v>
      </c>
      <c r="K2" s="8"/>
      <c r="L2" s="8" t="s">
        <v>5</v>
      </c>
      <c r="M2" s="8" t="s">
        <v>43</v>
      </c>
      <c r="N2" s="8" t="s">
        <v>44</v>
      </c>
      <c r="O2" s="8" t="s">
        <v>45</v>
      </c>
      <c r="P2" s="8" t="s">
        <v>46</v>
      </c>
      <c r="Q2" s="8" t="s">
        <v>47</v>
      </c>
      <c r="R2" s="8" t="s">
        <v>71</v>
      </c>
    </row>
    <row r="3" spans="1:18" x14ac:dyDescent="0.2">
      <c r="A3" s="8" t="s">
        <v>4</v>
      </c>
      <c r="B3" s="7">
        <f>s_ri!B3*shock_i!$E$2</f>
        <v>9.0773585188057559</v>
      </c>
      <c r="C3" s="7">
        <f>s_ri!C3*shock_i!$E$3</f>
        <v>4143.1361445634375</v>
      </c>
      <c r="D3" s="7">
        <f>s_ri!D3*shock_i!$E$4</f>
        <v>0</v>
      </c>
      <c r="E3" s="7">
        <f>s_ri!E3*shock_i!$E$5</f>
        <v>0</v>
      </c>
      <c r="F3" s="7">
        <f>s_ri!F3*shock_i!$E$6</f>
        <v>5.073619627893153E-4</v>
      </c>
      <c r="G3" s="7">
        <f>s_ri!G3*shock_i!$E$7</f>
        <v>6.0683982336147988</v>
      </c>
      <c r="H3" s="7">
        <f>SUM(B3:G3)/1000</f>
        <v>4.1582824086778212</v>
      </c>
      <c r="K3" s="8" t="s">
        <v>4</v>
      </c>
      <c r="L3" s="7">
        <f>s_ri!K3*shock_i!$E$8</f>
        <v>-0.82952366873199646</v>
      </c>
      <c r="M3" s="7">
        <f>s_ri!L3*shock_i!$E$9</f>
        <v>742.18710439928554</v>
      </c>
      <c r="N3" s="7">
        <f>s_ri!M3*shock_i!$E$10</f>
        <v>0</v>
      </c>
      <c r="O3" s="7">
        <f>s_ri!N3*shock_i!$E$11</f>
        <v>0</v>
      </c>
      <c r="P3" s="7">
        <f>s_ri!O3*shock_i!$E$12</f>
        <v>1.2163805762354113E-4</v>
      </c>
      <c r="Q3" s="7">
        <f>s_ri!P3*shock_i!$E$13</f>
        <v>0.29720253388199158</v>
      </c>
      <c r="R3" s="7">
        <f>SUM(L3:Q3)/1000</f>
        <v>0.74165490490249319</v>
      </c>
    </row>
    <row r="4" spans="1:18" x14ac:dyDescent="0.2">
      <c r="A4" s="8" t="s">
        <v>6</v>
      </c>
      <c r="B4" s="7">
        <f>s_ri!B4*shock_i!$E$2</f>
        <v>7.8091435258626518</v>
      </c>
      <c r="C4" s="7">
        <f>s_ri!C4*shock_i!$E$3</f>
        <v>3613.9323037490931</v>
      </c>
      <c r="D4" s="7">
        <f>s_ri!D4*shock_i!$E$4</f>
        <v>0</v>
      </c>
      <c r="E4" s="7">
        <f>s_ri!E4*shock_i!$E$5</f>
        <v>0</v>
      </c>
      <c r="F4" s="7">
        <f>s_ri!F4*shock_i!$E$6</f>
        <v>5.4836634835226609E-4</v>
      </c>
      <c r="G4" s="7">
        <f>s_ri!G4*shock_i!$E$7</f>
        <v>7.2367267836060414</v>
      </c>
      <c r="H4" s="7">
        <f t="shared" ref="H4:H39" si="0">SUM(B4:G4)/1000</f>
        <v>3.6289787224249102</v>
      </c>
      <c r="K4" s="8" t="s">
        <v>6</v>
      </c>
      <c r="L4" s="7">
        <f>s_ri!K4*shock_i!$E$8</f>
        <v>-0.36580454114386995</v>
      </c>
      <c r="M4" s="7">
        <f>s_ri!L4*shock_i!$E$9</f>
        <v>647.87460563425702</v>
      </c>
      <c r="N4" s="7">
        <f>s_ri!M4*shock_i!$E$10</f>
        <v>0</v>
      </c>
      <c r="O4" s="7">
        <f>s_ri!N4*shock_i!$E$11</f>
        <v>0</v>
      </c>
      <c r="P4" s="7">
        <f>s_ri!O4*shock_i!$E$12</f>
        <v>1.1814040876681204E-4</v>
      </c>
      <c r="Q4" s="7">
        <f>s_ri!P4*shock_i!$E$13</f>
        <v>0.33958450754336722</v>
      </c>
      <c r="R4" s="7">
        <f t="shared" ref="R4:R40" si="1">SUM(L4:Q4)/1000</f>
        <v>0.64784850374106517</v>
      </c>
    </row>
    <row r="5" spans="1:18" x14ac:dyDescent="0.2">
      <c r="A5" s="8" t="s">
        <v>7</v>
      </c>
      <c r="B5" s="7">
        <f>s_ri!B5*shock_i!$E$2</f>
        <v>17.380455680076231</v>
      </c>
      <c r="C5" s="7">
        <f>s_ri!C5*shock_i!$E$3</f>
        <v>3675.8938074346088</v>
      </c>
      <c r="D5" s="7">
        <f>s_ri!D5*shock_i!$E$4</f>
        <v>0</v>
      </c>
      <c r="E5" s="7">
        <f>s_ri!E5*shock_i!$E$5</f>
        <v>0</v>
      </c>
      <c r="F5" s="7">
        <f>s_ri!F5*shock_i!$E$6</f>
        <v>4.3486601008282949E-4</v>
      </c>
      <c r="G5" s="7">
        <f>s_ri!G5*shock_i!$E$7</f>
        <v>6.7704389155951707</v>
      </c>
      <c r="H5" s="7">
        <f t="shared" si="0"/>
        <v>3.7000451368962901</v>
      </c>
      <c r="K5" s="8" t="s">
        <v>7</v>
      </c>
      <c r="L5" s="7">
        <f>s_ri!K5*shock_i!$E$8</f>
        <v>-0.8887228231106159</v>
      </c>
      <c r="M5" s="7">
        <f>s_ri!L5*shock_i!$E$9</f>
        <v>690.82406057869878</v>
      </c>
      <c r="N5" s="7">
        <f>s_ri!M5*shock_i!$E$10</f>
        <v>0</v>
      </c>
      <c r="O5" s="7">
        <f>s_ri!N5*shock_i!$E$11</f>
        <v>0</v>
      </c>
      <c r="P5" s="7">
        <f>s_ri!O5*shock_i!$E$12</f>
        <v>8.5295323892837019E-5</v>
      </c>
      <c r="Q5" s="7">
        <f>s_ri!P5*shock_i!$E$13</f>
        <v>0.33908021074388117</v>
      </c>
      <c r="R5" s="7">
        <f t="shared" si="1"/>
        <v>0.69027450326165596</v>
      </c>
    </row>
    <row r="6" spans="1:18" x14ac:dyDescent="0.2">
      <c r="A6" s="8" t="s">
        <v>8</v>
      </c>
      <c r="B6" s="7">
        <f>s_ri!B6*shock_i!$E$2</f>
        <v>21.236263151007449</v>
      </c>
      <c r="C6" s="7">
        <f>s_ri!C6*shock_i!$E$3</f>
        <v>4040.1235578766518</v>
      </c>
      <c r="D6" s="7">
        <f>s_ri!D6*shock_i!$E$4</f>
        <v>0</v>
      </c>
      <c r="E6" s="7">
        <f>s_ri!E6*shock_i!$E$5</f>
        <v>0</v>
      </c>
      <c r="F6" s="7">
        <f>s_ri!F6*shock_i!$E$6</f>
        <v>4.2548423474878617E-4</v>
      </c>
      <c r="G6" s="7">
        <f>s_ri!G6*shock_i!$E$7</f>
        <v>6.478933624011205</v>
      </c>
      <c r="H6" s="7">
        <f t="shared" si="0"/>
        <v>4.0678391801359046</v>
      </c>
      <c r="K6" s="8" t="s">
        <v>8</v>
      </c>
      <c r="L6" s="7">
        <f>s_ri!K6*shock_i!$E$8</f>
        <v>-1.698452492543963</v>
      </c>
      <c r="M6" s="7">
        <f>s_ri!L6*shock_i!$E$9</f>
        <v>779.34880630492751</v>
      </c>
      <c r="N6" s="7">
        <f>s_ri!M6*shock_i!$E$10</f>
        <v>0</v>
      </c>
      <c r="O6" s="7">
        <f>s_ri!N6*shock_i!$E$11</f>
        <v>0</v>
      </c>
      <c r="P6" s="7">
        <f>s_ri!O6*shock_i!$E$12</f>
        <v>8.5844946001844337E-5</v>
      </c>
      <c r="Q6" s="7">
        <f>s_ri!P6*shock_i!$E$13</f>
        <v>0.33168494099667717</v>
      </c>
      <c r="R6" s="7">
        <f t="shared" si="1"/>
        <v>0.77798212459832616</v>
      </c>
    </row>
    <row r="7" spans="1:18" x14ac:dyDescent="0.2">
      <c r="A7" s="8" t="s">
        <v>9</v>
      </c>
      <c r="B7" s="7">
        <f>s_ri!B7*shock_i!$E$2</f>
        <v>14.105037325965958</v>
      </c>
      <c r="C7" s="7">
        <f>s_ri!C7*shock_i!$E$3</f>
        <v>2676.5564806027683</v>
      </c>
      <c r="D7" s="7">
        <f>s_ri!D7*shock_i!$E$4</f>
        <v>0</v>
      </c>
      <c r="E7" s="7">
        <f>s_ri!E7*shock_i!$E$5</f>
        <v>0</v>
      </c>
      <c r="F7" s="7">
        <f>s_ri!F7*shock_i!$E$6</f>
        <v>7.9668083855147774E-4</v>
      </c>
      <c r="G7" s="7">
        <f>s_ri!G7*shock_i!$E$7</f>
        <v>7.0195591364441405</v>
      </c>
      <c r="H7" s="7">
        <f t="shared" si="0"/>
        <v>2.6976818737460166</v>
      </c>
      <c r="K7" s="8" t="s">
        <v>9</v>
      </c>
      <c r="L7" s="7">
        <f>s_ri!K7*shock_i!$E$8</f>
        <v>-1.2486402015488349</v>
      </c>
      <c r="M7" s="7">
        <f>s_ri!L7*shock_i!$E$9</f>
        <v>481.43901413209574</v>
      </c>
      <c r="N7" s="7">
        <f>s_ri!M7*shock_i!$E$10</f>
        <v>0</v>
      </c>
      <c r="O7" s="7">
        <f>s_ri!N7*shock_i!$E$11</f>
        <v>0</v>
      </c>
      <c r="P7" s="7">
        <f>s_ri!O7*shock_i!$E$12</f>
        <v>1.5743590131801573E-4</v>
      </c>
      <c r="Q7" s="7">
        <f>s_ri!P7*shock_i!$E$13</f>
        <v>0.31836611142322169</v>
      </c>
      <c r="R7" s="7">
        <f t="shared" si="1"/>
        <v>0.48050889747787146</v>
      </c>
    </row>
    <row r="8" spans="1:18" x14ac:dyDescent="0.2">
      <c r="A8" s="8" t="s">
        <v>10</v>
      </c>
      <c r="B8" s="7">
        <f>s_ri!B8*shock_i!$E$2</f>
        <v>34.001592022305118</v>
      </c>
      <c r="C8" s="7">
        <f>s_ri!C8*shock_i!$E$3</f>
        <v>3379.9299652807827</v>
      </c>
      <c r="D8" s="7">
        <f>s_ri!D8*shock_i!$E$4</f>
        <v>0</v>
      </c>
      <c r="E8" s="7">
        <f>s_ri!E8*shock_i!$E$5</f>
        <v>0</v>
      </c>
      <c r="F8" s="7">
        <f>s_ri!F8*shock_i!$E$6</f>
        <v>4.1879923360872099E-4</v>
      </c>
      <c r="G8" s="7">
        <f>s_ri!G8*shock_i!$E$7</f>
        <v>5.8607982987463014</v>
      </c>
      <c r="H8" s="7">
        <f t="shared" si="0"/>
        <v>3.4197927744010674</v>
      </c>
      <c r="K8" s="8" t="s">
        <v>10</v>
      </c>
      <c r="L8" s="7">
        <f>s_ri!K8*shock_i!$E$8</f>
        <v>-2.8470657989891022</v>
      </c>
      <c r="M8" s="7">
        <f>s_ri!L8*shock_i!$E$9</f>
        <v>657.50844953948638</v>
      </c>
      <c r="N8" s="7">
        <f>s_ri!M8*shock_i!$E$10</f>
        <v>0</v>
      </c>
      <c r="O8" s="7">
        <f>s_ri!N8*shock_i!$E$11</f>
        <v>0</v>
      </c>
      <c r="P8" s="7">
        <f>s_ri!O8*shock_i!$E$12</f>
        <v>8.8052644297675125E-5</v>
      </c>
      <c r="Q8" s="7">
        <f>s_ri!P8*shock_i!$E$13</f>
        <v>0.29654249913067482</v>
      </c>
      <c r="R8" s="7">
        <f t="shared" si="1"/>
        <v>0.65495801429227218</v>
      </c>
    </row>
    <row r="9" spans="1:18" x14ac:dyDescent="0.2">
      <c r="A9" s="8" t="s">
        <v>11</v>
      </c>
      <c r="B9" s="7">
        <f>s_ri!B9*shock_i!$E$2</f>
        <v>31.97426103457278</v>
      </c>
      <c r="C9" s="7">
        <f>s_ri!C9*shock_i!$E$3</f>
        <v>3308.1765812539879</v>
      </c>
      <c r="D9" s="7">
        <f>s_ri!D9*shock_i!$E$4</f>
        <v>0</v>
      </c>
      <c r="E9" s="7">
        <f>s_ri!E9*shock_i!$E$5</f>
        <v>0</v>
      </c>
      <c r="F9" s="7">
        <f>s_ri!F9*shock_i!$E$6</f>
        <v>3.8338845050936844E-4</v>
      </c>
      <c r="G9" s="7">
        <f>s_ri!G9*shock_i!$E$7</f>
        <v>6.6284989860678323</v>
      </c>
      <c r="H9" s="7">
        <f t="shared" si="0"/>
        <v>3.3467797246630795</v>
      </c>
      <c r="K9" s="8" t="s">
        <v>11</v>
      </c>
      <c r="L9" s="7">
        <f>s_ri!K9*shock_i!$E$8</f>
        <v>-2.1185656135414308</v>
      </c>
      <c r="M9" s="7">
        <f>s_ri!L9*shock_i!$E$9</f>
        <v>689.20856114814444</v>
      </c>
      <c r="N9" s="7">
        <f>s_ri!M9*shock_i!$E$10</f>
        <v>0</v>
      </c>
      <c r="O9" s="7">
        <f>s_ri!N9*shock_i!$E$11</f>
        <v>0</v>
      </c>
      <c r="P9" s="7">
        <f>s_ri!O9*shock_i!$E$12</f>
        <v>8.415060680701986E-5</v>
      </c>
      <c r="Q9" s="7">
        <f>s_ri!P9*shock_i!$E$13</f>
        <v>0.33756686394779856</v>
      </c>
      <c r="R9" s="7">
        <f t="shared" si="1"/>
        <v>0.68742764654915756</v>
      </c>
    </row>
    <row r="10" spans="1:18" x14ac:dyDescent="0.2">
      <c r="A10" s="8" t="s">
        <v>12</v>
      </c>
      <c r="B10" s="7">
        <f>s_ri!B10*shock_i!$E$2</f>
        <v>14.854859146322319</v>
      </c>
      <c r="C10" s="7">
        <f>s_ri!C10*shock_i!$E$3</f>
        <v>3476.8514583317087</v>
      </c>
      <c r="D10" s="7">
        <f>s_ri!D10*shock_i!$E$4</f>
        <v>0</v>
      </c>
      <c r="E10" s="7">
        <f>s_ri!E10*shock_i!$E$5</f>
        <v>0</v>
      </c>
      <c r="F10" s="7">
        <f>s_ri!F10*shock_i!$E$6</f>
        <v>4.568285788693227E-4</v>
      </c>
      <c r="G10" s="7">
        <f>s_ri!G10*shock_i!$E$7</f>
        <v>6.6494548201497761</v>
      </c>
      <c r="H10" s="7">
        <f t="shared" si="0"/>
        <v>3.49835622912676</v>
      </c>
      <c r="K10" s="8" t="s">
        <v>12</v>
      </c>
      <c r="L10" s="7">
        <f>s_ri!K10*shock_i!$E$8</f>
        <v>-1.4292833921598822</v>
      </c>
      <c r="M10" s="7">
        <f>s_ri!L10*shock_i!$E$9</f>
        <v>701.12672692175408</v>
      </c>
      <c r="N10" s="7">
        <f>s_ri!M10*shock_i!$E$10</f>
        <v>0</v>
      </c>
      <c r="O10" s="7">
        <f>s_ri!N10*shock_i!$E$11</f>
        <v>0</v>
      </c>
      <c r="P10" s="7">
        <f>s_ri!O10*shock_i!$E$12</f>
        <v>9.5023159344807112E-5</v>
      </c>
      <c r="Q10" s="7">
        <f>s_ri!P10*shock_i!$E$13</f>
        <v>0.32887224845603996</v>
      </c>
      <c r="R10" s="7">
        <f t="shared" si="1"/>
        <v>0.70002641080120964</v>
      </c>
    </row>
    <row r="11" spans="1:18" x14ac:dyDescent="0.2">
      <c r="A11" s="8" t="s">
        <v>13</v>
      </c>
      <c r="B11" s="7">
        <f>s_ri!B11*shock_i!$E$2</f>
        <v>23.251375579586135</v>
      </c>
      <c r="C11" s="7">
        <f>s_ri!C11*shock_i!$E$3</f>
        <v>3452.2488311138336</v>
      </c>
      <c r="D11" s="7">
        <f>s_ri!D11*shock_i!$E$4</f>
        <v>0</v>
      </c>
      <c r="E11" s="7">
        <f>s_ri!E11*shock_i!$E$5</f>
        <v>0</v>
      </c>
      <c r="F11" s="7">
        <f>s_ri!F11*shock_i!$E$6</f>
        <v>5.7594883115828831E-4</v>
      </c>
      <c r="G11" s="7">
        <f>s_ri!G11*shock_i!$E$7</f>
        <v>5.9176462532449321</v>
      </c>
      <c r="H11" s="7">
        <f t="shared" si="0"/>
        <v>3.4814184288954961</v>
      </c>
      <c r="K11" s="8" t="s">
        <v>13</v>
      </c>
      <c r="L11" s="7">
        <f>s_ri!K11*shock_i!$E$8</f>
        <v>-1.1455020252851653</v>
      </c>
      <c r="M11" s="7">
        <f>s_ri!L11*shock_i!$E$9</f>
        <v>629.6813678664696</v>
      </c>
      <c r="N11" s="7">
        <f>s_ri!M11*shock_i!$E$10</f>
        <v>0</v>
      </c>
      <c r="O11" s="7">
        <f>s_ri!N11*shock_i!$E$11</f>
        <v>0</v>
      </c>
      <c r="P11" s="7">
        <f>s_ri!O11*shock_i!$E$12</f>
        <v>1.135575129072586E-4</v>
      </c>
      <c r="Q11" s="7">
        <f>s_ri!P11*shock_i!$E$13</f>
        <v>0.32315921060012859</v>
      </c>
      <c r="R11" s="7">
        <f t="shared" si="1"/>
        <v>0.62885913860929743</v>
      </c>
    </row>
    <row r="12" spans="1:18" x14ac:dyDescent="0.2">
      <c r="A12" s="8" t="s">
        <v>14</v>
      </c>
      <c r="B12" s="7">
        <f>s_ri!B12*shock_i!$E$2</f>
        <v>14.08757833784613</v>
      </c>
      <c r="C12" s="7">
        <f>s_ri!C12*shock_i!$E$3</f>
        <v>3449.5383299488713</v>
      </c>
      <c r="D12" s="7">
        <f>s_ri!D12*shock_i!$E$4</f>
        <v>0</v>
      </c>
      <c r="E12" s="7">
        <f>s_ri!E12*shock_i!$E$5</f>
        <v>0</v>
      </c>
      <c r="F12" s="7">
        <f>s_ri!F12*shock_i!$E$6</f>
        <v>4.2592173602936929E-4</v>
      </c>
      <c r="G12" s="7">
        <f>s_ri!G12*shock_i!$E$7</f>
        <v>6.9327155894550225</v>
      </c>
      <c r="H12" s="7">
        <f t="shared" si="0"/>
        <v>3.4705590497979082</v>
      </c>
      <c r="K12" s="8" t="s">
        <v>14</v>
      </c>
      <c r="L12" s="7">
        <f>s_ri!K12*shock_i!$E$8</f>
        <v>-1.2967267731782772</v>
      </c>
      <c r="M12" s="7">
        <f>s_ri!L12*shock_i!$E$9</f>
        <v>648.67949232956062</v>
      </c>
      <c r="N12" s="7">
        <f>s_ri!M12*shock_i!$E$10</f>
        <v>0</v>
      </c>
      <c r="O12" s="7">
        <f>s_ri!N12*shock_i!$E$11</f>
        <v>0</v>
      </c>
      <c r="P12" s="7">
        <f>s_ri!O12*shock_i!$E$12</f>
        <v>9.0833081173658984E-5</v>
      </c>
      <c r="Q12" s="7">
        <f>s_ri!P12*shock_i!$E$13</f>
        <v>0.34310984191980631</v>
      </c>
      <c r="R12" s="7">
        <f t="shared" si="1"/>
        <v>0.64772596623138323</v>
      </c>
    </row>
    <row r="13" spans="1:18" x14ac:dyDescent="0.2">
      <c r="A13" s="8" t="s">
        <v>15</v>
      </c>
      <c r="B13" s="7">
        <f>s_ri!B13*shock_i!$E$2</f>
        <v>21.808215543645794</v>
      </c>
      <c r="C13" s="7">
        <f>s_ri!C13*shock_i!$E$3</f>
        <v>3489.2687849686076</v>
      </c>
      <c r="D13" s="7">
        <f>s_ri!D13*shock_i!$E$4</f>
        <v>0</v>
      </c>
      <c r="E13" s="7">
        <f>s_ri!E13*shock_i!$E$5</f>
        <v>0</v>
      </c>
      <c r="F13" s="7">
        <f>s_ri!F13*shock_i!$E$6</f>
        <v>4.5215945839686402E-4</v>
      </c>
      <c r="G13" s="7">
        <f>s_ri!G13*shock_i!$E$7</f>
        <v>6.488643343911062</v>
      </c>
      <c r="H13" s="7">
        <f t="shared" si="0"/>
        <v>3.517566096015623</v>
      </c>
      <c r="K13" s="8" t="s">
        <v>15</v>
      </c>
      <c r="L13" s="7">
        <f>s_ri!K13*shock_i!$E$8</f>
        <v>-1.8621610481374096</v>
      </c>
      <c r="M13" s="7">
        <f>s_ri!L13*shock_i!$E$9</f>
        <v>686.24341359886625</v>
      </c>
      <c r="N13" s="7">
        <f>s_ri!M13*shock_i!$E$10</f>
        <v>0</v>
      </c>
      <c r="O13" s="7">
        <f>s_ri!N13*shock_i!$E$11</f>
        <v>0</v>
      </c>
      <c r="P13" s="7">
        <f>s_ri!O13*shock_i!$E$12</f>
        <v>9.7726358328347848E-5</v>
      </c>
      <c r="Q13" s="7">
        <f>s_ri!P13*shock_i!$E$13</f>
        <v>0.302128030563732</v>
      </c>
      <c r="R13" s="7">
        <f t="shared" si="1"/>
        <v>0.68468347830765097</v>
      </c>
    </row>
    <row r="14" spans="1:18" x14ac:dyDescent="0.2">
      <c r="A14" s="8" t="s">
        <v>16</v>
      </c>
      <c r="B14" s="7">
        <f>s_ri!B14*shock_i!$E$2</f>
        <v>4.1663456560994945</v>
      </c>
      <c r="C14" s="7">
        <f>s_ri!C14*shock_i!$E$3</f>
        <v>1587.1617979202417</v>
      </c>
      <c r="D14" s="7">
        <f>s_ri!D14*shock_i!$E$4</f>
        <v>0</v>
      </c>
      <c r="E14" s="7">
        <f>s_ri!E14*shock_i!$E$5</f>
        <v>0</v>
      </c>
      <c r="F14" s="7">
        <f>s_ri!F14*shock_i!$E$6</f>
        <v>7.8024983411248872E-4</v>
      </c>
      <c r="G14" s="7">
        <f>s_ri!G14*shock_i!$E$7</f>
        <v>9.5403617526528812</v>
      </c>
      <c r="H14" s="7">
        <f t="shared" si="0"/>
        <v>1.6008692855788282</v>
      </c>
      <c r="K14" s="8" t="s">
        <v>16</v>
      </c>
      <c r="L14" s="7">
        <f>s_ri!K14*shock_i!$E$8</f>
        <v>0</v>
      </c>
      <c r="M14" s="7">
        <f>s_ri!L14*shock_i!$E$9</f>
        <v>225.49313930314258</v>
      </c>
      <c r="N14" s="7">
        <f>s_ri!M14*shock_i!$E$10</f>
        <v>0</v>
      </c>
      <c r="O14" s="7">
        <f>s_ri!N14*shock_i!$E$11</f>
        <v>0</v>
      </c>
      <c r="P14" s="7">
        <f>s_ri!O14*shock_i!$E$12</f>
        <v>1.6421434033032735E-4</v>
      </c>
      <c r="Q14" s="7">
        <f>s_ri!P14*shock_i!$E$13</f>
        <v>0.42074097355662426</v>
      </c>
      <c r="R14" s="7">
        <f t="shared" si="1"/>
        <v>0.22591404449103955</v>
      </c>
    </row>
    <row r="15" spans="1:18" x14ac:dyDescent="0.2">
      <c r="A15" s="8" t="s">
        <v>17</v>
      </c>
      <c r="B15" s="7">
        <f>s_ri!B15*shock_i!$E$2</f>
        <v>28.511040067689901</v>
      </c>
      <c r="C15" s="7">
        <f>s_ri!C15*shock_i!$E$3</f>
        <v>1684.4027847613265</v>
      </c>
      <c r="D15" s="7">
        <f>s_ri!D15*shock_i!$E$4</f>
        <v>0</v>
      </c>
      <c r="E15" s="7">
        <f>s_ri!E15*shock_i!$E$5</f>
        <v>0</v>
      </c>
      <c r="F15" s="7">
        <f>s_ri!F15*shock_i!$E$6</f>
        <v>4.2432873672188399E-4</v>
      </c>
      <c r="G15" s="7">
        <f>s_ri!G15*shock_i!$E$7</f>
        <v>8.0462567807544705</v>
      </c>
      <c r="H15" s="7">
        <f t="shared" si="0"/>
        <v>1.7209605059385076</v>
      </c>
      <c r="K15" s="8" t="s">
        <v>17</v>
      </c>
      <c r="L15" s="7">
        <f>s_ri!K15*shock_i!$E$8</f>
        <v>-1.8668499184188196</v>
      </c>
      <c r="M15" s="7">
        <f>s_ri!L15*shock_i!$E$9</f>
        <v>364.58694457137437</v>
      </c>
      <c r="N15" s="7">
        <f>s_ri!M15*shock_i!$E$10</f>
        <v>0</v>
      </c>
      <c r="O15" s="7">
        <f>s_ri!N15*shock_i!$E$11</f>
        <v>0</v>
      </c>
      <c r="P15" s="7">
        <f>s_ri!O15*shock_i!$E$12</f>
        <v>1.2471081169163558E-4</v>
      </c>
      <c r="Q15" s="7">
        <f>s_ri!P15*shock_i!$E$13</f>
        <v>0.38089670768664047</v>
      </c>
      <c r="R15" s="7">
        <f t="shared" si="1"/>
        <v>0.3631011160714539</v>
      </c>
    </row>
    <row r="16" spans="1:18" x14ac:dyDescent="0.2">
      <c r="A16" s="8" t="s">
        <v>18</v>
      </c>
      <c r="B16" s="7">
        <f>s_ri!B16*shock_i!$E$2</f>
        <v>0</v>
      </c>
      <c r="C16" s="7">
        <f>s_ri!C16*shock_i!$E$3</f>
        <v>2318.1878350321681</v>
      </c>
      <c r="D16" s="7">
        <f>s_ri!D16*shock_i!$E$4</f>
        <v>0</v>
      </c>
      <c r="E16" s="7">
        <f>s_ri!E16*shock_i!$E$5</f>
        <v>0</v>
      </c>
      <c r="F16" s="7">
        <f>s_ri!F16*shock_i!$E$6</f>
        <v>5.5391081191922197E-4</v>
      </c>
      <c r="G16" s="7">
        <f>s_ri!G16*shock_i!$E$7</f>
        <v>7.6639059256448894</v>
      </c>
      <c r="H16" s="7">
        <f t="shared" si="0"/>
        <v>2.3258522948686249</v>
      </c>
      <c r="K16" s="8" t="s">
        <v>18</v>
      </c>
      <c r="L16" s="7">
        <f>s_ri!K16*shock_i!$E$8</f>
        <v>0</v>
      </c>
      <c r="M16" s="7">
        <f>s_ri!L16*shock_i!$E$9</f>
        <v>368.38445820692249</v>
      </c>
      <c r="N16" s="7">
        <f>s_ri!M16*shock_i!$E$10</f>
        <v>0</v>
      </c>
      <c r="O16" s="7">
        <f>s_ri!N16*shock_i!$E$11</f>
        <v>0</v>
      </c>
      <c r="P16" s="7">
        <f>s_ri!O16*shock_i!$E$12</f>
        <v>1.3134442200861353E-4</v>
      </c>
      <c r="Q16" s="7">
        <f>s_ri!P16*shock_i!$E$13</f>
        <v>0.37341006083854716</v>
      </c>
      <c r="R16" s="7">
        <f t="shared" si="1"/>
        <v>0.36875799961218303</v>
      </c>
    </row>
    <row r="17" spans="1:18" x14ac:dyDescent="0.2">
      <c r="A17" s="8" t="s">
        <v>19</v>
      </c>
      <c r="B17" s="7">
        <f>s_ri!B17*shock_i!$E$2</f>
        <v>0</v>
      </c>
      <c r="C17" s="7">
        <f>s_ri!C17*shock_i!$E$3</f>
        <v>1827.6309082066093</v>
      </c>
      <c r="D17" s="7">
        <f>s_ri!D17*shock_i!$E$4</f>
        <v>0</v>
      </c>
      <c r="E17" s="7">
        <f>s_ri!E17*shock_i!$E$5</f>
        <v>0</v>
      </c>
      <c r="F17" s="7">
        <f>s_ri!F17*shock_i!$E$6</f>
        <v>8.5964960649562692E-4</v>
      </c>
      <c r="G17" s="7">
        <f>s_ri!G17*shock_i!$E$7</f>
        <v>7.3949104539373591</v>
      </c>
      <c r="H17" s="7">
        <f t="shared" si="0"/>
        <v>1.8350266783101534</v>
      </c>
      <c r="K17" s="8" t="s">
        <v>19</v>
      </c>
      <c r="L17" s="7">
        <f>s_ri!K17*shock_i!$E$8</f>
        <v>0</v>
      </c>
      <c r="M17" s="7">
        <f>s_ri!L17*shock_i!$E$9</f>
        <v>274.48164312659014</v>
      </c>
      <c r="N17" s="7">
        <f>s_ri!M17*shock_i!$E$10</f>
        <v>0</v>
      </c>
      <c r="O17" s="7">
        <f>s_ri!N17*shock_i!$E$11</f>
        <v>0</v>
      </c>
      <c r="P17" s="7">
        <f>s_ri!O17*shock_i!$E$12</f>
        <v>1.8232046946600202E-4</v>
      </c>
      <c r="Q17" s="7">
        <f>s_ri!P17*shock_i!$E$13</f>
        <v>0.34733429557792384</v>
      </c>
      <c r="R17" s="7">
        <f t="shared" si="1"/>
        <v>0.27482915974263755</v>
      </c>
    </row>
    <row r="18" spans="1:18" x14ac:dyDescent="0.2">
      <c r="A18" s="8" t="s">
        <v>20</v>
      </c>
      <c r="B18" s="7">
        <f>s_ri!B18*shock_i!$E$2</f>
        <v>5.6453477386304574</v>
      </c>
      <c r="C18" s="7">
        <f>s_ri!C18*shock_i!$E$3</f>
        <v>2595.6800995121812</v>
      </c>
      <c r="D18" s="7">
        <f>s_ri!D18*shock_i!$E$4</f>
        <v>0</v>
      </c>
      <c r="E18" s="7">
        <f>s_ri!E18*shock_i!$E$5</f>
        <v>0</v>
      </c>
      <c r="F18" s="7">
        <f>s_ri!F18*shock_i!$E$6</f>
        <v>8.2964595716460935E-4</v>
      </c>
      <c r="G18" s="7">
        <f>s_ri!G18*shock_i!$E$7</f>
        <v>6.8131223500382996</v>
      </c>
      <c r="H18" s="7">
        <f t="shared" si="0"/>
        <v>2.6081393992468072</v>
      </c>
      <c r="K18" s="8" t="s">
        <v>20</v>
      </c>
      <c r="L18" s="7">
        <f>s_ri!K18*shock_i!$E$8</f>
        <v>-0.6336727731403482</v>
      </c>
      <c r="M18" s="7">
        <f>s_ri!L18*shock_i!$E$9</f>
        <v>434.32566868201252</v>
      </c>
      <c r="N18" s="7">
        <f>s_ri!M18*shock_i!$E$10</f>
        <v>0</v>
      </c>
      <c r="O18" s="7">
        <f>s_ri!N18*shock_i!$E$11</f>
        <v>0</v>
      </c>
      <c r="P18" s="7">
        <f>s_ri!O18*shock_i!$E$12</f>
        <v>1.7675692128787924E-4</v>
      </c>
      <c r="Q18" s="7">
        <f>s_ri!P18*shock_i!$E$13</f>
        <v>0.31350761624930412</v>
      </c>
      <c r="R18" s="7">
        <f t="shared" si="1"/>
        <v>0.43400568028204278</v>
      </c>
    </row>
    <row r="19" spans="1:18" x14ac:dyDescent="0.2">
      <c r="A19" s="8" t="s">
        <v>21</v>
      </c>
      <c r="B19" s="7">
        <f>s_ri!B19*shock_i!$E$2</f>
        <v>11.638370099204009</v>
      </c>
      <c r="C19" s="7">
        <f>s_ri!C19*shock_i!$E$3</f>
        <v>3220.5713520036779</v>
      </c>
      <c r="D19" s="7">
        <f>s_ri!D19*shock_i!$E$4</f>
        <v>0</v>
      </c>
      <c r="E19" s="7">
        <f>s_ri!E19*shock_i!$E$5</f>
        <v>0</v>
      </c>
      <c r="F19" s="7">
        <f>s_ri!F19*shock_i!$E$6</f>
        <v>4.4525343968691952E-4</v>
      </c>
      <c r="G19" s="7">
        <f>s_ri!G19*shock_i!$E$7</f>
        <v>7.5978248770989492</v>
      </c>
      <c r="H19" s="7">
        <f t="shared" si="0"/>
        <v>3.2398079922334206</v>
      </c>
      <c r="K19" s="8" t="s">
        <v>21</v>
      </c>
      <c r="L19" s="7">
        <f>s_ri!K19*shock_i!$E$8</f>
        <v>0</v>
      </c>
      <c r="M19" s="7">
        <f>s_ri!L19*shock_i!$E$9</f>
        <v>609.08619304003309</v>
      </c>
      <c r="N19" s="7">
        <f>s_ri!M19*shock_i!$E$10</f>
        <v>0</v>
      </c>
      <c r="O19" s="7">
        <f>s_ri!N19*shock_i!$E$11</f>
        <v>0</v>
      </c>
      <c r="P19" s="7">
        <f>s_ri!O19*shock_i!$E$12</f>
        <v>9.6857272424770389E-5</v>
      </c>
      <c r="Q19" s="7">
        <f>s_ri!P19*shock_i!$E$13</f>
        <v>0.39110438985227175</v>
      </c>
      <c r="R19" s="7">
        <f t="shared" si="1"/>
        <v>0.60947739428715775</v>
      </c>
    </row>
    <row r="20" spans="1:18" x14ac:dyDescent="0.2">
      <c r="A20" s="8" t="s">
        <v>22</v>
      </c>
      <c r="B20" s="7">
        <f>s_ri!B20*shock_i!$E$2</f>
        <v>15.398894900547981</v>
      </c>
      <c r="C20" s="7">
        <f>s_ri!C20*shock_i!$E$3</f>
        <v>3002.1076380473428</v>
      </c>
      <c r="D20" s="7">
        <f>s_ri!D20*shock_i!$E$4</f>
        <v>0</v>
      </c>
      <c r="E20" s="7">
        <f>s_ri!E20*shock_i!$E$5</f>
        <v>0</v>
      </c>
      <c r="F20" s="7">
        <f>s_ri!F20*shock_i!$E$6</f>
        <v>3.9724155188880863E-4</v>
      </c>
      <c r="G20" s="7">
        <f>s_ri!G20*shock_i!$E$7</f>
        <v>7.5407691948132944</v>
      </c>
      <c r="H20" s="7">
        <f t="shared" si="0"/>
        <v>3.0250476993842561</v>
      </c>
      <c r="K20" s="8" t="s">
        <v>22</v>
      </c>
      <c r="L20" s="7">
        <f>s_ri!K20*shock_i!$E$8</f>
        <v>-0.96155579652447531</v>
      </c>
      <c r="M20" s="7">
        <f>s_ri!L20*shock_i!$E$9</f>
        <v>552.79557019069671</v>
      </c>
      <c r="N20" s="7">
        <f>s_ri!M20*shock_i!$E$10</f>
        <v>0</v>
      </c>
      <c r="O20" s="7">
        <f>s_ri!N20*shock_i!$E$11</f>
        <v>0</v>
      </c>
      <c r="P20" s="7">
        <f>s_ri!O20*shock_i!$E$12</f>
        <v>9.5719266926604825E-5</v>
      </c>
      <c r="Q20" s="7">
        <f>s_ri!P20*shock_i!$E$13</f>
        <v>0.38004321823090076</v>
      </c>
      <c r="R20" s="7">
        <f t="shared" si="1"/>
        <v>0.55221415333167001</v>
      </c>
    </row>
    <row r="21" spans="1:18" x14ac:dyDescent="0.2">
      <c r="A21" s="8" t="s">
        <v>23</v>
      </c>
      <c r="B21" s="7">
        <f>s_ri!B21*shock_i!$E$2</f>
        <v>35.570307499968877</v>
      </c>
      <c r="C21" s="7">
        <f>s_ri!C21*shock_i!$E$3</f>
        <v>1197.1154125551923</v>
      </c>
      <c r="D21" s="7">
        <f>s_ri!D21*shock_i!$E$4</f>
        <v>0</v>
      </c>
      <c r="E21" s="7">
        <f>s_ri!E21*shock_i!$E$5</f>
        <v>0</v>
      </c>
      <c r="F21" s="7">
        <f>s_ri!F21*shock_i!$E$6</f>
        <v>3.0192689555412705E-4</v>
      </c>
      <c r="G21" s="7">
        <f>s_ri!G21*shock_i!$E$7</f>
        <v>8.8962669731750026</v>
      </c>
      <c r="H21" s="7">
        <f t="shared" si="0"/>
        <v>1.2415822889552319</v>
      </c>
      <c r="K21" s="8" t="s">
        <v>23</v>
      </c>
      <c r="L21" s="7">
        <f>s_ri!K21*shock_i!$E$8</f>
        <v>-2.9741254720324353</v>
      </c>
      <c r="M21" s="7">
        <f>s_ri!L21*shock_i!$E$9</f>
        <v>341.26164033993632</v>
      </c>
      <c r="N21" s="7">
        <f>s_ri!M21*shock_i!$E$10</f>
        <v>0</v>
      </c>
      <c r="O21" s="7">
        <f>s_ri!N21*shock_i!$E$11</f>
        <v>0</v>
      </c>
      <c r="P21" s="7">
        <f>s_ri!O21*shock_i!$E$12</f>
        <v>1.1406591684464411E-4</v>
      </c>
      <c r="Q21" s="7">
        <f>s_ri!P21*shock_i!$E$13</f>
        <v>0.35685662683860764</v>
      </c>
      <c r="R21" s="7">
        <f t="shared" si="1"/>
        <v>0.33864448556065935</v>
      </c>
    </row>
    <row r="22" spans="1:18" x14ac:dyDescent="0.2">
      <c r="A22" s="8" t="s">
        <v>24</v>
      </c>
      <c r="B22" s="7">
        <f>s_ri!B22*shock_i!$E$2</f>
        <v>11.923749969422682</v>
      </c>
      <c r="C22" s="7">
        <f>s_ri!C22*shock_i!$E$3</f>
        <v>3537.0477776607281</v>
      </c>
      <c r="D22" s="7">
        <f>s_ri!D22*shock_i!$E$4</f>
        <v>0</v>
      </c>
      <c r="E22" s="7">
        <f>s_ri!E22*shock_i!$E$5</f>
        <v>0</v>
      </c>
      <c r="F22" s="7">
        <f>s_ri!F22*shock_i!$E$6</f>
        <v>4.7291516965674055E-4</v>
      </c>
      <c r="G22" s="7">
        <f>s_ri!G22*shock_i!$E$7</f>
        <v>7.3011308266259975</v>
      </c>
      <c r="H22" s="7">
        <f t="shared" si="0"/>
        <v>3.5562731313719462</v>
      </c>
      <c r="K22" s="8" t="s">
        <v>24</v>
      </c>
      <c r="L22" s="7">
        <f>s_ri!K22*shock_i!$E$8</f>
        <v>-1.2267889057190149</v>
      </c>
      <c r="M22" s="7">
        <f>s_ri!L22*shock_i!$E$9</f>
        <v>624.84505180539134</v>
      </c>
      <c r="N22" s="7">
        <f>s_ri!M22*shock_i!$E$10</f>
        <v>0</v>
      </c>
      <c r="O22" s="7">
        <f>s_ri!N22*shock_i!$E$11</f>
        <v>0</v>
      </c>
      <c r="P22" s="7">
        <f>s_ri!O22*shock_i!$E$12</f>
        <v>1.1422027178167785E-4</v>
      </c>
      <c r="Q22" s="7">
        <f>s_ri!P22*shock_i!$E$13</f>
        <v>0.3654692583645322</v>
      </c>
      <c r="R22" s="7">
        <f t="shared" si="1"/>
        <v>0.62398384637830873</v>
      </c>
    </row>
    <row r="23" spans="1:18" x14ac:dyDescent="0.2">
      <c r="A23" s="8" t="s">
        <v>25</v>
      </c>
      <c r="B23" s="7">
        <f>s_ri!B23*shock_i!$E$2</f>
        <v>10.826998579580007</v>
      </c>
      <c r="C23" s="7">
        <f>s_ri!C23*shock_i!$E$3</f>
        <v>2667.9663105660957</v>
      </c>
      <c r="D23" s="7">
        <f>s_ri!D23*shock_i!$E$4</f>
        <v>0</v>
      </c>
      <c r="E23" s="7">
        <f>s_ri!E23*shock_i!$E$5</f>
        <v>0</v>
      </c>
      <c r="F23" s="7">
        <f>s_ri!F23*shock_i!$E$6</f>
        <v>5.5703379641986665E-4</v>
      </c>
      <c r="G23" s="7">
        <f>s_ri!G23*shock_i!$E$7</f>
        <v>7.4668043858887687</v>
      </c>
      <c r="H23" s="7">
        <f t="shared" si="0"/>
        <v>2.6862606705653609</v>
      </c>
      <c r="K23" s="8" t="s">
        <v>25</v>
      </c>
      <c r="L23" s="7">
        <f>s_ri!K23*shock_i!$E$8</f>
        <v>-1.0943808329560119</v>
      </c>
      <c r="M23" s="7">
        <f>s_ri!L23*shock_i!$E$9</f>
        <v>438.6904906504214</v>
      </c>
      <c r="N23" s="7">
        <f>s_ri!M23*shock_i!$E$10</f>
        <v>0</v>
      </c>
      <c r="O23" s="7">
        <f>s_ri!N23*shock_i!$E$11</f>
        <v>0</v>
      </c>
      <c r="P23" s="7">
        <f>s_ri!O23*shock_i!$E$12</f>
        <v>1.2699316693717008E-4</v>
      </c>
      <c r="Q23" s="7">
        <f>s_ri!P23*shock_i!$E$13</f>
        <v>0.38791737039915231</v>
      </c>
      <c r="R23" s="7">
        <f t="shared" si="1"/>
        <v>0.43798415418103148</v>
      </c>
    </row>
    <row r="24" spans="1:18" x14ac:dyDescent="0.2">
      <c r="A24" s="8" t="s">
        <v>26</v>
      </c>
      <c r="B24" s="7">
        <f>s_ri!B24*shock_i!$E$2</f>
        <v>24.760950553977477</v>
      </c>
      <c r="C24" s="7">
        <f>s_ri!C24*shock_i!$E$3</f>
        <v>2173.1927002502625</v>
      </c>
      <c r="D24" s="7">
        <f>s_ri!D24*shock_i!$E$4</f>
        <v>0</v>
      </c>
      <c r="E24" s="7">
        <f>s_ri!E24*shock_i!$E$5</f>
        <v>0</v>
      </c>
      <c r="F24" s="7">
        <f>s_ri!F24*shock_i!$E$6</f>
        <v>4.9307870125102739E-4</v>
      </c>
      <c r="G24" s="7">
        <f>s_ri!G24*shock_i!$E$7</f>
        <v>7.7777275729229736</v>
      </c>
      <c r="H24" s="7">
        <f t="shared" si="0"/>
        <v>2.2057318714558645</v>
      </c>
      <c r="K24" s="8" t="s">
        <v>26</v>
      </c>
      <c r="L24" s="7">
        <f>s_ri!K24*shock_i!$E$8</f>
        <v>-2.9839430833155407</v>
      </c>
      <c r="M24" s="7">
        <f>s_ri!L24*shock_i!$E$9</f>
        <v>407.94553961084222</v>
      </c>
      <c r="N24" s="7">
        <f>s_ri!M24*shock_i!$E$10</f>
        <v>0</v>
      </c>
      <c r="O24" s="7">
        <f>s_ri!N24*shock_i!$E$11</f>
        <v>0</v>
      </c>
      <c r="P24" s="7">
        <f>s_ri!O24*shock_i!$E$12</f>
        <v>1.0043402246270533E-4</v>
      </c>
      <c r="Q24" s="7">
        <f>s_ri!P24*shock_i!$E$13</f>
        <v>0.36331608335373339</v>
      </c>
      <c r="R24" s="7">
        <f t="shared" si="1"/>
        <v>0.40532501304490287</v>
      </c>
    </row>
    <row r="25" spans="1:18" x14ac:dyDescent="0.2">
      <c r="A25" s="8" t="s">
        <v>27</v>
      </c>
      <c r="B25" s="7">
        <f>s_ri!B25*shock_i!$E$2</f>
        <v>32.232074765304993</v>
      </c>
      <c r="C25" s="7">
        <f>s_ri!C25*shock_i!$E$3</f>
        <v>2660.3189007031237</v>
      </c>
      <c r="D25" s="7">
        <f>s_ri!D25*shock_i!$E$4</f>
        <v>0</v>
      </c>
      <c r="E25" s="7">
        <f>s_ri!E25*shock_i!$E$5</f>
        <v>0</v>
      </c>
      <c r="F25" s="7">
        <f>s_ri!F25*shock_i!$E$6</f>
        <v>3.8117423135018968E-4</v>
      </c>
      <c r="G25" s="7">
        <f>s_ri!G25*shock_i!$E$7</f>
        <v>7.5985510745339795</v>
      </c>
      <c r="H25" s="7">
        <f t="shared" si="0"/>
        <v>2.700149907717194</v>
      </c>
      <c r="K25" s="8" t="s">
        <v>27</v>
      </c>
      <c r="L25" s="7">
        <f>s_ri!K25*shock_i!$E$8</f>
        <v>-2.7714532993818524</v>
      </c>
      <c r="M25" s="7">
        <f>s_ri!L25*shock_i!$E$9</f>
        <v>510.98041000218376</v>
      </c>
      <c r="N25" s="7">
        <f>s_ri!M25*shock_i!$E$10</f>
        <v>0</v>
      </c>
      <c r="O25" s="7">
        <f>s_ri!N25*shock_i!$E$11</f>
        <v>0</v>
      </c>
      <c r="P25" s="7">
        <f>s_ri!O25*shock_i!$E$12</f>
        <v>8.8946707427320511E-5</v>
      </c>
      <c r="Q25" s="7">
        <f>s_ri!P25*shock_i!$E$13</f>
        <v>0.3587480009944643</v>
      </c>
      <c r="R25" s="7">
        <f t="shared" si="1"/>
        <v>0.50856779365050375</v>
      </c>
    </row>
    <row r="26" spans="1:18" x14ac:dyDescent="0.2">
      <c r="A26" s="8" t="s">
        <v>28</v>
      </c>
      <c r="B26" s="7">
        <f>s_ri!B26*shock_i!$E$2</f>
        <v>7.6847553124745396</v>
      </c>
      <c r="C26" s="7">
        <f>s_ri!C26*shock_i!$E$3</f>
        <v>2923.0770489817701</v>
      </c>
      <c r="D26" s="7">
        <f>s_ri!D26*shock_i!$E$4</f>
        <v>0</v>
      </c>
      <c r="E26" s="7">
        <f>s_ri!E26*shock_i!$E$5</f>
        <v>0</v>
      </c>
      <c r="F26" s="7">
        <f>s_ri!F26*shock_i!$E$6</f>
        <v>5.8112026421603617E-4</v>
      </c>
      <c r="G26" s="7">
        <f>s_ri!G26*shock_i!$E$7</f>
        <v>7.1070431845408564</v>
      </c>
      <c r="H26" s="7">
        <f t="shared" si="0"/>
        <v>2.9378694285990496</v>
      </c>
      <c r="K26" s="8" t="s">
        <v>28</v>
      </c>
      <c r="L26" s="7">
        <f>s_ri!K26*shock_i!$E$8</f>
        <v>-0.35048028045646057</v>
      </c>
      <c r="M26" s="7">
        <f>s_ri!L26*shock_i!$E$9</f>
        <v>489.68100764180775</v>
      </c>
      <c r="N26" s="7">
        <f>s_ri!M26*shock_i!$E$10</f>
        <v>0</v>
      </c>
      <c r="O26" s="7">
        <f>s_ri!N26*shock_i!$E$11</f>
        <v>0</v>
      </c>
      <c r="P26" s="7">
        <f>s_ri!O26*shock_i!$E$12</f>
        <v>1.3577205073347259E-4</v>
      </c>
      <c r="Q26" s="7">
        <f>s_ri!P26*shock_i!$E$13</f>
        <v>0.34116627511004977</v>
      </c>
      <c r="R26" s="7">
        <f t="shared" si="1"/>
        <v>0.48967182940851206</v>
      </c>
    </row>
    <row r="27" spans="1:18" x14ac:dyDescent="0.2">
      <c r="A27" s="8" t="s">
        <v>29</v>
      </c>
      <c r="B27" s="7">
        <f>s_ri!B27*shock_i!$E$2</f>
        <v>7.7163584575873534</v>
      </c>
      <c r="C27" s="7">
        <f>s_ri!C27*shock_i!$E$3</f>
        <v>2656.493294036974</v>
      </c>
      <c r="D27" s="7">
        <f>s_ri!D27*shock_i!$E$4</f>
        <v>0</v>
      </c>
      <c r="E27" s="7">
        <f>s_ri!E27*shock_i!$E$5</f>
        <v>0</v>
      </c>
      <c r="F27" s="7">
        <f>s_ri!F27*shock_i!$E$6</f>
        <v>6.121918492612723E-4</v>
      </c>
      <c r="G27" s="7">
        <f>s_ri!G27*shock_i!$E$7</f>
        <v>8.0689245515136676</v>
      </c>
      <c r="H27" s="7">
        <f t="shared" si="0"/>
        <v>2.6722791892379241</v>
      </c>
      <c r="K27" s="8" t="s">
        <v>29</v>
      </c>
      <c r="L27" s="7">
        <f>s_ri!K27*shock_i!$E$8</f>
        <v>-0.51246163641078391</v>
      </c>
      <c r="M27" s="7">
        <f>s_ri!L27*shock_i!$E$9</f>
        <v>447.99457152988407</v>
      </c>
      <c r="N27" s="7">
        <f>s_ri!M27*shock_i!$E$10</f>
        <v>0</v>
      </c>
      <c r="O27" s="7">
        <f>s_ri!N27*shock_i!$E$11</f>
        <v>0</v>
      </c>
      <c r="P27" s="7">
        <f>s_ri!O27*shock_i!$E$12</f>
        <v>1.4431383201531073E-4</v>
      </c>
      <c r="Q27" s="7">
        <f>s_ri!P27*shock_i!$E$13</f>
        <v>0.37641282603048548</v>
      </c>
      <c r="R27" s="7">
        <f t="shared" si="1"/>
        <v>0.44785866703333582</v>
      </c>
    </row>
    <row r="28" spans="1:18" x14ac:dyDescent="0.2">
      <c r="A28" s="8" t="s">
        <v>30</v>
      </c>
      <c r="B28" s="7">
        <f>s_ri!B28*shock_i!$E$2</f>
        <v>14.679910739590726</v>
      </c>
      <c r="C28" s="7">
        <f>s_ri!C28*shock_i!$E$3</f>
        <v>3018.7426838343108</v>
      </c>
      <c r="D28" s="7">
        <f>s_ri!D28*shock_i!$E$4</f>
        <v>0</v>
      </c>
      <c r="E28" s="7">
        <f>s_ri!E28*shock_i!$E$5</f>
        <v>0</v>
      </c>
      <c r="F28" s="7">
        <f>s_ri!F28*shock_i!$E$6</f>
        <v>4.7378008863223814E-4</v>
      </c>
      <c r="G28" s="7">
        <f>s_ri!G28*shock_i!$E$7</f>
        <v>7.1810901262580975</v>
      </c>
      <c r="H28" s="7">
        <f t="shared" si="0"/>
        <v>3.0406041584802481</v>
      </c>
      <c r="K28" s="8" t="s">
        <v>30</v>
      </c>
      <c r="L28" s="7">
        <f>s_ri!K28*shock_i!$E$8</f>
        <v>-1.1666060197474417</v>
      </c>
      <c r="M28" s="7">
        <f>s_ri!L28*shock_i!$E$9</f>
        <v>505.19353455579159</v>
      </c>
      <c r="N28" s="7">
        <f>s_ri!M28*shock_i!$E$10</f>
        <v>0</v>
      </c>
      <c r="O28" s="7">
        <f>s_ri!N28*shock_i!$E$11</f>
        <v>0</v>
      </c>
      <c r="P28" s="7">
        <f>s_ri!O28*shock_i!$E$12</f>
        <v>1.079162325977504E-4</v>
      </c>
      <c r="Q28" s="7">
        <f>s_ri!P28*shock_i!$E$13</f>
        <v>0.3651761617868392</v>
      </c>
      <c r="R28" s="7">
        <f t="shared" si="1"/>
        <v>0.50439221261406353</v>
      </c>
    </row>
    <row r="29" spans="1:18" x14ac:dyDescent="0.2">
      <c r="A29" s="8" t="s">
        <v>31</v>
      </c>
      <c r="B29" s="7">
        <f>s_ri!B29*shock_i!$E$2</f>
        <v>10.430581177092296</v>
      </c>
      <c r="C29" s="7">
        <f>s_ri!C29*shock_i!$E$3</f>
        <v>3692.1998227817317</v>
      </c>
      <c r="D29" s="7">
        <f>s_ri!D29*shock_i!$E$4</f>
        <v>0</v>
      </c>
      <c r="E29" s="7">
        <f>s_ri!E29*shock_i!$E$5</f>
        <v>0</v>
      </c>
      <c r="F29" s="7">
        <f>s_ri!F29*shock_i!$E$6</f>
        <v>3.9114375796855868E-4</v>
      </c>
      <c r="G29" s="7">
        <f>s_ri!G29*shock_i!$E$7</f>
        <v>6.9669099795775926</v>
      </c>
      <c r="H29" s="7">
        <f t="shared" si="0"/>
        <v>3.7095977050821594</v>
      </c>
      <c r="K29" s="8" t="s">
        <v>31</v>
      </c>
      <c r="L29" s="7">
        <f>s_ri!K29*shock_i!$E$8</f>
        <v>-0.92058234346562773</v>
      </c>
      <c r="M29" s="7">
        <f>s_ri!L29*shock_i!$E$9</f>
        <v>647.21797233703876</v>
      </c>
      <c r="N29" s="7">
        <f>s_ri!M29*shock_i!$E$10</f>
        <v>0</v>
      </c>
      <c r="O29" s="7">
        <f>s_ri!N29*shock_i!$E$11</f>
        <v>0</v>
      </c>
      <c r="P29" s="7">
        <f>s_ri!O29*shock_i!$E$12</f>
        <v>9.1388772257521873E-5</v>
      </c>
      <c r="Q29" s="7">
        <f>s_ri!P29*shock_i!$E$13</f>
        <v>0.34156413361407689</v>
      </c>
      <c r="R29" s="7">
        <f t="shared" si="1"/>
        <v>0.64663904551595941</v>
      </c>
    </row>
    <row r="30" spans="1:18" x14ac:dyDescent="0.2">
      <c r="A30" s="8" t="s">
        <v>32</v>
      </c>
      <c r="B30" s="7">
        <f>s_ri!B30*shock_i!$E$2</f>
        <v>8.8486046245075105</v>
      </c>
      <c r="C30" s="7">
        <f>s_ri!C30*shock_i!$E$3</f>
        <v>3408.9847244295065</v>
      </c>
      <c r="D30" s="7">
        <f>s_ri!D30*shock_i!$E$4</f>
        <v>0</v>
      </c>
      <c r="E30" s="7">
        <f>s_ri!E30*shock_i!$E$5</f>
        <v>0</v>
      </c>
      <c r="F30" s="7">
        <f>s_ri!F30*shock_i!$E$6</f>
        <v>4.4765867017640957E-4</v>
      </c>
      <c r="G30" s="7">
        <f>s_ri!G30*shock_i!$E$7</f>
        <v>7.0661206140990247</v>
      </c>
      <c r="H30" s="7">
        <f t="shared" si="0"/>
        <v>3.424899897326783</v>
      </c>
      <c r="K30" s="8" t="s">
        <v>32</v>
      </c>
      <c r="L30" s="7">
        <f>s_ri!K30*shock_i!$E$8</f>
        <v>-0.41427202728852963</v>
      </c>
      <c r="M30" s="7">
        <f>s_ri!L30*shock_i!$E$9</f>
        <v>633.87470690704436</v>
      </c>
      <c r="N30" s="7">
        <f>s_ri!M30*shock_i!$E$10</f>
        <v>0</v>
      </c>
      <c r="O30" s="7">
        <f>s_ri!N30*shock_i!$E$11</f>
        <v>0</v>
      </c>
      <c r="P30" s="7">
        <f>s_ri!O30*shock_i!$E$12</f>
        <v>1.0348485308914445E-4</v>
      </c>
      <c r="Q30" s="7">
        <f>s_ri!P30*shock_i!$E$13</f>
        <v>0.35256456955135324</v>
      </c>
      <c r="R30" s="7">
        <f t="shared" si="1"/>
        <v>0.63381310293416016</v>
      </c>
    </row>
    <row r="31" spans="1:18" x14ac:dyDescent="0.2">
      <c r="A31" s="8" t="s">
        <v>33</v>
      </c>
      <c r="B31" s="7">
        <f>s_ri!B31*shock_i!$E$2</f>
        <v>11.474229517572647</v>
      </c>
      <c r="C31" s="7">
        <f>s_ri!C31*shock_i!$E$3</f>
        <v>3026.6271988575281</v>
      </c>
      <c r="D31" s="7">
        <f>s_ri!D31*shock_i!$E$4</f>
        <v>0</v>
      </c>
      <c r="E31" s="7">
        <f>s_ri!E31*shock_i!$E$5</f>
        <v>0</v>
      </c>
      <c r="F31" s="7">
        <f>s_ri!F31*shock_i!$E$6</f>
        <v>4.2492091934081058E-4</v>
      </c>
      <c r="G31" s="7">
        <f>s_ri!G31*shock_i!$E$7</f>
        <v>7.6830283063803124</v>
      </c>
      <c r="H31" s="7">
        <f t="shared" si="0"/>
        <v>3.0457848816024002</v>
      </c>
      <c r="K31" s="8" t="s">
        <v>33</v>
      </c>
      <c r="L31" s="7">
        <f>s_ri!K31*shock_i!$E$8</f>
        <v>-0.9680203265824342</v>
      </c>
      <c r="M31" s="7">
        <f>s_ri!L31*shock_i!$E$9</f>
        <v>501.84193596202425</v>
      </c>
      <c r="N31" s="7">
        <f>s_ri!M31*shock_i!$E$10</f>
        <v>0</v>
      </c>
      <c r="O31" s="7">
        <f>s_ri!N31*shock_i!$E$11</f>
        <v>0</v>
      </c>
      <c r="P31" s="7">
        <f>s_ri!O31*shock_i!$E$12</f>
        <v>9.2330893513067956E-5</v>
      </c>
      <c r="Q31" s="7">
        <f>s_ri!P31*shock_i!$E$13</f>
        <v>0.39564207412669378</v>
      </c>
      <c r="R31" s="7">
        <f t="shared" si="1"/>
        <v>0.50126965004046198</v>
      </c>
    </row>
    <row r="32" spans="1:18" x14ac:dyDescent="0.2">
      <c r="A32" s="8" t="s">
        <v>34</v>
      </c>
      <c r="B32" s="7">
        <f>s_ri!B32*shock_i!$E$2</f>
        <v>21.788993473358893</v>
      </c>
      <c r="C32" s="7">
        <f>s_ri!C32*shock_i!$E$3</f>
        <v>2424.3641983721986</v>
      </c>
      <c r="D32" s="7">
        <f>s_ri!D32*shock_i!$E$4</f>
        <v>0</v>
      </c>
      <c r="E32" s="7">
        <f>s_ri!E32*shock_i!$E$5</f>
        <v>0</v>
      </c>
      <c r="F32" s="7">
        <f>s_ri!F32*shock_i!$E$6</f>
        <v>4.7165795075136989E-4</v>
      </c>
      <c r="G32" s="7">
        <f>s_ri!G32*shock_i!$E$7</f>
        <v>8.0172242259882029</v>
      </c>
      <c r="H32" s="7">
        <f t="shared" si="0"/>
        <v>2.4541708877294965</v>
      </c>
      <c r="K32" s="8" t="s">
        <v>34</v>
      </c>
      <c r="L32" s="7">
        <f>s_ri!K32*shock_i!$E$8</f>
        <v>-2.6343231527026276</v>
      </c>
      <c r="M32" s="7">
        <f>s_ri!L32*shock_i!$E$9</f>
        <v>441.13278527267869</v>
      </c>
      <c r="N32" s="7">
        <f>s_ri!M32*shock_i!$E$10</f>
        <v>0</v>
      </c>
      <c r="O32" s="7">
        <f>s_ri!N32*shock_i!$E$11</f>
        <v>0</v>
      </c>
      <c r="P32" s="7">
        <f>s_ri!O32*shock_i!$E$12</f>
        <v>9.9093605454812311E-5</v>
      </c>
      <c r="Q32" s="7">
        <f>s_ri!P32*shock_i!$E$13</f>
        <v>0.35460332758350177</v>
      </c>
      <c r="R32" s="7">
        <f t="shared" si="1"/>
        <v>0.43885316454116502</v>
      </c>
    </row>
    <row r="33" spans="1:18" x14ac:dyDescent="0.2">
      <c r="A33" s="8" t="s">
        <v>35</v>
      </c>
      <c r="B33" s="7">
        <f>s_ri!B33*shock_i!$E$2</f>
        <v>11.409239848724932</v>
      </c>
      <c r="C33" s="7">
        <f>s_ri!C33*shock_i!$E$3</f>
        <v>3341.6307243898955</v>
      </c>
      <c r="D33" s="7">
        <f>s_ri!D33*shock_i!$E$4</f>
        <v>0</v>
      </c>
      <c r="E33" s="7">
        <f>s_ri!E33*shock_i!$E$5</f>
        <v>0</v>
      </c>
      <c r="F33" s="7">
        <f>s_ri!F33*shock_i!$E$6</f>
        <v>4.7662093118630724E-4</v>
      </c>
      <c r="G33" s="7">
        <f>s_ri!G33*shock_i!$E$7</f>
        <v>7.0709767773814782</v>
      </c>
      <c r="H33" s="7">
        <f t="shared" si="0"/>
        <v>3.3601114176369333</v>
      </c>
      <c r="K33" s="8" t="s">
        <v>35</v>
      </c>
      <c r="L33" s="7">
        <f>s_ri!K33*shock_i!$E$8</f>
        <v>-1.390399126695103</v>
      </c>
      <c r="M33" s="7">
        <f>s_ri!L33*shock_i!$E$9</f>
        <v>566.14894097683202</v>
      </c>
      <c r="N33" s="7">
        <f>s_ri!M33*shock_i!$E$10</f>
        <v>0</v>
      </c>
      <c r="O33" s="7">
        <f>s_ri!N33*shock_i!$E$11</f>
        <v>0</v>
      </c>
      <c r="P33" s="7">
        <f>s_ri!O33*shock_i!$E$12</f>
        <v>1.0860548336944388E-4</v>
      </c>
      <c r="Q33" s="7">
        <f>s_ri!P33*shock_i!$E$13</f>
        <v>0.37079728924185351</v>
      </c>
      <c r="R33" s="7">
        <f t="shared" si="1"/>
        <v>0.56512944774486207</v>
      </c>
    </row>
    <row r="34" spans="1:18" x14ac:dyDescent="0.2">
      <c r="A34" s="8" t="s">
        <v>36</v>
      </c>
      <c r="B34" s="7">
        <f>s_ri!B34*shock_i!$E$2</f>
        <v>0</v>
      </c>
      <c r="C34" s="7">
        <f>s_ri!C34*shock_i!$E$3</f>
        <v>3099.114703629074</v>
      </c>
      <c r="D34" s="7">
        <f>s_ri!D34*shock_i!$E$4</f>
        <v>0</v>
      </c>
      <c r="E34" s="7">
        <f>s_ri!E34*shock_i!$E$5</f>
        <v>0</v>
      </c>
      <c r="F34" s="7">
        <f>s_ri!F34*shock_i!$E$6</f>
        <v>4.9305721401999409E-4</v>
      </c>
      <c r="G34" s="7">
        <f>s_ri!G34*shock_i!$E$7</f>
        <v>7.8734057811911011</v>
      </c>
      <c r="H34" s="7">
        <f t="shared" si="0"/>
        <v>3.1069886024674793</v>
      </c>
      <c r="K34" s="8" t="s">
        <v>36</v>
      </c>
      <c r="L34" s="7">
        <f>s_ri!K34*shock_i!$E$8</f>
        <v>0</v>
      </c>
      <c r="M34" s="7">
        <f>s_ri!L34*shock_i!$E$9</f>
        <v>586.70432970362049</v>
      </c>
      <c r="N34" s="7">
        <f>s_ri!M34*shock_i!$E$10</f>
        <v>0</v>
      </c>
      <c r="O34" s="7">
        <f>s_ri!N34*shock_i!$E$11</f>
        <v>0</v>
      </c>
      <c r="P34" s="7">
        <f>s_ri!O34*shock_i!$E$12</f>
        <v>1.054155835653322E-4</v>
      </c>
      <c r="Q34" s="7">
        <f>s_ri!P34*shock_i!$E$13</f>
        <v>0.36938061262388122</v>
      </c>
      <c r="R34" s="7">
        <f t="shared" si="1"/>
        <v>0.58707381573182793</v>
      </c>
    </row>
    <row r="35" spans="1:18" x14ac:dyDescent="0.2">
      <c r="A35" s="8" t="s">
        <v>37</v>
      </c>
      <c r="B35" s="7">
        <f>s_ri!B35*shock_i!$E$2</f>
        <v>0</v>
      </c>
      <c r="C35" s="7">
        <f>s_ri!C35*shock_i!$E$3</f>
        <v>0</v>
      </c>
      <c r="D35" s="7">
        <f>s_ri!D35*shock_i!$E$4</f>
        <v>0</v>
      </c>
      <c r="E35" s="7">
        <f>s_ri!E35*shock_i!$E$5</f>
        <v>0</v>
      </c>
      <c r="F35" s="7">
        <f>s_ri!F35*shock_i!$E$6</f>
        <v>0</v>
      </c>
      <c r="G35" s="7">
        <f>s_ri!G35*shock_i!$E$7</f>
        <v>0</v>
      </c>
      <c r="H35" s="7">
        <f t="shared" si="0"/>
        <v>0</v>
      </c>
      <c r="K35" s="8" t="s">
        <v>37</v>
      </c>
      <c r="L35" s="7">
        <f>s_ri!K35*shock_i!$E$8</f>
        <v>-1.268507272833556</v>
      </c>
      <c r="M35" s="7">
        <f>s_ri!L35*shock_i!$E$9</f>
        <v>498.55163444074668</v>
      </c>
      <c r="N35" s="7">
        <f>s_ri!M35*shock_i!$E$10</f>
        <v>0</v>
      </c>
      <c r="O35" s="7">
        <f>s_ri!N35*shock_i!$E$11</f>
        <v>0</v>
      </c>
      <c r="P35" s="7">
        <f>s_ri!O35*shock_i!$E$12</f>
        <v>1.2065578465132725E-4</v>
      </c>
      <c r="Q35" s="7">
        <f>s_ri!P35*shock_i!$E$13</f>
        <v>0.35775170454908439</v>
      </c>
      <c r="R35" s="7">
        <f t="shared" si="1"/>
        <v>0.49764099952824681</v>
      </c>
    </row>
    <row r="36" spans="1:18" x14ac:dyDescent="0.2">
      <c r="A36" s="8" t="s">
        <v>38</v>
      </c>
      <c r="B36" s="7">
        <f>s_ri!B36*shock_i!$E$2</f>
        <v>0</v>
      </c>
      <c r="C36" s="7">
        <f>s_ri!C36*shock_i!$E$3</f>
        <v>0</v>
      </c>
      <c r="D36" s="7">
        <f>s_ri!D36*shock_i!$E$4</f>
        <v>0</v>
      </c>
      <c r="E36" s="7">
        <f>s_ri!E36*shock_i!$E$5</f>
        <v>0</v>
      </c>
      <c r="F36" s="7">
        <f>s_ri!F36*shock_i!$E$6</f>
        <v>0</v>
      </c>
      <c r="G36" s="7">
        <f>s_ri!G36*shock_i!$E$7</f>
        <v>0</v>
      </c>
      <c r="H36" s="7">
        <f t="shared" si="0"/>
        <v>0</v>
      </c>
      <c r="K36" s="8" t="s">
        <v>38</v>
      </c>
      <c r="L36" s="7">
        <f>s_ri!K36*shock_i!$E$8</f>
        <v>-1.3031942151214495</v>
      </c>
      <c r="M36" s="7">
        <f>s_ri!L36*shock_i!$E$9</f>
        <v>610.20882313285404</v>
      </c>
      <c r="N36" s="7">
        <f>s_ri!M36*shock_i!$E$10</f>
        <v>0</v>
      </c>
      <c r="O36" s="7">
        <f>s_ri!N36*shock_i!$E$11</f>
        <v>0</v>
      </c>
      <c r="P36" s="7">
        <f>s_ri!O36*shock_i!$E$12</f>
        <v>9.6676189663748391E-5</v>
      </c>
      <c r="Q36" s="7">
        <f>s_ri!P36*shock_i!$E$13</f>
        <v>0.31220916575716834</v>
      </c>
      <c r="R36" s="7">
        <f t="shared" si="1"/>
        <v>0.60921793475967934</v>
      </c>
    </row>
    <row r="37" spans="1:18" x14ac:dyDescent="0.2">
      <c r="A37" s="8" t="s">
        <v>39</v>
      </c>
      <c r="B37" s="7">
        <f>s_ri!B37*shock_i!$E$2</f>
        <v>0</v>
      </c>
      <c r="C37" s="7">
        <f>s_ri!C37*shock_i!$E$3</f>
        <v>0</v>
      </c>
      <c r="D37" s="7">
        <f>s_ri!D37*shock_i!$E$4</f>
        <v>0</v>
      </c>
      <c r="E37" s="7">
        <f>s_ri!E37*shock_i!$E$5</f>
        <v>0</v>
      </c>
      <c r="F37" s="7">
        <f>s_ri!F37*shock_i!$E$6</f>
        <v>0</v>
      </c>
      <c r="G37" s="7">
        <f>s_ri!G37*shock_i!$E$7</f>
        <v>0</v>
      </c>
      <c r="H37" s="7">
        <f t="shared" si="0"/>
        <v>0</v>
      </c>
      <c r="K37" s="8" t="s">
        <v>39</v>
      </c>
      <c r="L37" s="7">
        <f>s_ri!K37*shock_i!$E$8</f>
        <v>-1.2783652700063544</v>
      </c>
      <c r="M37" s="7">
        <f>s_ri!L37*shock_i!$E$9</f>
        <v>346.78680263670833</v>
      </c>
      <c r="N37" s="7">
        <f>s_ri!M37*shock_i!$E$10</f>
        <v>0</v>
      </c>
      <c r="O37" s="7">
        <f>s_ri!N37*shock_i!$E$11</f>
        <v>0</v>
      </c>
      <c r="P37" s="7">
        <f>s_ri!O37*shock_i!$E$12</f>
        <v>1.3813054291775256E-4</v>
      </c>
      <c r="Q37" s="7">
        <f>s_ri!P37*shock_i!$E$13</f>
        <v>0.3555375658984215</v>
      </c>
      <c r="R37" s="7">
        <f t="shared" si="1"/>
        <v>0.3458641130631433</v>
      </c>
    </row>
    <row r="38" spans="1:18" x14ac:dyDescent="0.2">
      <c r="A38" s="8" t="s">
        <v>40</v>
      </c>
      <c r="B38" s="7">
        <f>s_ri!B38*shock_i!$E$2</f>
        <v>22.195210047436611</v>
      </c>
      <c r="C38" s="7">
        <f>s_ri!C38*shock_i!$E$3</f>
        <v>1809.8299975846141</v>
      </c>
      <c r="D38" s="7">
        <f>s_ri!D38*shock_i!$E$4</f>
        <v>0</v>
      </c>
      <c r="E38" s="7">
        <f>s_ri!E38*shock_i!$E$5</f>
        <v>0</v>
      </c>
      <c r="F38" s="7">
        <f>s_ri!F38*shock_i!$E$6</f>
        <v>3.4867385010065309E-4</v>
      </c>
      <c r="G38" s="7">
        <f>s_ri!G38*shock_i!$E$7</f>
        <v>8.3363528992768927</v>
      </c>
      <c r="H38" s="7">
        <f t="shared" si="0"/>
        <v>1.8403619092051777</v>
      </c>
      <c r="K38" s="8" t="s">
        <v>40</v>
      </c>
      <c r="L38" s="7">
        <f>s_ri!K38*shock_i!$E$8</f>
        <v>-1.6675988898967691</v>
      </c>
      <c r="M38" s="7">
        <f>s_ri!L38*shock_i!$E$9</f>
        <v>436.73651821421731</v>
      </c>
      <c r="N38" s="7">
        <f>s_ri!M38*shock_i!$E$10</f>
        <v>0</v>
      </c>
      <c r="O38" s="7">
        <f>s_ri!N38*shock_i!$E$11</f>
        <v>0</v>
      </c>
      <c r="P38" s="7">
        <f>s_ri!O38*shock_i!$E$12</f>
        <v>1.14976481671252E-4</v>
      </c>
      <c r="Q38" s="7">
        <f>s_ri!P38*shock_i!$E$13</f>
        <v>0.35899688458387852</v>
      </c>
      <c r="R38" s="7">
        <f t="shared" si="1"/>
        <v>0.43542803118538603</v>
      </c>
    </row>
    <row r="39" spans="1:18" x14ac:dyDescent="0.2">
      <c r="A39" s="8" t="s">
        <v>41</v>
      </c>
      <c r="B39" s="7">
        <f>s_ri!B39*shock_i!$E$2</f>
        <v>16.982006880627708</v>
      </c>
      <c r="C39" s="7">
        <f>s_ri!C39*shock_i!$E$3</f>
        <v>1905.9699184942017</v>
      </c>
      <c r="D39" s="7">
        <f>s_ri!D39*shock_i!$E$4</f>
        <v>0</v>
      </c>
      <c r="E39" s="7">
        <f>s_ri!E39*shock_i!$E$5</f>
        <v>0</v>
      </c>
      <c r="F39" s="7">
        <f>s_ri!F39*shock_i!$E$6</f>
        <v>5.5620207847721485E-4</v>
      </c>
      <c r="G39" s="7">
        <f>s_ri!G39*shock_i!$E$7</f>
        <v>8.3914637395372864</v>
      </c>
      <c r="H39" s="7">
        <f t="shared" si="0"/>
        <v>1.9313439453164454</v>
      </c>
      <c r="K39" s="8" t="s">
        <v>41</v>
      </c>
      <c r="L39" s="7">
        <f>s_ri!K39*shock_i!$E$8</f>
        <v>-1.9729768592199153</v>
      </c>
      <c r="M39" s="7">
        <f>s_ri!L39*shock_i!$E$9</f>
        <v>356.56626847933285</v>
      </c>
      <c r="N39" s="7">
        <f>s_ri!M39*shock_i!$E$10</f>
        <v>0</v>
      </c>
      <c r="O39" s="7">
        <f>s_ri!N39*shock_i!$E$11</f>
        <v>0</v>
      </c>
      <c r="P39" s="7">
        <f>s_ri!O39*shock_i!$E$12</f>
        <v>1.272350126900808E-4</v>
      </c>
      <c r="Q39" s="7">
        <f>s_ri!P39*shock_i!$E$13</f>
        <v>0.38691570028683492</v>
      </c>
      <c r="R39" s="7">
        <f t="shared" si="1"/>
        <v>0.3549803345554125</v>
      </c>
    </row>
    <row r="40" spans="1:18" x14ac:dyDescent="0.2">
      <c r="A40" s="8" t="s">
        <v>42</v>
      </c>
      <c r="B40" s="7">
        <f>s_ri!B40*shock_i!$E$2</f>
        <v>19.900752813094712</v>
      </c>
      <c r="C40" s="7">
        <f>s_ri!C40*shock_i!$E$3</f>
        <v>2158.4060891088998</v>
      </c>
      <c r="D40" s="7">
        <f>s_ri!D40*shock_i!$E$4</f>
        <v>0</v>
      </c>
      <c r="E40" s="7">
        <f>s_ri!E40*shock_i!$E$5</f>
        <v>0</v>
      </c>
      <c r="F40" s="7">
        <f>s_ri!F40*shock_i!$E$6</f>
        <v>2.9145250324489236E-4</v>
      </c>
      <c r="G40" s="7">
        <f>s_ri!G40*shock_i!$E$7</f>
        <v>9.0865217210938969</v>
      </c>
      <c r="H40" s="7">
        <f t="shared" ref="H40" si="2">SUM(B40:G40)/1000</f>
        <v>2.1873936550955917</v>
      </c>
      <c r="K40" s="8" t="s">
        <v>42</v>
      </c>
      <c r="L40" s="7">
        <f>s_ri!K40*shock_i!$E$8</f>
        <v>-1.8381727811997888</v>
      </c>
      <c r="M40" s="7">
        <f>s_ri!L40*shock_i!$E$9</f>
        <v>569.68649101557617</v>
      </c>
      <c r="N40" s="7">
        <f>s_ri!M40*shock_i!$E$10</f>
        <v>0</v>
      </c>
      <c r="O40" s="7">
        <f>s_ri!N40*shock_i!$E$11</f>
        <v>0</v>
      </c>
      <c r="P40" s="7">
        <f>s_ri!O40*shock_i!$E$12</f>
        <v>1.0083882022821002E-4</v>
      </c>
      <c r="Q40" s="7">
        <f>s_ri!P40*shock_i!$E$13</f>
        <v>0.34893468762037794</v>
      </c>
      <c r="R40" s="7">
        <f t="shared" si="1"/>
        <v>0.56819735376081704</v>
      </c>
    </row>
  </sheetData>
  <mergeCells count="2">
    <mergeCell ref="A1:H1"/>
    <mergeCell ref="K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40F66-4621-A348-B0D7-FA2D9361DAF6}">
  <dimension ref="A1:W40"/>
  <sheetViews>
    <sheetView tabSelected="1" topLeftCell="G1" workbookViewId="0">
      <selection activeCell="P14" sqref="P14"/>
    </sheetView>
  </sheetViews>
  <sheetFormatPr baseColWidth="10" defaultRowHeight="16" x14ac:dyDescent="0.2"/>
  <cols>
    <col min="3" max="3" width="17.5" style="5" bestFit="1" customWidth="1"/>
    <col min="5" max="6" width="10.83203125" style="1"/>
    <col min="7" max="7" width="17.83203125" style="5" bestFit="1" customWidth="1"/>
    <col min="8" max="10" width="10.83203125" style="1"/>
    <col min="11" max="11" width="17.83203125" style="5" bestFit="1" customWidth="1"/>
    <col min="12" max="14" width="10.83203125" style="1"/>
    <col min="15" max="15" width="15.6640625" style="1" bestFit="1" customWidth="1"/>
    <col min="16" max="18" width="10.83203125" style="1"/>
    <col min="19" max="19" width="15.6640625" style="1" bestFit="1" customWidth="1"/>
    <col min="20" max="22" width="10.83203125" style="1"/>
    <col min="23" max="23" width="15.6640625" style="1" bestFit="1" customWidth="1"/>
  </cols>
  <sheetData>
    <row r="1" spans="1:23" s="13" customFormat="1" x14ac:dyDescent="0.2">
      <c r="A1" s="20" t="s">
        <v>58</v>
      </c>
      <c r="B1" s="20"/>
      <c r="C1" s="20"/>
      <c r="E1" s="20" t="s">
        <v>59</v>
      </c>
      <c r="F1" s="20"/>
      <c r="G1" s="20"/>
      <c r="H1" s="18"/>
      <c r="I1" s="20" t="s">
        <v>60</v>
      </c>
      <c r="J1" s="20"/>
      <c r="K1" s="20"/>
      <c r="L1" s="18"/>
      <c r="M1" s="20" t="s">
        <v>61</v>
      </c>
      <c r="N1" s="20"/>
      <c r="O1" s="20"/>
      <c r="P1" s="18"/>
      <c r="Q1" s="20" t="s">
        <v>62</v>
      </c>
      <c r="R1" s="20"/>
      <c r="S1" s="20"/>
      <c r="T1" s="18"/>
      <c r="U1" s="20" t="s">
        <v>63</v>
      </c>
      <c r="V1" s="20"/>
      <c r="W1" s="20"/>
    </row>
    <row r="2" spans="1:23" s="13" customFormat="1" x14ac:dyDescent="0.2">
      <c r="A2" s="14" t="s">
        <v>1</v>
      </c>
      <c r="B2" s="14" t="s">
        <v>2</v>
      </c>
      <c r="C2" s="11" t="s">
        <v>48</v>
      </c>
      <c r="E2" s="8" t="s">
        <v>1</v>
      </c>
      <c r="F2" s="8" t="s">
        <v>2</v>
      </c>
      <c r="G2" s="11" t="s">
        <v>48</v>
      </c>
      <c r="H2" s="12"/>
      <c r="I2" s="8" t="s">
        <v>1</v>
      </c>
      <c r="J2" s="8" t="s">
        <v>2</v>
      </c>
      <c r="K2" s="11" t="s">
        <v>48</v>
      </c>
      <c r="L2" s="12"/>
      <c r="M2" s="8" t="s">
        <v>1</v>
      </c>
      <c r="N2" s="8" t="s">
        <v>2</v>
      </c>
      <c r="O2" s="9" t="s">
        <v>48</v>
      </c>
      <c r="P2" s="12"/>
      <c r="Q2" s="8" t="s">
        <v>1</v>
      </c>
      <c r="R2" s="8" t="s">
        <v>2</v>
      </c>
      <c r="S2" s="8" t="s">
        <v>48</v>
      </c>
      <c r="T2" s="12"/>
      <c r="U2" s="8" t="s">
        <v>1</v>
      </c>
      <c r="V2" s="8" t="s">
        <v>2</v>
      </c>
      <c r="W2" s="9" t="s">
        <v>48</v>
      </c>
    </row>
    <row r="3" spans="1:23" x14ac:dyDescent="0.2">
      <c r="A3" s="16">
        <v>1999</v>
      </c>
      <c r="B3" s="16" t="s">
        <v>5</v>
      </c>
      <c r="C3" s="10">
        <v>31366299</v>
      </c>
      <c r="E3" s="6">
        <v>1999</v>
      </c>
      <c r="F3" s="6" t="s">
        <v>5</v>
      </c>
      <c r="G3" s="10">
        <v>1907415</v>
      </c>
      <c r="I3" s="6">
        <v>1999</v>
      </c>
      <c r="J3" s="6" t="s">
        <v>5</v>
      </c>
      <c r="K3" s="10">
        <v>1643501884</v>
      </c>
      <c r="M3" s="6">
        <v>1999</v>
      </c>
      <c r="N3" s="6" t="s">
        <v>5</v>
      </c>
      <c r="O3" s="10">
        <v>1125099</v>
      </c>
      <c r="Q3" s="6">
        <v>1999</v>
      </c>
      <c r="R3" s="6" t="s">
        <v>5</v>
      </c>
      <c r="S3" s="10">
        <v>8132064</v>
      </c>
      <c r="U3" s="6">
        <v>1999</v>
      </c>
      <c r="V3" s="6" t="s">
        <v>5</v>
      </c>
      <c r="W3" s="10">
        <v>1414721</v>
      </c>
    </row>
    <row r="4" spans="1:23" x14ac:dyDescent="0.2">
      <c r="A4" s="16">
        <v>1999</v>
      </c>
      <c r="B4" s="16" t="s">
        <v>43</v>
      </c>
      <c r="C4" s="10">
        <v>4170822649</v>
      </c>
      <c r="E4" s="6">
        <v>1999</v>
      </c>
      <c r="F4" s="6" t="s">
        <v>43</v>
      </c>
      <c r="G4" s="10">
        <v>723830435</v>
      </c>
      <c r="I4" s="6">
        <v>1999</v>
      </c>
      <c r="J4" s="6" t="s">
        <v>43</v>
      </c>
      <c r="K4" s="10">
        <v>40528188750</v>
      </c>
      <c r="M4" s="6">
        <v>1999</v>
      </c>
      <c r="N4" s="6" t="s">
        <v>43</v>
      </c>
      <c r="O4" s="10">
        <v>920711827</v>
      </c>
      <c r="Q4" s="6">
        <v>1999</v>
      </c>
      <c r="R4" s="6" t="s">
        <v>43</v>
      </c>
      <c r="S4" s="10">
        <v>745304253</v>
      </c>
      <c r="U4" s="6">
        <v>1999</v>
      </c>
      <c r="V4" s="6" t="s">
        <v>43</v>
      </c>
      <c r="W4" s="10">
        <v>757645750</v>
      </c>
    </row>
    <row r="5" spans="1:23" x14ac:dyDescent="0.2">
      <c r="A5" s="16">
        <v>1999</v>
      </c>
      <c r="B5" s="16" t="s">
        <v>44</v>
      </c>
      <c r="C5" s="10">
        <v>0</v>
      </c>
      <c r="E5" s="6">
        <v>1999</v>
      </c>
      <c r="F5" s="6" t="s">
        <v>44</v>
      </c>
      <c r="G5" s="10">
        <v>0</v>
      </c>
      <c r="I5" s="6">
        <v>1999</v>
      </c>
      <c r="J5" s="6" t="s">
        <v>44</v>
      </c>
      <c r="K5" s="10">
        <v>0</v>
      </c>
      <c r="M5" s="6">
        <v>1999</v>
      </c>
      <c r="N5" s="6" t="s">
        <v>44</v>
      </c>
      <c r="O5" s="10">
        <v>0</v>
      </c>
      <c r="Q5" s="6">
        <v>1999</v>
      </c>
      <c r="R5" s="6" t="s">
        <v>44</v>
      </c>
      <c r="S5" s="10">
        <v>0</v>
      </c>
      <c r="U5" s="6">
        <v>1999</v>
      </c>
      <c r="V5" s="6" t="s">
        <v>44</v>
      </c>
      <c r="W5" s="10">
        <v>0</v>
      </c>
    </row>
    <row r="6" spans="1:23" x14ac:dyDescent="0.2">
      <c r="A6" s="16">
        <v>1999</v>
      </c>
      <c r="B6" s="16" t="s">
        <v>45</v>
      </c>
      <c r="C6" s="10">
        <v>0</v>
      </c>
      <c r="E6" s="6">
        <v>1999</v>
      </c>
      <c r="F6" s="6" t="s">
        <v>45</v>
      </c>
      <c r="G6" s="10">
        <v>0</v>
      </c>
      <c r="I6" s="6">
        <v>1999</v>
      </c>
      <c r="J6" s="6" t="s">
        <v>45</v>
      </c>
      <c r="K6" s="10">
        <v>0</v>
      </c>
      <c r="M6" s="6">
        <v>1999</v>
      </c>
      <c r="N6" s="6" t="s">
        <v>45</v>
      </c>
      <c r="O6" s="10">
        <v>0</v>
      </c>
      <c r="Q6" s="6">
        <v>1999</v>
      </c>
      <c r="R6" s="6" t="s">
        <v>45</v>
      </c>
      <c r="S6" s="10">
        <v>0</v>
      </c>
      <c r="U6" s="6">
        <v>1999</v>
      </c>
      <c r="V6" s="6" t="s">
        <v>45</v>
      </c>
      <c r="W6" s="10">
        <v>0</v>
      </c>
    </row>
    <row r="7" spans="1:23" x14ac:dyDescent="0.2">
      <c r="A7" s="16">
        <v>1999</v>
      </c>
      <c r="B7" s="16" t="s">
        <v>46</v>
      </c>
      <c r="C7" s="10">
        <v>13735</v>
      </c>
      <c r="E7" s="6">
        <v>1999</v>
      </c>
      <c r="F7" s="6" t="s">
        <v>46</v>
      </c>
      <c r="G7" s="10">
        <v>0</v>
      </c>
      <c r="I7" s="6">
        <v>1999</v>
      </c>
      <c r="J7" s="6" t="s">
        <v>46</v>
      </c>
      <c r="K7" s="10">
        <v>399015</v>
      </c>
      <c r="M7" s="6">
        <v>1999</v>
      </c>
      <c r="N7" s="6" t="s">
        <v>46</v>
      </c>
      <c r="O7" s="10">
        <v>4382</v>
      </c>
      <c r="Q7" s="6">
        <v>1999</v>
      </c>
      <c r="R7" s="6" t="s">
        <v>46</v>
      </c>
      <c r="S7" s="10">
        <v>0</v>
      </c>
      <c r="U7" s="6">
        <v>1999</v>
      </c>
      <c r="V7" s="6" t="s">
        <v>46</v>
      </c>
      <c r="W7" s="10">
        <v>1451</v>
      </c>
    </row>
    <row r="8" spans="1:23" x14ac:dyDescent="0.2">
      <c r="A8" s="16">
        <v>1999</v>
      </c>
      <c r="B8" s="16" t="s">
        <v>47</v>
      </c>
      <c r="C8" s="10">
        <v>11992818</v>
      </c>
      <c r="E8" s="6">
        <v>1999</v>
      </c>
      <c r="F8" s="6" t="s">
        <v>47</v>
      </c>
      <c r="G8" s="10">
        <v>916058</v>
      </c>
      <c r="I8" s="6">
        <v>1999</v>
      </c>
      <c r="J8" s="6" t="s">
        <v>47</v>
      </c>
      <c r="K8" s="10">
        <v>313452422</v>
      </c>
      <c r="M8" s="6">
        <v>1999</v>
      </c>
      <c r="N8" s="6" t="s">
        <v>47</v>
      </c>
      <c r="O8" s="10">
        <v>310766</v>
      </c>
      <c r="Q8" s="6">
        <v>1999</v>
      </c>
      <c r="R8" s="6" t="s">
        <v>47</v>
      </c>
      <c r="S8" s="10">
        <v>1466967</v>
      </c>
      <c r="U8" s="6">
        <v>1999</v>
      </c>
      <c r="V8" s="6" t="s">
        <v>47</v>
      </c>
      <c r="W8" s="10">
        <v>2039185</v>
      </c>
    </row>
    <row r="9" spans="1:23" x14ac:dyDescent="0.2">
      <c r="A9" s="16">
        <v>2011</v>
      </c>
      <c r="B9" s="16" t="s">
        <v>5</v>
      </c>
      <c r="C9" s="10">
        <v>126210268</v>
      </c>
      <c r="E9" s="6">
        <v>2011</v>
      </c>
      <c r="F9" s="6" t="s">
        <v>5</v>
      </c>
      <c r="G9" s="10">
        <v>2661830</v>
      </c>
      <c r="I9" s="6">
        <v>2011</v>
      </c>
      <c r="J9" s="6" t="s">
        <v>5</v>
      </c>
      <c r="K9" s="10">
        <v>1871215480</v>
      </c>
      <c r="M9" s="6">
        <v>2011</v>
      </c>
      <c r="N9" s="6" t="s">
        <v>5</v>
      </c>
      <c r="O9" s="10">
        <v>14453257</v>
      </c>
      <c r="Q9" s="19">
        <v>2011</v>
      </c>
      <c r="R9" s="19" t="s">
        <v>5</v>
      </c>
      <c r="S9" s="10">
        <v>23104718.137999993</v>
      </c>
      <c r="U9" s="6">
        <v>2011</v>
      </c>
      <c r="V9" s="6" t="s">
        <v>5</v>
      </c>
      <c r="W9" s="10">
        <v>10454215</v>
      </c>
    </row>
    <row r="10" spans="1:23" x14ac:dyDescent="0.2">
      <c r="A10" s="16">
        <v>2011</v>
      </c>
      <c r="B10" s="16" t="s">
        <v>43</v>
      </c>
      <c r="C10" s="10">
        <v>42571628341</v>
      </c>
      <c r="E10" s="6">
        <v>2011</v>
      </c>
      <c r="F10" s="6" t="s">
        <v>43</v>
      </c>
      <c r="G10" s="10">
        <v>3030544423</v>
      </c>
      <c r="I10" s="6">
        <v>2011</v>
      </c>
      <c r="J10" s="6" t="s">
        <v>43</v>
      </c>
      <c r="K10" s="10">
        <v>178004922182</v>
      </c>
      <c r="M10" s="6">
        <v>2011</v>
      </c>
      <c r="N10" s="6" t="s">
        <v>43</v>
      </c>
      <c r="O10" s="10">
        <v>8239528662</v>
      </c>
      <c r="Q10" s="19">
        <v>2011</v>
      </c>
      <c r="R10" s="19" t="s">
        <v>43</v>
      </c>
      <c r="S10" s="10">
        <v>5835469332.3119984</v>
      </c>
      <c r="U10" s="6">
        <v>2011</v>
      </c>
      <c r="V10" s="6" t="s">
        <v>43</v>
      </c>
      <c r="W10" s="10">
        <v>6831335381</v>
      </c>
    </row>
    <row r="11" spans="1:23" x14ac:dyDescent="0.2">
      <c r="A11" s="16">
        <v>2011</v>
      </c>
      <c r="B11" s="16" t="s">
        <v>44</v>
      </c>
      <c r="C11" s="10">
        <v>0</v>
      </c>
      <c r="E11" s="6">
        <v>2011</v>
      </c>
      <c r="F11" s="6" t="s">
        <v>44</v>
      </c>
      <c r="G11" s="10">
        <v>0</v>
      </c>
      <c r="I11" s="6">
        <v>2011</v>
      </c>
      <c r="J11" s="6" t="s">
        <v>44</v>
      </c>
      <c r="K11" s="10">
        <v>0</v>
      </c>
      <c r="M11" s="6">
        <v>2011</v>
      </c>
      <c r="N11" s="6" t="s">
        <v>44</v>
      </c>
      <c r="O11" s="10">
        <v>0</v>
      </c>
      <c r="Q11" s="19">
        <v>2011</v>
      </c>
      <c r="R11" s="19" t="s">
        <v>44</v>
      </c>
      <c r="S11" s="10">
        <v>0</v>
      </c>
      <c r="U11" s="6">
        <v>2011</v>
      </c>
      <c r="V11" s="6" t="s">
        <v>44</v>
      </c>
      <c r="W11" s="10">
        <v>0</v>
      </c>
    </row>
    <row r="12" spans="1:23" x14ac:dyDescent="0.2">
      <c r="A12" s="16">
        <v>2011</v>
      </c>
      <c r="B12" s="16" t="s">
        <v>45</v>
      </c>
      <c r="C12" s="10">
        <v>0</v>
      </c>
      <c r="E12" s="6">
        <v>2011</v>
      </c>
      <c r="F12" s="6" t="s">
        <v>45</v>
      </c>
      <c r="G12" s="10">
        <v>0</v>
      </c>
      <c r="I12" s="6">
        <v>2011</v>
      </c>
      <c r="J12" s="6" t="s">
        <v>45</v>
      </c>
      <c r="K12" s="10">
        <v>0</v>
      </c>
      <c r="M12" s="6">
        <v>2011</v>
      </c>
      <c r="N12" s="6" t="s">
        <v>45</v>
      </c>
      <c r="O12" s="10">
        <v>0</v>
      </c>
      <c r="Q12" s="19">
        <v>2011</v>
      </c>
      <c r="R12" s="19" t="s">
        <v>45</v>
      </c>
      <c r="S12" s="10">
        <v>0</v>
      </c>
      <c r="U12" s="6">
        <v>2011</v>
      </c>
      <c r="V12" s="6" t="s">
        <v>45</v>
      </c>
      <c r="W12" s="10">
        <v>0</v>
      </c>
    </row>
    <row r="13" spans="1:23" x14ac:dyDescent="0.2">
      <c r="A13" s="16">
        <v>2011</v>
      </c>
      <c r="B13" s="16" t="s">
        <v>46</v>
      </c>
      <c r="C13" s="10">
        <v>12361</v>
      </c>
      <c r="E13" s="6">
        <v>2011</v>
      </c>
      <c r="F13" s="6" t="s">
        <v>46</v>
      </c>
      <c r="G13" s="10">
        <v>2351</v>
      </c>
      <c r="I13" s="6">
        <v>2011</v>
      </c>
      <c r="J13" s="6" t="s">
        <v>46</v>
      </c>
      <c r="K13" s="10">
        <v>761578</v>
      </c>
      <c r="M13" s="6">
        <v>2011</v>
      </c>
      <c r="N13" s="6" t="s">
        <v>46</v>
      </c>
      <c r="O13" s="10">
        <v>2049</v>
      </c>
      <c r="Q13" s="19">
        <v>2011</v>
      </c>
      <c r="R13" s="19" t="s">
        <v>46</v>
      </c>
      <c r="S13" s="10">
        <v>119105.481</v>
      </c>
      <c r="U13" s="6">
        <v>2011</v>
      </c>
      <c r="V13" s="6" t="s">
        <v>46</v>
      </c>
      <c r="W13" s="10">
        <v>1541</v>
      </c>
    </row>
    <row r="14" spans="1:23" x14ac:dyDescent="0.2">
      <c r="A14" s="16">
        <v>2011</v>
      </c>
      <c r="B14" s="16" t="s">
        <v>47</v>
      </c>
      <c r="C14" s="10">
        <v>13383600</v>
      </c>
      <c r="E14" s="6">
        <v>2011</v>
      </c>
      <c r="F14" s="6" t="s">
        <v>47</v>
      </c>
      <c r="G14" s="10">
        <v>2764490</v>
      </c>
      <c r="I14" s="6">
        <v>2011</v>
      </c>
      <c r="J14" s="6" t="s">
        <v>47</v>
      </c>
      <c r="K14" s="10">
        <v>598610981</v>
      </c>
      <c r="M14" s="6">
        <v>2011</v>
      </c>
      <c r="N14" s="6" t="s">
        <v>47</v>
      </c>
      <c r="O14" s="10">
        <v>32414433</v>
      </c>
      <c r="Q14" s="19">
        <v>2011</v>
      </c>
      <c r="R14" s="19" t="s">
        <v>47</v>
      </c>
      <c r="S14" s="10">
        <v>2539302.148</v>
      </c>
      <c r="U14" s="6">
        <v>2011</v>
      </c>
      <c r="V14" s="6" t="s">
        <v>47</v>
      </c>
      <c r="W14" s="10">
        <v>3199406</v>
      </c>
    </row>
    <row r="15" spans="1:23" x14ac:dyDescent="0.2">
      <c r="A15" s="16">
        <v>2012</v>
      </c>
      <c r="B15" s="16" t="s">
        <v>5</v>
      </c>
      <c r="C15" s="10">
        <v>113128043</v>
      </c>
      <c r="E15" s="6">
        <v>2012</v>
      </c>
      <c r="F15" s="6" t="s">
        <v>5</v>
      </c>
      <c r="G15" s="10">
        <v>7005283</v>
      </c>
      <c r="I15" s="6">
        <v>2012</v>
      </c>
      <c r="J15" s="6" t="s">
        <v>5</v>
      </c>
      <c r="K15" s="10">
        <v>1945974614</v>
      </c>
      <c r="M15" s="6">
        <v>2012</v>
      </c>
      <c r="N15" s="6" t="s">
        <v>5</v>
      </c>
      <c r="O15" s="10">
        <v>13598740</v>
      </c>
      <c r="Q15" s="6">
        <v>2012</v>
      </c>
      <c r="R15" s="6" t="s">
        <v>5</v>
      </c>
      <c r="S15" s="10">
        <v>21088671.141000003</v>
      </c>
      <c r="U15" s="6">
        <v>2012</v>
      </c>
      <c r="V15" s="6" t="s">
        <v>5</v>
      </c>
      <c r="W15" s="10">
        <v>11961046.121999998</v>
      </c>
    </row>
    <row r="16" spans="1:23" x14ac:dyDescent="0.2">
      <c r="A16" s="16">
        <v>2012</v>
      </c>
      <c r="B16" s="16" t="s">
        <v>43</v>
      </c>
      <c r="C16" s="10">
        <v>44967001411</v>
      </c>
      <c r="E16" s="6">
        <v>2012</v>
      </c>
      <c r="F16" s="6" t="s">
        <v>43</v>
      </c>
      <c r="G16" s="10">
        <v>5857709242</v>
      </c>
      <c r="I16" s="6">
        <v>2012</v>
      </c>
      <c r="J16" s="6" t="s">
        <v>43</v>
      </c>
      <c r="K16" s="10">
        <v>183922128298</v>
      </c>
      <c r="M16" s="6">
        <v>2012</v>
      </c>
      <c r="N16" s="6" t="s">
        <v>43</v>
      </c>
      <c r="O16" s="10">
        <v>8057038925</v>
      </c>
      <c r="Q16" s="6">
        <v>2012</v>
      </c>
      <c r="R16" s="6" t="s">
        <v>43</v>
      </c>
      <c r="S16" s="10">
        <v>6182173750.6299992</v>
      </c>
      <c r="U16" s="6">
        <v>2012</v>
      </c>
      <c r="V16" s="6" t="s">
        <v>43</v>
      </c>
      <c r="W16" s="10">
        <v>8033882883.1989965</v>
      </c>
    </row>
    <row r="17" spans="1:23" x14ac:dyDescent="0.2">
      <c r="A17" s="16">
        <v>2012</v>
      </c>
      <c r="B17" s="16" t="s">
        <v>44</v>
      </c>
      <c r="C17" s="10">
        <v>0</v>
      </c>
      <c r="E17" s="6">
        <v>2012</v>
      </c>
      <c r="F17" s="6" t="s">
        <v>44</v>
      </c>
      <c r="G17" s="10">
        <v>0</v>
      </c>
      <c r="I17" s="6">
        <v>2012</v>
      </c>
      <c r="J17" s="6" t="s">
        <v>44</v>
      </c>
      <c r="K17" s="10">
        <v>0</v>
      </c>
      <c r="M17" s="6">
        <v>2012</v>
      </c>
      <c r="N17" s="6" t="s">
        <v>44</v>
      </c>
      <c r="O17" s="10">
        <v>0</v>
      </c>
      <c r="Q17" s="6">
        <v>2012</v>
      </c>
      <c r="R17" s="6" t="s">
        <v>44</v>
      </c>
      <c r="S17" s="10">
        <v>0</v>
      </c>
      <c r="U17" s="6">
        <v>2012</v>
      </c>
      <c r="V17" s="6" t="s">
        <v>44</v>
      </c>
      <c r="W17" s="10">
        <v>0</v>
      </c>
    </row>
    <row r="18" spans="1:23" x14ac:dyDescent="0.2">
      <c r="A18" s="16">
        <v>2012</v>
      </c>
      <c r="B18" s="16" t="s">
        <v>45</v>
      </c>
      <c r="C18" s="10">
        <v>0</v>
      </c>
      <c r="E18" s="6">
        <v>2012</v>
      </c>
      <c r="F18" s="6" t="s">
        <v>45</v>
      </c>
      <c r="G18" s="10">
        <v>0</v>
      </c>
      <c r="I18" s="6">
        <v>2012</v>
      </c>
      <c r="J18" s="6" t="s">
        <v>45</v>
      </c>
      <c r="K18" s="10">
        <v>0</v>
      </c>
      <c r="M18" s="6">
        <v>2012</v>
      </c>
      <c r="N18" s="6" t="s">
        <v>45</v>
      </c>
      <c r="O18" s="10">
        <v>0</v>
      </c>
      <c r="Q18" s="6">
        <v>2012</v>
      </c>
      <c r="R18" s="6" t="s">
        <v>45</v>
      </c>
      <c r="S18" s="10">
        <v>0</v>
      </c>
      <c r="U18" s="6">
        <v>2012</v>
      </c>
      <c r="V18" s="6" t="s">
        <v>45</v>
      </c>
      <c r="W18" s="10">
        <v>0</v>
      </c>
    </row>
    <row r="19" spans="1:23" x14ac:dyDescent="0.2">
      <c r="A19" s="16">
        <v>2012</v>
      </c>
      <c r="B19" s="16" t="s">
        <v>46</v>
      </c>
      <c r="C19" s="10">
        <v>22409</v>
      </c>
      <c r="E19" s="6">
        <v>2012</v>
      </c>
      <c r="F19" s="6" t="s">
        <v>46</v>
      </c>
      <c r="G19" s="10">
        <v>316</v>
      </c>
      <c r="I19" s="6">
        <v>2012</v>
      </c>
      <c r="J19" s="6" t="s">
        <v>46</v>
      </c>
      <c r="K19" s="10">
        <v>656483</v>
      </c>
      <c r="M19" s="6">
        <v>2012</v>
      </c>
      <c r="N19" s="6" t="s">
        <v>46</v>
      </c>
      <c r="O19" s="10">
        <v>37350</v>
      </c>
      <c r="Q19" s="6">
        <v>2012</v>
      </c>
      <c r="R19" s="6" t="s">
        <v>46</v>
      </c>
      <c r="S19" s="10">
        <v>113827.758</v>
      </c>
      <c r="U19" s="6">
        <v>2012</v>
      </c>
      <c r="V19" s="6" t="s">
        <v>46</v>
      </c>
      <c r="W19" s="10">
        <v>14028.040999999999</v>
      </c>
    </row>
    <row r="20" spans="1:23" x14ac:dyDescent="0.2">
      <c r="A20" s="16">
        <v>2012</v>
      </c>
      <c r="B20" s="16" t="s">
        <v>47</v>
      </c>
      <c r="C20" s="10">
        <v>5420936</v>
      </c>
      <c r="E20" s="6">
        <v>2012</v>
      </c>
      <c r="F20" s="6" t="s">
        <v>47</v>
      </c>
      <c r="G20" s="10">
        <v>177835</v>
      </c>
      <c r="I20" s="6">
        <v>2012</v>
      </c>
      <c r="J20" s="6" t="s">
        <v>47</v>
      </c>
      <c r="K20" s="10">
        <v>3975949</v>
      </c>
      <c r="M20" s="6">
        <v>2012</v>
      </c>
      <c r="N20" s="6" t="s">
        <v>47</v>
      </c>
      <c r="O20" s="10">
        <v>1176883</v>
      </c>
      <c r="Q20" s="6">
        <v>2012</v>
      </c>
      <c r="R20" s="6" t="s">
        <v>47</v>
      </c>
      <c r="S20" s="10">
        <v>1366947.399</v>
      </c>
      <c r="U20" s="6">
        <v>2012</v>
      </c>
      <c r="V20" s="6" t="s">
        <v>47</v>
      </c>
      <c r="W20" s="10">
        <v>1414026.5360000003</v>
      </c>
    </row>
    <row r="21" spans="1:23" x14ac:dyDescent="0.2">
      <c r="A21" s="16">
        <v>2019</v>
      </c>
      <c r="B21" s="16" t="s">
        <v>5</v>
      </c>
      <c r="C21" s="10">
        <v>146879473.11299998</v>
      </c>
      <c r="E21" s="6">
        <v>2019</v>
      </c>
      <c r="F21" s="6" t="s">
        <v>5</v>
      </c>
      <c r="G21" s="10">
        <v>7122216.3409999991</v>
      </c>
      <c r="I21" s="6">
        <v>2019</v>
      </c>
      <c r="J21" s="6" t="s">
        <v>5</v>
      </c>
      <c r="K21" s="10">
        <v>1680540049.9689999</v>
      </c>
      <c r="M21" s="6">
        <v>2019</v>
      </c>
      <c r="N21" s="6" t="s">
        <v>5</v>
      </c>
      <c r="O21" s="10">
        <v>17859836.295000002</v>
      </c>
      <c r="Q21" s="6">
        <v>2019</v>
      </c>
      <c r="R21" s="6" t="s">
        <v>5</v>
      </c>
      <c r="S21" s="10">
        <v>34921627.182999998</v>
      </c>
      <c r="U21" s="6">
        <v>2019</v>
      </c>
      <c r="V21" s="6" t="s">
        <v>5</v>
      </c>
      <c r="W21" s="10">
        <v>17012271.848999996</v>
      </c>
    </row>
    <row r="22" spans="1:23" x14ac:dyDescent="0.2">
      <c r="A22" s="16">
        <v>2019</v>
      </c>
      <c r="B22" s="16" t="s">
        <v>43</v>
      </c>
      <c r="C22" s="10">
        <v>56280201464.155975</v>
      </c>
      <c r="E22" s="6">
        <v>2019</v>
      </c>
      <c r="F22" s="6" t="s">
        <v>43</v>
      </c>
      <c r="G22" s="10">
        <v>5433852241.2350016</v>
      </c>
      <c r="I22" s="6">
        <v>2019</v>
      </c>
      <c r="J22" s="6" t="s">
        <v>43</v>
      </c>
      <c r="K22" s="10">
        <v>165747713145.07303</v>
      </c>
      <c r="M22" s="6">
        <v>2019</v>
      </c>
      <c r="N22" s="6" t="s">
        <v>43</v>
      </c>
      <c r="O22" s="10">
        <v>8725998014.9170017</v>
      </c>
      <c r="Q22" s="6">
        <v>2019</v>
      </c>
      <c r="R22" s="6" t="s">
        <v>43</v>
      </c>
      <c r="S22" s="10">
        <v>8420438392.8069992</v>
      </c>
      <c r="U22" s="6">
        <v>2019</v>
      </c>
      <c r="V22" s="6" t="s">
        <v>43</v>
      </c>
      <c r="W22" s="10">
        <v>9641017738.1749992</v>
      </c>
    </row>
    <row r="23" spans="1:23" x14ac:dyDescent="0.2">
      <c r="A23" s="16">
        <v>2019</v>
      </c>
      <c r="B23" s="16" t="s">
        <v>44</v>
      </c>
      <c r="C23" s="10">
        <v>0</v>
      </c>
      <c r="E23" s="6">
        <v>2019</v>
      </c>
      <c r="F23" s="6" t="s">
        <v>44</v>
      </c>
      <c r="G23" s="10">
        <v>0</v>
      </c>
      <c r="I23" s="6">
        <v>2019</v>
      </c>
      <c r="J23" s="6" t="s">
        <v>44</v>
      </c>
      <c r="K23" s="10">
        <v>0</v>
      </c>
      <c r="M23" s="6">
        <v>2019</v>
      </c>
      <c r="N23" s="6" t="s">
        <v>44</v>
      </c>
      <c r="O23" s="10">
        <v>0</v>
      </c>
      <c r="Q23" s="6">
        <v>2019</v>
      </c>
      <c r="R23" s="6" t="s">
        <v>44</v>
      </c>
      <c r="S23" s="10">
        <v>0</v>
      </c>
      <c r="U23" s="6">
        <v>2019</v>
      </c>
      <c r="V23" s="6" t="s">
        <v>44</v>
      </c>
      <c r="W23" s="10">
        <v>0</v>
      </c>
    </row>
    <row r="24" spans="1:23" x14ac:dyDescent="0.2">
      <c r="A24" s="16">
        <v>2019</v>
      </c>
      <c r="B24" s="16" t="s">
        <v>45</v>
      </c>
      <c r="C24" s="10">
        <v>0</v>
      </c>
      <c r="E24" s="6">
        <v>2019</v>
      </c>
      <c r="F24" s="6" t="s">
        <v>45</v>
      </c>
      <c r="G24" s="10">
        <v>0</v>
      </c>
      <c r="I24" s="6">
        <v>2019</v>
      </c>
      <c r="J24" s="6" t="s">
        <v>45</v>
      </c>
      <c r="K24" s="10">
        <v>0</v>
      </c>
      <c r="M24" s="6">
        <v>2019</v>
      </c>
      <c r="N24" s="6" t="s">
        <v>45</v>
      </c>
      <c r="O24" s="10">
        <v>0</v>
      </c>
      <c r="Q24" s="6">
        <v>2019</v>
      </c>
      <c r="R24" s="6" t="s">
        <v>45</v>
      </c>
      <c r="S24" s="10">
        <v>0</v>
      </c>
      <c r="U24" s="6">
        <v>2019</v>
      </c>
      <c r="V24" s="6" t="s">
        <v>45</v>
      </c>
      <c r="W24" s="10">
        <v>0</v>
      </c>
    </row>
    <row r="25" spans="1:23" x14ac:dyDescent="0.2">
      <c r="A25" s="16">
        <v>2019</v>
      </c>
      <c r="B25" s="16" t="s">
        <v>46</v>
      </c>
      <c r="C25" s="10">
        <v>5542.5050000000001</v>
      </c>
      <c r="E25" s="6">
        <v>2019</v>
      </c>
      <c r="F25" s="6" t="s">
        <v>46</v>
      </c>
      <c r="G25" s="10">
        <v>6290.4489999999996</v>
      </c>
      <c r="I25" s="6">
        <v>2019</v>
      </c>
      <c r="J25" s="6" t="s">
        <v>46</v>
      </c>
      <c r="K25" s="10">
        <v>1009973.366</v>
      </c>
      <c r="M25" s="6">
        <v>2019</v>
      </c>
      <c r="N25" s="6" t="s">
        <v>46</v>
      </c>
      <c r="O25" s="10">
        <v>3806.4409999999998</v>
      </c>
      <c r="Q25" s="6">
        <v>2019</v>
      </c>
      <c r="R25" s="6" t="s">
        <v>46</v>
      </c>
      <c r="S25" s="10">
        <v>32304.987000000001</v>
      </c>
      <c r="U25" s="6">
        <v>2019</v>
      </c>
      <c r="V25" s="6" t="s">
        <v>46</v>
      </c>
      <c r="W25" s="10">
        <v>15859.005000000001</v>
      </c>
    </row>
    <row r="26" spans="1:23" x14ac:dyDescent="0.2">
      <c r="A26" s="16">
        <v>2019</v>
      </c>
      <c r="B26" s="16" t="s">
        <v>47</v>
      </c>
      <c r="C26" s="10">
        <v>16244423.196999999</v>
      </c>
      <c r="E26" s="6">
        <v>2019</v>
      </c>
      <c r="F26" s="6" t="s">
        <v>47</v>
      </c>
      <c r="G26" s="10">
        <v>127890.11600000001</v>
      </c>
      <c r="I26" s="6">
        <v>2019</v>
      </c>
      <c r="J26" s="6" t="s">
        <v>47</v>
      </c>
      <c r="K26" s="10">
        <v>7844738.0829999996</v>
      </c>
      <c r="M26" s="6">
        <v>2019</v>
      </c>
      <c r="N26" s="6" t="s">
        <v>47</v>
      </c>
      <c r="O26" s="10">
        <v>346564.788</v>
      </c>
      <c r="Q26" s="6">
        <v>2019</v>
      </c>
      <c r="R26" s="6" t="s">
        <v>47</v>
      </c>
      <c r="S26" s="10">
        <v>953593.05099999998</v>
      </c>
      <c r="U26" s="6">
        <v>2019</v>
      </c>
      <c r="V26" s="6" t="s">
        <v>47</v>
      </c>
      <c r="W26" s="10">
        <v>791047.17099999986</v>
      </c>
    </row>
    <row r="28" spans="1:23" s="13" customFormat="1" x14ac:dyDescent="0.2">
      <c r="A28" s="8" t="s">
        <v>50</v>
      </c>
      <c r="B28" s="8" t="s">
        <v>2</v>
      </c>
      <c r="C28" s="11" t="s">
        <v>53</v>
      </c>
      <c r="E28" s="8" t="s">
        <v>50</v>
      </c>
      <c r="F28" s="8" t="s">
        <v>2</v>
      </c>
      <c r="G28" s="11" t="s">
        <v>53</v>
      </c>
      <c r="H28" s="12"/>
      <c r="I28" s="8" t="s">
        <v>50</v>
      </c>
      <c r="J28" s="8" t="s">
        <v>2</v>
      </c>
      <c r="K28" s="11" t="s">
        <v>53</v>
      </c>
      <c r="L28" s="12"/>
      <c r="M28" s="8" t="s">
        <v>50</v>
      </c>
      <c r="N28" s="8" t="s">
        <v>2</v>
      </c>
      <c r="O28" s="11" t="s">
        <v>53</v>
      </c>
      <c r="P28" s="12"/>
      <c r="Q28" s="8" t="s">
        <v>50</v>
      </c>
      <c r="R28" s="8" t="s">
        <v>2</v>
      </c>
      <c r="S28" s="11" t="s">
        <v>53</v>
      </c>
      <c r="T28" s="12"/>
      <c r="U28" s="8" t="s">
        <v>50</v>
      </c>
      <c r="V28" s="8" t="s">
        <v>2</v>
      </c>
      <c r="W28" s="11" t="s">
        <v>53</v>
      </c>
    </row>
    <row r="29" spans="1:23" x14ac:dyDescent="0.2">
      <c r="A29" s="6" t="s">
        <v>51</v>
      </c>
      <c r="B29" s="6" t="s">
        <v>5</v>
      </c>
      <c r="C29" s="10">
        <f>C9-C3</f>
        <v>94843969</v>
      </c>
      <c r="E29" s="6" t="s">
        <v>51</v>
      </c>
      <c r="F29" s="6" t="s">
        <v>5</v>
      </c>
      <c r="G29" s="10">
        <f>G9-G3</f>
        <v>754415</v>
      </c>
      <c r="I29" s="6" t="s">
        <v>51</v>
      </c>
      <c r="J29" s="6" t="s">
        <v>5</v>
      </c>
      <c r="K29" s="10">
        <f>K9-K3</f>
        <v>227713596</v>
      </c>
      <c r="M29" s="6" t="s">
        <v>51</v>
      </c>
      <c r="N29" s="6" t="s">
        <v>5</v>
      </c>
      <c r="O29" s="10">
        <f>O9-O3</f>
        <v>13328158</v>
      </c>
      <c r="Q29" s="6" t="s">
        <v>51</v>
      </c>
      <c r="R29" s="6" t="s">
        <v>5</v>
      </c>
      <c r="S29" s="10">
        <f>S9-S3</f>
        <v>14972654.137999993</v>
      </c>
      <c r="U29" s="6" t="s">
        <v>51</v>
      </c>
      <c r="V29" s="6" t="s">
        <v>5</v>
      </c>
      <c r="W29" s="10">
        <f>W9-W3</f>
        <v>9039494</v>
      </c>
    </row>
    <row r="30" spans="1:23" x14ac:dyDescent="0.2">
      <c r="A30" s="6" t="s">
        <v>51</v>
      </c>
      <c r="B30" s="6" t="s">
        <v>43</v>
      </c>
      <c r="C30" s="10">
        <f t="shared" ref="C30:C34" si="0">C10-C4</f>
        <v>38400805692</v>
      </c>
      <c r="E30" s="6" t="s">
        <v>51</v>
      </c>
      <c r="F30" s="6" t="s">
        <v>43</v>
      </c>
      <c r="G30" s="10">
        <f t="shared" ref="G30:G34" si="1">G10-G4</f>
        <v>2306713988</v>
      </c>
      <c r="I30" s="6" t="s">
        <v>51</v>
      </c>
      <c r="J30" s="6" t="s">
        <v>43</v>
      </c>
      <c r="K30" s="10">
        <f t="shared" ref="K30:K34" si="2">K10-K4</f>
        <v>137476733432</v>
      </c>
      <c r="M30" s="6" t="s">
        <v>51</v>
      </c>
      <c r="N30" s="6" t="s">
        <v>43</v>
      </c>
      <c r="O30" s="10">
        <f t="shared" ref="O30:O34" si="3">O10-O4</f>
        <v>7318816835</v>
      </c>
      <c r="Q30" s="6" t="s">
        <v>51</v>
      </c>
      <c r="R30" s="6" t="s">
        <v>43</v>
      </c>
      <c r="S30" s="10">
        <f t="shared" ref="S30:S34" si="4">S10-S4</f>
        <v>5090165079.3119984</v>
      </c>
      <c r="U30" s="6" t="s">
        <v>51</v>
      </c>
      <c r="V30" s="6" t="s">
        <v>43</v>
      </c>
      <c r="W30" s="10">
        <f t="shared" ref="W30:W34" si="5">W10-W4</f>
        <v>6073689631</v>
      </c>
    </row>
    <row r="31" spans="1:23" x14ac:dyDescent="0.2">
      <c r="A31" s="6" t="s">
        <v>51</v>
      </c>
      <c r="B31" s="6" t="s">
        <v>44</v>
      </c>
      <c r="C31" s="10">
        <f t="shared" si="0"/>
        <v>0</v>
      </c>
      <c r="E31" s="6" t="s">
        <v>51</v>
      </c>
      <c r="F31" s="6" t="s">
        <v>44</v>
      </c>
      <c r="G31" s="10">
        <f t="shared" si="1"/>
        <v>0</v>
      </c>
      <c r="I31" s="6" t="s">
        <v>51</v>
      </c>
      <c r="J31" s="6" t="s">
        <v>44</v>
      </c>
      <c r="K31" s="10">
        <f t="shared" si="2"/>
        <v>0</v>
      </c>
      <c r="M31" s="6" t="s">
        <v>51</v>
      </c>
      <c r="N31" s="6" t="s">
        <v>44</v>
      </c>
      <c r="O31" s="10">
        <f t="shared" si="3"/>
        <v>0</v>
      </c>
      <c r="Q31" s="6" t="s">
        <v>51</v>
      </c>
      <c r="R31" s="6" t="s">
        <v>44</v>
      </c>
      <c r="S31" s="10">
        <f t="shared" si="4"/>
        <v>0</v>
      </c>
      <c r="U31" s="6" t="s">
        <v>51</v>
      </c>
      <c r="V31" s="6" t="s">
        <v>44</v>
      </c>
      <c r="W31" s="10">
        <f t="shared" si="5"/>
        <v>0</v>
      </c>
    </row>
    <row r="32" spans="1:23" x14ac:dyDescent="0.2">
      <c r="A32" s="6" t="s">
        <v>51</v>
      </c>
      <c r="B32" s="6" t="s">
        <v>45</v>
      </c>
      <c r="C32" s="10">
        <f t="shared" si="0"/>
        <v>0</v>
      </c>
      <c r="E32" s="6" t="s">
        <v>51</v>
      </c>
      <c r="F32" s="6" t="s">
        <v>45</v>
      </c>
      <c r="G32" s="10">
        <f t="shared" si="1"/>
        <v>0</v>
      </c>
      <c r="I32" s="6" t="s">
        <v>51</v>
      </c>
      <c r="J32" s="6" t="s">
        <v>45</v>
      </c>
      <c r="K32" s="10">
        <f t="shared" si="2"/>
        <v>0</v>
      </c>
      <c r="M32" s="6" t="s">
        <v>51</v>
      </c>
      <c r="N32" s="6" t="s">
        <v>45</v>
      </c>
      <c r="O32" s="10">
        <f t="shared" si="3"/>
        <v>0</v>
      </c>
      <c r="Q32" s="6" t="s">
        <v>51</v>
      </c>
      <c r="R32" s="6" t="s">
        <v>45</v>
      </c>
      <c r="S32" s="10">
        <f t="shared" si="4"/>
        <v>0</v>
      </c>
      <c r="U32" s="6" t="s">
        <v>51</v>
      </c>
      <c r="V32" s="6" t="s">
        <v>45</v>
      </c>
      <c r="W32" s="10">
        <f t="shared" si="5"/>
        <v>0</v>
      </c>
    </row>
    <row r="33" spans="1:23" x14ac:dyDescent="0.2">
      <c r="A33" s="6" t="s">
        <v>51</v>
      </c>
      <c r="B33" s="6" t="s">
        <v>46</v>
      </c>
      <c r="C33" s="10">
        <f t="shared" si="0"/>
        <v>-1374</v>
      </c>
      <c r="E33" s="6" t="s">
        <v>51</v>
      </c>
      <c r="F33" s="6" t="s">
        <v>46</v>
      </c>
      <c r="G33" s="10">
        <f t="shared" si="1"/>
        <v>2351</v>
      </c>
      <c r="I33" s="6" t="s">
        <v>51</v>
      </c>
      <c r="J33" s="6" t="s">
        <v>46</v>
      </c>
      <c r="K33" s="10">
        <f t="shared" si="2"/>
        <v>362563</v>
      </c>
      <c r="M33" s="6" t="s">
        <v>51</v>
      </c>
      <c r="N33" s="6" t="s">
        <v>46</v>
      </c>
      <c r="O33" s="10">
        <f t="shared" si="3"/>
        <v>-2333</v>
      </c>
      <c r="Q33" s="6" t="s">
        <v>51</v>
      </c>
      <c r="R33" s="6" t="s">
        <v>46</v>
      </c>
      <c r="S33" s="10">
        <f t="shared" si="4"/>
        <v>119105.481</v>
      </c>
      <c r="U33" s="6" t="s">
        <v>51</v>
      </c>
      <c r="V33" s="6" t="s">
        <v>46</v>
      </c>
      <c r="W33" s="10">
        <f t="shared" si="5"/>
        <v>90</v>
      </c>
    </row>
    <row r="34" spans="1:23" x14ac:dyDescent="0.2">
      <c r="A34" s="6" t="s">
        <v>51</v>
      </c>
      <c r="B34" s="6" t="s">
        <v>47</v>
      </c>
      <c r="C34" s="10">
        <f t="shared" si="0"/>
        <v>1390782</v>
      </c>
      <c r="E34" s="6" t="s">
        <v>51</v>
      </c>
      <c r="F34" s="6" t="s">
        <v>47</v>
      </c>
      <c r="G34" s="10">
        <f t="shared" si="1"/>
        <v>1848432</v>
      </c>
      <c r="I34" s="6" t="s">
        <v>51</v>
      </c>
      <c r="J34" s="6" t="s">
        <v>47</v>
      </c>
      <c r="K34" s="10">
        <f t="shared" si="2"/>
        <v>285158559</v>
      </c>
      <c r="M34" s="6" t="s">
        <v>51</v>
      </c>
      <c r="N34" s="6" t="s">
        <v>47</v>
      </c>
      <c r="O34" s="10">
        <f t="shared" si="3"/>
        <v>32103667</v>
      </c>
      <c r="Q34" s="6" t="s">
        <v>51</v>
      </c>
      <c r="R34" s="6" t="s">
        <v>47</v>
      </c>
      <c r="S34" s="10">
        <f t="shared" si="4"/>
        <v>1072335.148</v>
      </c>
      <c r="U34" s="6" t="s">
        <v>51</v>
      </c>
      <c r="V34" s="6" t="s">
        <v>47</v>
      </c>
      <c r="W34" s="10">
        <f t="shared" si="5"/>
        <v>1160221</v>
      </c>
    </row>
    <row r="35" spans="1:23" x14ac:dyDescent="0.2">
      <c r="A35" s="6" t="s">
        <v>52</v>
      </c>
      <c r="B35" s="6" t="s">
        <v>5</v>
      </c>
      <c r="C35" s="10">
        <f>C21-C15</f>
        <v>33751430.112999976</v>
      </c>
      <c r="E35" s="6" t="s">
        <v>52</v>
      </c>
      <c r="F35" s="6" t="s">
        <v>5</v>
      </c>
      <c r="G35" s="10">
        <f>G21-G15</f>
        <v>116933.34099999908</v>
      </c>
      <c r="I35" s="6" t="s">
        <v>52</v>
      </c>
      <c r="J35" s="6" t="s">
        <v>5</v>
      </c>
      <c r="K35" s="10">
        <f>K21-K15</f>
        <v>-265434564.03100014</v>
      </c>
      <c r="M35" s="6" t="s">
        <v>52</v>
      </c>
      <c r="N35" s="6" t="s">
        <v>5</v>
      </c>
      <c r="O35" s="10">
        <f>O21-O15</f>
        <v>4261096.2950000018</v>
      </c>
      <c r="Q35" s="6" t="s">
        <v>52</v>
      </c>
      <c r="R35" s="6" t="s">
        <v>5</v>
      </c>
      <c r="S35" s="10">
        <f>S21-S15</f>
        <v>13832956.041999996</v>
      </c>
      <c r="U35" s="6" t="s">
        <v>52</v>
      </c>
      <c r="V35" s="6" t="s">
        <v>5</v>
      </c>
      <c r="W35" s="10">
        <f>W21-W15</f>
        <v>5051225.7269999981</v>
      </c>
    </row>
    <row r="36" spans="1:23" x14ac:dyDescent="0.2">
      <c r="A36" s="6" t="s">
        <v>52</v>
      </c>
      <c r="B36" s="6" t="s">
        <v>43</v>
      </c>
      <c r="C36" s="10">
        <f t="shared" ref="C36:C40" si="6">C22-C16</f>
        <v>11313200053.155975</v>
      </c>
      <c r="E36" s="6" t="s">
        <v>52</v>
      </c>
      <c r="F36" s="6" t="s">
        <v>43</v>
      </c>
      <c r="G36" s="10">
        <f t="shared" ref="G36:G40" si="7">G22-G16</f>
        <v>-423857000.76499844</v>
      </c>
      <c r="I36" s="6" t="s">
        <v>52</v>
      </c>
      <c r="J36" s="6" t="s">
        <v>43</v>
      </c>
      <c r="K36" s="10">
        <f t="shared" ref="K36:K40" si="8">K22-K16</f>
        <v>-18174415152.926971</v>
      </c>
      <c r="M36" s="6" t="s">
        <v>52</v>
      </c>
      <c r="N36" s="6" t="s">
        <v>43</v>
      </c>
      <c r="O36" s="10">
        <f t="shared" ref="O36:O40" si="9">O22-O16</f>
        <v>668959089.91700172</v>
      </c>
      <c r="Q36" s="6" t="s">
        <v>52</v>
      </c>
      <c r="R36" s="6" t="s">
        <v>43</v>
      </c>
      <c r="S36" s="10">
        <f t="shared" ref="S36:S40" si="10">S22-S16</f>
        <v>2238264642.177</v>
      </c>
      <c r="U36" s="6" t="s">
        <v>52</v>
      </c>
      <c r="V36" s="6" t="s">
        <v>43</v>
      </c>
      <c r="W36" s="10">
        <f t="shared" ref="W36:W40" si="11">W22-W16</f>
        <v>1607134854.9760027</v>
      </c>
    </row>
    <row r="37" spans="1:23" x14ac:dyDescent="0.2">
      <c r="A37" s="6" t="s">
        <v>52</v>
      </c>
      <c r="B37" s="6" t="s">
        <v>44</v>
      </c>
      <c r="C37" s="10">
        <f t="shared" si="6"/>
        <v>0</v>
      </c>
      <c r="E37" s="6" t="s">
        <v>52</v>
      </c>
      <c r="F37" s="6" t="s">
        <v>44</v>
      </c>
      <c r="G37" s="10">
        <f t="shared" si="7"/>
        <v>0</v>
      </c>
      <c r="I37" s="6" t="s">
        <v>52</v>
      </c>
      <c r="J37" s="6" t="s">
        <v>44</v>
      </c>
      <c r="K37" s="10">
        <f t="shared" si="8"/>
        <v>0</v>
      </c>
      <c r="M37" s="6" t="s">
        <v>52</v>
      </c>
      <c r="N37" s="6" t="s">
        <v>44</v>
      </c>
      <c r="O37" s="10">
        <f t="shared" si="9"/>
        <v>0</v>
      </c>
      <c r="Q37" s="6" t="s">
        <v>52</v>
      </c>
      <c r="R37" s="6" t="s">
        <v>44</v>
      </c>
      <c r="S37" s="10">
        <f t="shared" si="10"/>
        <v>0</v>
      </c>
      <c r="U37" s="6" t="s">
        <v>52</v>
      </c>
      <c r="V37" s="6" t="s">
        <v>44</v>
      </c>
      <c r="W37" s="10">
        <f t="shared" si="11"/>
        <v>0</v>
      </c>
    </row>
    <row r="38" spans="1:23" x14ac:dyDescent="0.2">
      <c r="A38" s="6" t="s">
        <v>52</v>
      </c>
      <c r="B38" s="6" t="s">
        <v>45</v>
      </c>
      <c r="C38" s="10">
        <f t="shared" si="6"/>
        <v>0</v>
      </c>
      <c r="E38" s="6" t="s">
        <v>52</v>
      </c>
      <c r="F38" s="6" t="s">
        <v>45</v>
      </c>
      <c r="G38" s="10">
        <f t="shared" si="7"/>
        <v>0</v>
      </c>
      <c r="I38" s="6" t="s">
        <v>52</v>
      </c>
      <c r="J38" s="6" t="s">
        <v>45</v>
      </c>
      <c r="K38" s="10">
        <f t="shared" si="8"/>
        <v>0</v>
      </c>
      <c r="M38" s="6" t="s">
        <v>52</v>
      </c>
      <c r="N38" s="6" t="s">
        <v>45</v>
      </c>
      <c r="O38" s="10">
        <f t="shared" si="9"/>
        <v>0</v>
      </c>
      <c r="Q38" s="6" t="s">
        <v>52</v>
      </c>
      <c r="R38" s="6" t="s">
        <v>45</v>
      </c>
      <c r="S38" s="10">
        <f t="shared" si="10"/>
        <v>0</v>
      </c>
      <c r="U38" s="6" t="s">
        <v>52</v>
      </c>
      <c r="V38" s="6" t="s">
        <v>45</v>
      </c>
      <c r="W38" s="10">
        <f t="shared" si="11"/>
        <v>0</v>
      </c>
    </row>
    <row r="39" spans="1:23" x14ac:dyDescent="0.2">
      <c r="A39" s="6" t="s">
        <v>52</v>
      </c>
      <c r="B39" s="6" t="s">
        <v>46</v>
      </c>
      <c r="C39" s="10">
        <f t="shared" si="6"/>
        <v>-16866.494999999999</v>
      </c>
      <c r="E39" s="6" t="s">
        <v>52</v>
      </c>
      <c r="F39" s="6" t="s">
        <v>46</v>
      </c>
      <c r="G39" s="10">
        <f t="shared" si="7"/>
        <v>5974.4489999999996</v>
      </c>
      <c r="I39" s="6" t="s">
        <v>52</v>
      </c>
      <c r="J39" s="6" t="s">
        <v>46</v>
      </c>
      <c r="K39" s="10">
        <f t="shared" si="8"/>
        <v>353490.36600000004</v>
      </c>
      <c r="M39" s="6" t="s">
        <v>52</v>
      </c>
      <c r="N39" s="6" t="s">
        <v>46</v>
      </c>
      <c r="O39" s="10">
        <f t="shared" si="9"/>
        <v>-33543.559000000001</v>
      </c>
      <c r="Q39" s="6" t="s">
        <v>52</v>
      </c>
      <c r="R39" s="6" t="s">
        <v>46</v>
      </c>
      <c r="S39" s="10">
        <f t="shared" si="10"/>
        <v>-81522.771000000008</v>
      </c>
      <c r="U39" s="6" t="s">
        <v>52</v>
      </c>
      <c r="V39" s="6" t="s">
        <v>46</v>
      </c>
      <c r="W39" s="10">
        <f t="shared" si="11"/>
        <v>1830.9640000000018</v>
      </c>
    </row>
    <row r="40" spans="1:23" x14ac:dyDescent="0.2">
      <c r="A40" s="6" t="s">
        <v>52</v>
      </c>
      <c r="B40" s="6" t="s">
        <v>47</v>
      </c>
      <c r="C40" s="10">
        <f t="shared" si="6"/>
        <v>10823487.196999999</v>
      </c>
      <c r="E40" s="6" t="s">
        <v>52</v>
      </c>
      <c r="F40" s="6" t="s">
        <v>47</v>
      </c>
      <c r="G40" s="10">
        <f t="shared" si="7"/>
        <v>-49944.883999999991</v>
      </c>
      <c r="I40" s="6" t="s">
        <v>52</v>
      </c>
      <c r="J40" s="6" t="s">
        <v>47</v>
      </c>
      <c r="K40" s="10">
        <f t="shared" si="8"/>
        <v>3868789.0829999996</v>
      </c>
      <c r="M40" s="6" t="s">
        <v>52</v>
      </c>
      <c r="N40" s="6" t="s">
        <v>47</v>
      </c>
      <c r="O40" s="10">
        <f t="shared" si="9"/>
        <v>-830318.21200000006</v>
      </c>
      <c r="Q40" s="6" t="s">
        <v>52</v>
      </c>
      <c r="R40" s="6" t="s">
        <v>47</v>
      </c>
      <c r="S40" s="10">
        <f t="shared" si="10"/>
        <v>-413354.348</v>
      </c>
      <c r="U40" s="6" t="s">
        <v>52</v>
      </c>
      <c r="V40" s="6" t="s">
        <v>47</v>
      </c>
      <c r="W40" s="10">
        <f t="shared" si="11"/>
        <v>-622979.36500000046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DCE7-1742-DF45-BF84-A83CD36CD62E}">
  <dimension ref="A1:C40"/>
  <sheetViews>
    <sheetView workbookViewId="0">
      <selection activeCell="K17" sqref="K17"/>
    </sheetView>
  </sheetViews>
  <sheetFormatPr baseColWidth="10" defaultRowHeight="16" x14ac:dyDescent="0.2"/>
  <cols>
    <col min="3" max="3" width="17.83203125" bestFit="1" customWidth="1"/>
  </cols>
  <sheetData>
    <row r="1" spans="1:3" x14ac:dyDescent="0.2">
      <c r="A1" s="8" t="s">
        <v>50</v>
      </c>
      <c r="B1" s="8" t="s">
        <v>2</v>
      </c>
      <c r="C1" s="11" t="s">
        <v>64</v>
      </c>
    </row>
    <row r="2" spans="1:3" x14ac:dyDescent="0.2">
      <c r="A2" s="6" t="s">
        <v>51</v>
      </c>
      <c r="B2" s="6" t="s">
        <v>5</v>
      </c>
      <c r="C2" s="10">
        <v>360652286.13800001</v>
      </c>
    </row>
    <row r="3" spans="1:3" x14ac:dyDescent="0.2">
      <c r="A3" s="6" t="s">
        <v>51</v>
      </c>
      <c r="B3" s="6" t="s">
        <v>43</v>
      </c>
      <c r="C3" s="10">
        <v>196666924657.31201</v>
      </c>
    </row>
    <row r="4" spans="1:3" x14ac:dyDescent="0.2">
      <c r="A4" s="6" t="s">
        <v>51</v>
      </c>
      <c r="B4" s="6" t="s">
        <v>44</v>
      </c>
      <c r="C4" s="10">
        <v>0</v>
      </c>
    </row>
    <row r="5" spans="1:3" x14ac:dyDescent="0.2">
      <c r="A5" s="6" t="s">
        <v>51</v>
      </c>
      <c r="B5" s="6" t="s">
        <v>45</v>
      </c>
      <c r="C5" s="10">
        <v>0</v>
      </c>
    </row>
    <row r="6" spans="1:3" x14ac:dyDescent="0.2">
      <c r="A6" s="6" t="s">
        <v>51</v>
      </c>
      <c r="B6" s="6" t="s">
        <v>46</v>
      </c>
      <c r="C6" s="10">
        <v>486074.48100000003</v>
      </c>
    </row>
    <row r="7" spans="1:3" x14ac:dyDescent="0.2">
      <c r="A7" s="6" t="s">
        <v>51</v>
      </c>
      <c r="B7" s="6" t="s">
        <v>47</v>
      </c>
      <c r="C7" s="10">
        <v>-9328676.7050000001</v>
      </c>
    </row>
    <row r="8" spans="1:3" x14ac:dyDescent="0.2">
      <c r="A8" s="6" t="s">
        <v>52</v>
      </c>
      <c r="B8" s="6" t="s">
        <v>5</v>
      </c>
      <c r="C8" s="10">
        <v>-208420922.51300019</v>
      </c>
    </row>
    <row r="9" spans="1:3" x14ac:dyDescent="0.2">
      <c r="A9" s="6" t="s">
        <v>52</v>
      </c>
      <c r="B9" s="6" t="s">
        <v>43</v>
      </c>
      <c r="C9" s="10">
        <v>-2770704731.1709652</v>
      </c>
    </row>
    <row r="10" spans="1:3" x14ac:dyDescent="0.2">
      <c r="A10" s="6" t="s">
        <v>52</v>
      </c>
      <c r="B10" s="6" t="s">
        <v>44</v>
      </c>
      <c r="C10" s="10">
        <v>0</v>
      </c>
    </row>
    <row r="11" spans="1:3" x14ac:dyDescent="0.2">
      <c r="A11" s="6" t="s">
        <v>52</v>
      </c>
      <c r="B11" s="6" t="s">
        <v>45</v>
      </c>
      <c r="C11" s="10">
        <v>0</v>
      </c>
    </row>
    <row r="12" spans="1:3" x14ac:dyDescent="0.2">
      <c r="A12" s="6" t="s">
        <v>52</v>
      </c>
      <c r="B12" s="6" t="s">
        <v>46</v>
      </c>
      <c r="C12" s="10">
        <v>229362.95400000006</v>
      </c>
    </row>
    <row r="13" spans="1:3" x14ac:dyDescent="0.2">
      <c r="A13" s="6" t="s">
        <v>52</v>
      </c>
      <c r="B13" s="6" t="s">
        <v>47</v>
      </c>
      <c r="C13" s="10">
        <v>12775679.470999999</v>
      </c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D4C3-1BE6-994A-A23D-37176FA7D274}">
  <dimension ref="A1:E13"/>
  <sheetViews>
    <sheetView workbookViewId="0">
      <selection activeCell="H14" sqref="H14"/>
    </sheetView>
  </sheetViews>
  <sheetFormatPr baseColWidth="10" defaultRowHeight="16" x14ac:dyDescent="0.2"/>
  <cols>
    <col min="4" max="4" width="17.83203125" bestFit="1" customWidth="1"/>
    <col min="5" max="5" width="13.33203125" bestFit="1" customWidth="1"/>
  </cols>
  <sheetData>
    <row r="1" spans="1:5" x14ac:dyDescent="0.2">
      <c r="A1" s="8" t="s">
        <v>50</v>
      </c>
      <c r="B1" s="14" t="s">
        <v>2</v>
      </c>
      <c r="C1" s="8" t="s">
        <v>54</v>
      </c>
      <c r="D1" s="14" t="s">
        <v>64</v>
      </c>
      <c r="E1" s="14" t="s">
        <v>65</v>
      </c>
    </row>
    <row r="2" spans="1:5" x14ac:dyDescent="0.2">
      <c r="A2" s="6" t="s">
        <v>51</v>
      </c>
      <c r="B2" s="6" t="s">
        <v>5</v>
      </c>
      <c r="C2" s="7">
        <f>L_i!C2</f>
        <v>919800</v>
      </c>
      <c r="D2" s="10">
        <f>delta_M_OC!C2</f>
        <v>360652286.13800001</v>
      </c>
      <c r="E2" s="10">
        <f>D2/C2</f>
        <v>392.0985933224614</v>
      </c>
    </row>
    <row r="3" spans="1:5" x14ac:dyDescent="0.2">
      <c r="A3" s="6" t="s">
        <v>51</v>
      </c>
      <c r="B3" s="6" t="s">
        <v>43</v>
      </c>
      <c r="C3" s="7">
        <f>L_i!C3</f>
        <v>8638900</v>
      </c>
      <c r="D3" s="10">
        <f>delta_M_OC!C3</f>
        <v>196666924657.31201</v>
      </c>
      <c r="E3" s="10">
        <f t="shared" ref="E3:E13" si="0">D3/C3</f>
        <v>22765.273895670976</v>
      </c>
    </row>
    <row r="4" spans="1:5" x14ac:dyDescent="0.2">
      <c r="A4" s="6" t="s">
        <v>51</v>
      </c>
      <c r="B4" s="6" t="s">
        <v>44</v>
      </c>
      <c r="C4" s="7">
        <f>L_i!C4</f>
        <v>2830400</v>
      </c>
      <c r="D4" s="10">
        <f>delta_M_OC!C4</f>
        <v>0</v>
      </c>
      <c r="E4" s="10">
        <f t="shared" si="0"/>
        <v>0</v>
      </c>
    </row>
    <row r="5" spans="1:5" x14ac:dyDescent="0.2">
      <c r="A5" s="6" t="s">
        <v>51</v>
      </c>
      <c r="B5" s="6" t="s">
        <v>45</v>
      </c>
      <c r="C5" s="7">
        <f>L_i!C5</f>
        <v>7772900</v>
      </c>
      <c r="D5" s="10">
        <f>delta_M_OC!C5</f>
        <v>0</v>
      </c>
      <c r="E5" s="10">
        <f t="shared" si="0"/>
        <v>0</v>
      </c>
    </row>
    <row r="6" spans="1:5" x14ac:dyDescent="0.2">
      <c r="A6" s="6" t="s">
        <v>51</v>
      </c>
      <c r="B6" s="6" t="s">
        <v>46</v>
      </c>
      <c r="C6" s="7">
        <f>L_i!C6</f>
        <v>3768800</v>
      </c>
      <c r="D6" s="10">
        <f>delta_M_OC!C6</f>
        <v>486074.48100000003</v>
      </c>
      <c r="E6" s="10">
        <f t="shared" si="0"/>
        <v>0.12897327557843347</v>
      </c>
    </row>
    <row r="7" spans="1:5" x14ac:dyDescent="0.2">
      <c r="A7" s="6" t="s">
        <v>51</v>
      </c>
      <c r="B7" s="6" t="s">
        <v>47</v>
      </c>
      <c r="C7" s="7">
        <f>L_i!C7</f>
        <v>9883600</v>
      </c>
      <c r="D7" s="10">
        <f>delta_M_OC!C7</f>
        <v>-9328676.7050000001</v>
      </c>
      <c r="E7" s="10">
        <f t="shared" si="0"/>
        <v>-0.94385413260350481</v>
      </c>
    </row>
    <row r="8" spans="1:5" x14ac:dyDescent="0.2">
      <c r="A8" s="6" t="s">
        <v>52</v>
      </c>
      <c r="B8" s="6" t="s">
        <v>5</v>
      </c>
      <c r="C8" s="7">
        <f>L_i!C14</f>
        <v>541100</v>
      </c>
      <c r="D8" s="10">
        <f>delta_M_OC!C8</f>
        <v>-208420922.51300019</v>
      </c>
      <c r="E8" s="10">
        <f t="shared" si="0"/>
        <v>-385.18004530216263</v>
      </c>
    </row>
    <row r="9" spans="1:5" x14ac:dyDescent="0.2">
      <c r="A9" s="6" t="s">
        <v>52</v>
      </c>
      <c r="B9" s="6" t="s">
        <v>43</v>
      </c>
      <c r="C9" s="7">
        <f>L_i!C15</f>
        <v>8311100</v>
      </c>
      <c r="D9" s="10">
        <f>delta_M_OC!C9</f>
        <v>-2770704731.1709652</v>
      </c>
      <c r="E9" s="10">
        <f t="shared" si="0"/>
        <v>-333.37400959812362</v>
      </c>
    </row>
    <row r="10" spans="1:5" x14ac:dyDescent="0.2">
      <c r="A10" s="6" t="s">
        <v>52</v>
      </c>
      <c r="B10" s="6" t="s">
        <v>44</v>
      </c>
      <c r="C10" s="7">
        <f>L_i!C16</f>
        <v>2573000</v>
      </c>
      <c r="D10" s="10">
        <f>delta_M_OC!C10</f>
        <v>0</v>
      </c>
      <c r="E10" s="10">
        <f t="shared" si="0"/>
        <v>0</v>
      </c>
    </row>
    <row r="11" spans="1:5" x14ac:dyDescent="0.2">
      <c r="A11" s="6" t="s">
        <v>52</v>
      </c>
      <c r="B11" s="6" t="s">
        <v>45</v>
      </c>
      <c r="C11" s="7">
        <f>L_i!C17</f>
        <v>9643700</v>
      </c>
      <c r="D11" s="10">
        <f>delta_M_OC!C11</f>
        <v>0</v>
      </c>
      <c r="E11" s="10">
        <f t="shared" si="0"/>
        <v>0</v>
      </c>
    </row>
    <row r="12" spans="1:5" x14ac:dyDescent="0.2">
      <c r="A12" s="6" t="s">
        <v>52</v>
      </c>
      <c r="B12" s="6" t="s">
        <v>46</v>
      </c>
      <c r="C12" s="7">
        <f>L_i!C18</f>
        <v>5389800</v>
      </c>
      <c r="D12" s="10">
        <f>delta_M_OC!C12</f>
        <v>229362.95400000006</v>
      </c>
      <c r="E12" s="10">
        <f t="shared" si="0"/>
        <v>4.2555002783034632E-2</v>
      </c>
    </row>
    <row r="13" spans="1:5" x14ac:dyDescent="0.2">
      <c r="A13" s="6" t="s">
        <v>52</v>
      </c>
      <c r="B13" s="6" t="s">
        <v>47</v>
      </c>
      <c r="C13" s="7">
        <f>L_i!C19</f>
        <v>11789600</v>
      </c>
      <c r="D13" s="10">
        <f>delta_M_OC!C13</f>
        <v>12775679.470999999</v>
      </c>
      <c r="E13" s="10">
        <f t="shared" si="0"/>
        <v>1.0836397732747505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6010-8D8B-2B4D-A342-F3D0AAF91306}">
  <dimension ref="A1:R40"/>
  <sheetViews>
    <sheetView workbookViewId="0">
      <selection activeCell="J11" sqref="J11"/>
    </sheetView>
  </sheetViews>
  <sheetFormatPr baseColWidth="10" defaultRowHeight="16" x14ac:dyDescent="0.2"/>
  <cols>
    <col min="1" max="1" width="22.83203125" bestFit="1" customWidth="1"/>
    <col min="2" max="2" width="11" bestFit="1" customWidth="1"/>
    <col min="3" max="3" width="12.6640625" bestFit="1" customWidth="1"/>
    <col min="4" max="7" width="11" bestFit="1" customWidth="1"/>
    <col min="8" max="8" width="18.5" bestFit="1" customWidth="1"/>
    <col min="11" max="11" width="22.83203125" bestFit="1" customWidth="1"/>
    <col min="12" max="12" width="11" bestFit="1" customWidth="1"/>
    <col min="13" max="13" width="11.33203125" bestFit="1" customWidth="1"/>
    <col min="14" max="17" width="11" bestFit="1" customWidth="1"/>
    <col min="18" max="18" width="18.5" bestFit="1" customWidth="1"/>
  </cols>
  <sheetData>
    <row r="1" spans="1:18" x14ac:dyDescent="0.2">
      <c r="A1" s="20" t="s">
        <v>66</v>
      </c>
      <c r="B1" s="20"/>
      <c r="C1" s="20"/>
      <c r="D1" s="20"/>
      <c r="E1" s="20"/>
      <c r="F1" s="20"/>
      <c r="G1" s="20"/>
      <c r="H1" s="20"/>
      <c r="K1" s="20" t="s">
        <v>67</v>
      </c>
      <c r="L1" s="20"/>
      <c r="M1" s="20"/>
      <c r="N1" s="20"/>
      <c r="O1" s="20"/>
      <c r="P1" s="20"/>
      <c r="Q1" s="20"/>
      <c r="R1" s="20"/>
    </row>
    <row r="2" spans="1:18" x14ac:dyDescent="0.2">
      <c r="A2" s="14"/>
      <c r="B2" s="8" t="s">
        <v>5</v>
      </c>
      <c r="C2" s="8" t="s">
        <v>43</v>
      </c>
      <c r="D2" s="8" t="s">
        <v>44</v>
      </c>
      <c r="E2" s="8" t="s">
        <v>45</v>
      </c>
      <c r="F2" s="8" t="s">
        <v>46</v>
      </c>
      <c r="G2" s="8" t="s">
        <v>47</v>
      </c>
      <c r="H2" s="8" t="s">
        <v>68</v>
      </c>
      <c r="K2" s="14"/>
      <c r="L2" s="8" t="s">
        <v>5</v>
      </c>
      <c r="M2" s="8" t="s">
        <v>43</v>
      </c>
      <c r="N2" s="8" t="s">
        <v>44</v>
      </c>
      <c r="O2" s="8" t="s">
        <v>45</v>
      </c>
      <c r="P2" s="8" t="s">
        <v>46</v>
      </c>
      <c r="Q2" s="8" t="s">
        <v>47</v>
      </c>
      <c r="R2" s="8" t="s">
        <v>69</v>
      </c>
    </row>
    <row r="3" spans="1:18" x14ac:dyDescent="0.2">
      <c r="A3" s="8" t="s">
        <v>4</v>
      </c>
      <c r="B3" s="7">
        <f>s_ri!B3*shock_OC!$E$2</f>
        <v>6.726602340911505</v>
      </c>
      <c r="C3" s="7">
        <f>s_ri!C3*shock_OC!$E$3</f>
        <v>8447.2953835950957</v>
      </c>
      <c r="D3" s="7">
        <f>s_ri!D3*shock_OC!$E$4</f>
        <v>0</v>
      </c>
      <c r="E3" s="7">
        <f>s_ri!E3*shock_OC!$E$5</f>
        <v>0</v>
      </c>
      <c r="F3" s="7">
        <f>s_ri!F3*shock_OC!$E$6</f>
        <v>1.376327583180104E-2</v>
      </c>
      <c r="G3" s="7">
        <f>s_ri!G3*shock_OC!$E$7</f>
        <v>-0.22632840943493196</v>
      </c>
      <c r="H3" s="7">
        <f>SUM(B3:G3)/1000</f>
        <v>8.4538094208024042</v>
      </c>
      <c r="K3" s="8" t="s">
        <v>4</v>
      </c>
      <c r="L3" s="7">
        <f>s_ri!K3*shock_OC!$E$8</f>
        <v>-3.9249195119498288</v>
      </c>
      <c r="M3" s="7">
        <f>s_ri!L3*shock_OC!$E$9</f>
        <v>-102.70395702510858</v>
      </c>
      <c r="N3" s="7">
        <f>s_ri!M3*shock_OC!$E$10</f>
        <v>0</v>
      </c>
      <c r="O3" s="7">
        <f>s_ri!N3*shock_OC!$E$11</f>
        <v>0</v>
      </c>
      <c r="P3" s="7">
        <f>s_ri!O3*shock_OC!$E$12</f>
        <v>6.0399797049938983E-3</v>
      </c>
      <c r="Q3" s="7">
        <f>s_ri!P3*shock_OC!$E$12</f>
        <v>1.1133461132601725E-2</v>
      </c>
      <c r="R3" s="7">
        <f>SUM(L3:Q3)/1000</f>
        <v>-0.10661170309622081</v>
      </c>
    </row>
    <row r="4" spans="1:18" x14ac:dyDescent="0.2">
      <c r="A4" s="8" t="s">
        <v>6</v>
      </c>
      <c r="B4" s="7">
        <f>s_ri!B4*shock_OC!$E$2</f>
        <v>5.7868159567297237</v>
      </c>
      <c r="C4" s="7">
        <f>s_ri!C4*shock_OC!$E$3</f>
        <v>7368.3201808714957</v>
      </c>
      <c r="D4" s="7">
        <f>s_ri!D4*shock_OC!$E$4</f>
        <v>0</v>
      </c>
      <c r="E4" s="7">
        <f>s_ri!E4*shock_OC!$E$5</f>
        <v>0</v>
      </c>
      <c r="F4" s="7">
        <f>s_ri!F4*shock_OC!$E$6</f>
        <v>1.4875607283914181E-2</v>
      </c>
      <c r="G4" s="7">
        <f>s_ri!G4*shock_OC!$E$7</f>
        <v>-0.26990266613947689</v>
      </c>
      <c r="H4" s="7">
        <f t="shared" ref="H4:H40" si="0">SUM(B4:G4)/1000</f>
        <v>7.3738519697693699</v>
      </c>
      <c r="K4" s="8" t="s">
        <v>6</v>
      </c>
      <c r="L4" s="7">
        <f>s_ri!K4*shock_OC!$E$8</f>
        <v>-1.7308166544423149</v>
      </c>
      <c r="M4" s="7">
        <f>s_ri!L4*shock_OC!$E$9</f>
        <v>-89.652980037393334</v>
      </c>
      <c r="N4" s="7">
        <f>s_ri!M4*shock_OC!$E$10</f>
        <v>0</v>
      </c>
      <c r="O4" s="7">
        <f>s_ri!N4*shock_OC!$E$11</f>
        <v>0</v>
      </c>
      <c r="P4" s="7">
        <f>s_ri!O4*shock_OC!$E$12</f>
        <v>5.8663027446529074E-3</v>
      </c>
      <c r="Q4" s="7">
        <f>s_ri!P4*shock_OC!$E$12</f>
        <v>1.2721126117548434E-2</v>
      </c>
      <c r="R4" s="7">
        <f t="shared" ref="R4:R40" si="1">SUM(L4:Q4)/1000</f>
        <v>-9.1365209262973451E-2</v>
      </c>
    </row>
    <row r="5" spans="1:18" x14ac:dyDescent="0.2">
      <c r="A5" s="8" t="s">
        <v>7</v>
      </c>
      <c r="B5" s="7">
        <f>s_ri!B5*shock_OC!$E$2</f>
        <v>12.879453160465305</v>
      </c>
      <c r="C5" s="7">
        <f>s_ri!C5*shock_OC!$E$3</f>
        <v>7494.6513237015661</v>
      </c>
      <c r="D5" s="7">
        <f>s_ri!D5*shock_OC!$E$4</f>
        <v>0</v>
      </c>
      <c r="E5" s="7">
        <f>s_ri!E5*shock_OC!$E$5</f>
        <v>0</v>
      </c>
      <c r="F5" s="7">
        <f>s_ri!F5*shock_OC!$E$6</f>
        <v>1.1796668425319326E-2</v>
      </c>
      <c r="G5" s="7">
        <f>s_ri!G5*shock_OC!$E$7</f>
        <v>-0.25251188401823799</v>
      </c>
      <c r="H5" s="7">
        <f t="shared" si="0"/>
        <v>7.5072900616464384</v>
      </c>
      <c r="K5" s="8" t="s">
        <v>7</v>
      </c>
      <c r="L5" s="7">
        <f>s_ri!K5*shock_OC!$E$8</f>
        <v>-4.2050223286262289</v>
      </c>
      <c r="M5" s="7">
        <f>s_ri!L5*shock_OC!$E$9</f>
        <v>-95.596331718821489</v>
      </c>
      <c r="N5" s="7">
        <f>s_ri!M5*shock_OC!$E$10</f>
        <v>0</v>
      </c>
      <c r="O5" s="7">
        <f>s_ri!N5*shock_OC!$E$11</f>
        <v>0</v>
      </c>
      <c r="P5" s="7">
        <f>s_ri!O5*shock_OC!$E$12</f>
        <v>4.2353687267685479E-3</v>
      </c>
      <c r="Q5" s="7">
        <f>s_ri!P5*shock_OC!$E$12</f>
        <v>1.2702234728087392E-2</v>
      </c>
      <c r="R5" s="7">
        <f t="shared" si="1"/>
        <v>-9.9784416443992871E-2</v>
      </c>
    </row>
    <row r="6" spans="1:18" x14ac:dyDescent="0.2">
      <c r="A6" s="8" t="s">
        <v>8</v>
      </c>
      <c r="B6" s="7">
        <f>s_ri!B6*shock_OC!$E$2</f>
        <v>15.736725296003064</v>
      </c>
      <c r="C6" s="7">
        <f>s_ri!C6*shock_OC!$E$3</f>
        <v>8237.2666233494765</v>
      </c>
      <c r="D6" s="7">
        <f>s_ri!D6*shock_OC!$E$4</f>
        <v>0</v>
      </c>
      <c r="E6" s="7">
        <f>s_ri!E6*shock_OC!$E$5</f>
        <v>0</v>
      </c>
      <c r="F6" s="7">
        <f>s_ri!F6*shock_OC!$E$6</f>
        <v>1.1542167750880622E-2</v>
      </c>
      <c r="G6" s="7">
        <f>s_ri!G6*shock_OC!$E$7</f>
        <v>-0.24163983402313333</v>
      </c>
      <c r="H6" s="7">
        <f t="shared" si="0"/>
        <v>8.2527732509792084</v>
      </c>
      <c r="K6" s="8" t="s">
        <v>8</v>
      </c>
      <c r="L6" s="7">
        <f>s_ri!K6*shock_OC!$E$8</f>
        <v>-8.0362858582391752</v>
      </c>
      <c r="M6" s="7">
        <f>s_ri!L6*shock_OC!$E$9</f>
        <v>-107.84639861817034</v>
      </c>
      <c r="N6" s="7">
        <f>s_ri!M6*shock_OC!$E$10</f>
        <v>0</v>
      </c>
      <c r="O6" s="7">
        <f>s_ri!N6*shock_OC!$E$11</f>
        <v>0</v>
      </c>
      <c r="P6" s="7">
        <f>s_ri!O6*shock_OC!$E$12</f>
        <v>4.2626604021592743E-3</v>
      </c>
      <c r="Q6" s="7">
        <f>s_ri!P6*shock_OC!$E$12</f>
        <v>1.2425201597783415E-2</v>
      </c>
      <c r="R6" s="7">
        <f t="shared" si="1"/>
        <v>-0.11586599661440956</v>
      </c>
    </row>
    <row r="7" spans="1:18" x14ac:dyDescent="0.2">
      <c r="A7" s="8" t="s">
        <v>9</v>
      </c>
      <c r="B7" s="7">
        <f>s_ri!B7*shock_OC!$E$2</f>
        <v>10.45226724260411</v>
      </c>
      <c r="C7" s="7">
        <f>s_ri!C7*shock_OC!$E$3</f>
        <v>5457.137398730034</v>
      </c>
      <c r="D7" s="7">
        <f>s_ri!D7*shock_OC!$E$4</f>
        <v>0</v>
      </c>
      <c r="E7" s="7">
        <f>s_ri!E7*shock_OC!$E$5</f>
        <v>0</v>
      </c>
      <c r="F7" s="7">
        <f>s_ri!F7*shock_OC!$E$6</f>
        <v>2.1611667675307752E-2</v>
      </c>
      <c r="G7" s="7">
        <f>s_ri!G7*shock_OC!$E$7</f>
        <v>-0.26180313043487941</v>
      </c>
      <c r="H7" s="7">
        <f t="shared" si="0"/>
        <v>5.467349474509879</v>
      </c>
      <c r="K7" s="8" t="s">
        <v>9</v>
      </c>
      <c r="L7" s="7">
        <f>s_ri!K7*shock_OC!$E$8</f>
        <v>-5.9079836720696983</v>
      </c>
      <c r="M7" s="7">
        <f>s_ri!L7*shock_OC!$E$9</f>
        <v>-66.621599222818574</v>
      </c>
      <c r="N7" s="7">
        <f>s_ri!M7*shock_OC!$E$10</f>
        <v>0</v>
      </c>
      <c r="O7" s="7">
        <f>s_ri!N7*shock_OC!$E$11</f>
        <v>0</v>
      </c>
      <c r="P7" s="7">
        <f>s_ri!O7*shock_OC!$E$12</f>
        <v>7.8175339805344225E-3</v>
      </c>
      <c r="Q7" s="7">
        <f>s_ri!P7*shock_OC!$E$12</f>
        <v>1.1926266849647349E-2</v>
      </c>
      <c r="R7" s="7">
        <f t="shared" si="1"/>
        <v>-7.2509839094058115E-2</v>
      </c>
    </row>
    <row r="8" spans="1:18" x14ac:dyDescent="0.2">
      <c r="A8" s="8" t="s">
        <v>10</v>
      </c>
      <c r="B8" s="7">
        <f>s_ri!B8*shock_OC!$E$2</f>
        <v>25.196227296533621</v>
      </c>
      <c r="C8" s="7">
        <f>s_ri!C8*shock_OC!$E$3</f>
        <v>6891.2209969386695</v>
      </c>
      <c r="D8" s="7">
        <f>s_ri!D8*shock_OC!$E$4</f>
        <v>0</v>
      </c>
      <c r="E8" s="7">
        <f>s_ri!E8*shock_OC!$E$5</f>
        <v>0</v>
      </c>
      <c r="F8" s="7">
        <f>s_ri!F8*shock_OC!$E$6</f>
        <v>1.1360822830735655E-2</v>
      </c>
      <c r="G8" s="7">
        <f>s_ri!G8*shock_OC!$E$7</f>
        <v>-0.21858571338092</v>
      </c>
      <c r="H8" s="7">
        <f t="shared" si="0"/>
        <v>6.9162099993446526</v>
      </c>
      <c r="K8" s="8" t="s">
        <v>10</v>
      </c>
      <c r="L8" s="7">
        <f>s_ri!K8*shock_OC!$E$8</f>
        <v>-13.470988866825968</v>
      </c>
      <c r="M8" s="7">
        <f>s_ri!L8*shock_OC!$E$9</f>
        <v>-90.986112726663265</v>
      </c>
      <c r="N8" s="7">
        <f>s_ri!M8*shock_OC!$E$10</f>
        <v>0</v>
      </c>
      <c r="O8" s="7">
        <f>s_ri!N8*shock_OC!$E$11</f>
        <v>0</v>
      </c>
      <c r="P8" s="7">
        <f>s_ri!O8*shock_OC!$E$12</f>
        <v>4.3722844224871596E-3</v>
      </c>
      <c r="Q8" s="7">
        <f>s_ri!P8*shock_OC!$E$12</f>
        <v>1.1108735666254022E-2</v>
      </c>
      <c r="R8" s="7">
        <f t="shared" si="1"/>
        <v>-0.10444162057340048</v>
      </c>
    </row>
    <row r="9" spans="1:18" x14ac:dyDescent="0.2">
      <c r="A9" s="8" t="s">
        <v>11</v>
      </c>
      <c r="B9" s="7">
        <f>s_ri!B9*shock_OC!$E$2</f>
        <v>23.693912571426022</v>
      </c>
      <c r="C9" s="7">
        <f>s_ri!C9*shock_OC!$E$3</f>
        <v>6744.9255317408351</v>
      </c>
      <c r="D9" s="7">
        <f>s_ri!D9*shock_OC!$E$4</f>
        <v>0</v>
      </c>
      <c r="E9" s="7">
        <f>s_ri!E9*shock_OC!$E$5</f>
        <v>0</v>
      </c>
      <c r="F9" s="7">
        <f>s_ri!F9*shock_OC!$E$6</f>
        <v>1.0400229780880144E-2</v>
      </c>
      <c r="G9" s="7">
        <f>s_ri!G9*shock_OC!$E$7</f>
        <v>-0.2472180589842648</v>
      </c>
      <c r="H9" s="7">
        <f t="shared" si="0"/>
        <v>6.7683826264830582</v>
      </c>
      <c r="K9" s="8" t="s">
        <v>11</v>
      </c>
      <c r="L9" s="7">
        <f>s_ri!K9*shock_OC!$E$8</f>
        <v>-10.024065409303237</v>
      </c>
      <c r="M9" s="7">
        <f>s_ri!L9*shock_OC!$E$9</f>
        <v>-95.37277867794235</v>
      </c>
      <c r="N9" s="7">
        <f>s_ri!M9*shock_OC!$E$10</f>
        <v>0</v>
      </c>
      <c r="O9" s="7">
        <f>s_ri!N9*shock_OC!$E$11</f>
        <v>0</v>
      </c>
      <c r="P9" s="7">
        <f>s_ri!O9*shock_OC!$E$12</f>
        <v>4.1785274050524963E-3</v>
      </c>
      <c r="Q9" s="7">
        <f>s_ri!P9*shock_OC!$E$12</f>
        <v>1.264554346265887E-2</v>
      </c>
      <c r="R9" s="7">
        <f t="shared" si="1"/>
        <v>-0.10538002001637789</v>
      </c>
    </row>
    <row r="10" spans="1:18" x14ac:dyDescent="0.2">
      <c r="A10" s="8" t="s">
        <v>12</v>
      </c>
      <c r="B10" s="7">
        <f>s_ri!B10*shock_OC!$E$2</f>
        <v>11.007908313916474</v>
      </c>
      <c r="C10" s="7">
        <f>s_ri!C10*shock_OC!$E$3</f>
        <v>7088.8308393993257</v>
      </c>
      <c r="D10" s="7">
        <f>s_ri!D10*shock_OC!$E$4</f>
        <v>0</v>
      </c>
      <c r="E10" s="7">
        <f>s_ri!E10*shock_OC!$E$5</f>
        <v>0</v>
      </c>
      <c r="F10" s="7">
        <f>s_ri!F10*shock_OC!$E$6</f>
        <v>1.2392449966611045E-2</v>
      </c>
      <c r="G10" s="7">
        <f>s_ri!G10*shock_OC!$E$7</f>
        <v>-0.24799963270661485</v>
      </c>
      <c r="H10" s="7">
        <f t="shared" si="0"/>
        <v>7.099603140530502</v>
      </c>
      <c r="K10" s="8" t="s">
        <v>12</v>
      </c>
      <c r="L10" s="7">
        <f>s_ri!K10*shock_OC!$E$8</f>
        <v>-6.762703085457817</v>
      </c>
      <c r="M10" s="7">
        <f>s_ri!L10*shock_OC!$E$9</f>
        <v>-97.022016152125687</v>
      </c>
      <c r="N10" s="7">
        <f>s_ri!M10*shock_OC!$E$10</f>
        <v>0</v>
      </c>
      <c r="O10" s="7">
        <f>s_ri!N10*shock_OC!$E$11</f>
        <v>0</v>
      </c>
      <c r="P10" s="7">
        <f>s_ri!O10*shock_OC!$E$12</f>
        <v>4.7184077513250221E-3</v>
      </c>
      <c r="Q10" s="7">
        <f>s_ri!P10*shock_OC!$E$12</f>
        <v>1.2319835729363272E-2</v>
      </c>
      <c r="R10" s="7">
        <f t="shared" si="1"/>
        <v>-0.10376768099410281</v>
      </c>
    </row>
    <row r="11" spans="1:18" x14ac:dyDescent="0.2">
      <c r="A11" s="8" t="s">
        <v>13</v>
      </c>
      <c r="B11" s="7">
        <f>s_ri!B11*shock_OC!$E$2</f>
        <v>17.229985692317186</v>
      </c>
      <c r="C11" s="7">
        <f>s_ri!C11*shock_OC!$E$3</f>
        <v>7038.669403214185</v>
      </c>
      <c r="D11" s="7">
        <f>s_ri!D11*shock_OC!$E$4</f>
        <v>0</v>
      </c>
      <c r="E11" s="7">
        <f>s_ri!E11*shock_OC!$E$5</f>
        <v>0</v>
      </c>
      <c r="F11" s="7">
        <f>s_ri!F11*shock_OC!$E$6</f>
        <v>1.5623840984560823E-2</v>
      </c>
      <c r="G11" s="7">
        <f>s_ri!G11*shock_OC!$E$7</f>
        <v>-0.22070592807777917</v>
      </c>
      <c r="H11" s="7">
        <f t="shared" si="0"/>
        <v>7.0556943068194089</v>
      </c>
      <c r="K11" s="8" t="s">
        <v>13</v>
      </c>
      <c r="L11" s="7">
        <f>s_ri!K11*shock_OC!$E$8</f>
        <v>-5.4199818757339955</v>
      </c>
      <c r="M11" s="7">
        <f>s_ri!L11*shock_OC!$E$9</f>
        <v>-87.135397208515187</v>
      </c>
      <c r="N11" s="7">
        <f>s_ri!M11*shock_OC!$E$10</f>
        <v>0</v>
      </c>
      <c r="O11" s="7">
        <f>s_ri!N11*shock_OC!$E$11</f>
        <v>0</v>
      </c>
      <c r="P11" s="7">
        <f>s_ri!O11*shock_OC!$E$12</f>
        <v>5.6387374700784627E-3</v>
      </c>
      <c r="Q11" s="7">
        <f>s_ri!P11*shock_OC!$E$12</f>
        <v>1.2105820444610933E-2</v>
      </c>
      <c r="R11" s="7">
        <f t="shared" si="1"/>
        <v>-9.2537634526334483E-2</v>
      </c>
    </row>
    <row r="12" spans="1:18" x14ac:dyDescent="0.2">
      <c r="A12" s="8" t="s">
        <v>14</v>
      </c>
      <c r="B12" s="7">
        <f>s_ri!B12*shock_OC!$E$2</f>
        <v>10.439329594486162</v>
      </c>
      <c r="C12" s="7">
        <f>s_ri!C12*shock_OC!$E$3</f>
        <v>7033.1430571856927</v>
      </c>
      <c r="D12" s="7">
        <f>s_ri!D12*shock_OC!$E$4</f>
        <v>0</v>
      </c>
      <c r="E12" s="7">
        <f>s_ri!E12*shock_OC!$E$5</f>
        <v>0</v>
      </c>
      <c r="F12" s="7">
        <f>s_ri!F12*shock_OC!$E$6</f>
        <v>1.155403590664131E-2</v>
      </c>
      <c r="G12" s="7">
        <f>s_ri!G12*shock_OC!$E$7</f>
        <v>-0.25856419305749062</v>
      </c>
      <c r="H12" s="7">
        <f t="shared" si="0"/>
        <v>7.0433353766230287</v>
      </c>
      <c r="K12" s="8" t="s">
        <v>14</v>
      </c>
      <c r="L12" s="7">
        <f>s_ri!K12*shock_OC!$E$8</f>
        <v>-6.1355069247089773</v>
      </c>
      <c r="M12" s="7">
        <f>s_ri!L12*shock_OC!$E$9</f>
        <v>-89.76436037272191</v>
      </c>
      <c r="N12" s="7">
        <f>s_ri!M12*shock_OC!$E$10</f>
        <v>0</v>
      </c>
      <c r="O12" s="7">
        <f>s_ri!N12*shock_OC!$E$11</f>
        <v>0</v>
      </c>
      <c r="P12" s="7">
        <f>s_ri!O12*shock_OC!$E$12</f>
        <v>4.5103479745535243E-3</v>
      </c>
      <c r="Q12" s="7">
        <f>s_ri!P12*shock_OC!$E$12</f>
        <v>1.2853188158698774E-2</v>
      </c>
      <c r="R12" s="7">
        <f t="shared" si="1"/>
        <v>-9.588250376129763E-2</v>
      </c>
    </row>
    <row r="13" spans="1:18" x14ac:dyDescent="0.2">
      <c r="A13" s="8" t="s">
        <v>15</v>
      </c>
      <c r="B13" s="7">
        <f>s_ri!B13*shock_OC!$E$2</f>
        <v>16.160559641120148</v>
      </c>
      <c r="C13" s="7">
        <f>s_ri!C13*shock_OC!$E$3</f>
        <v>7114.1480923971803</v>
      </c>
      <c r="D13" s="7">
        <f>s_ri!D13*shock_OC!$E$4</f>
        <v>0</v>
      </c>
      <c r="E13" s="7">
        <f>s_ri!E13*shock_OC!$E$5</f>
        <v>0</v>
      </c>
      <c r="F13" s="7">
        <f>s_ri!F13*shock_OC!$E$6</f>
        <v>1.2265790110990289E-2</v>
      </c>
      <c r="G13" s="7">
        <f>s_ri!G13*shock_OC!$E$7</f>
        <v>-0.24200197002284743</v>
      </c>
      <c r="H13" s="7">
        <f t="shared" si="0"/>
        <v>7.1300789158583884</v>
      </c>
      <c r="K13" s="8" t="s">
        <v>15</v>
      </c>
      <c r="L13" s="7">
        <f>s_ri!K13*shock_OC!$E$8</f>
        <v>-8.8108784688442796</v>
      </c>
      <c r="M13" s="7">
        <f>s_ri!L13*shock_OC!$E$9</f>
        <v>-94.962461138511827</v>
      </c>
      <c r="N13" s="7">
        <f>s_ri!M13*shock_OC!$E$10</f>
        <v>0</v>
      </c>
      <c r="O13" s="7">
        <f>s_ri!N13*shock_OC!$E$11</f>
        <v>0</v>
      </c>
      <c r="P13" s="7">
        <f>s_ri!O13*shock_OC!$E$12</f>
        <v>4.8526360292023094E-3</v>
      </c>
      <c r="Q13" s="7">
        <f>s_ri!P13*shock_OC!$E$12</f>
        <v>1.1317974451343112E-2</v>
      </c>
      <c r="R13" s="7">
        <f t="shared" si="1"/>
        <v>-0.10375716899687557</v>
      </c>
    </row>
    <row r="14" spans="1:18" x14ac:dyDescent="0.2">
      <c r="A14" s="8" t="s">
        <v>16</v>
      </c>
      <c r="B14" s="7">
        <f>s_ri!B14*shock_OC!$E$2</f>
        <v>3.0873904986020584</v>
      </c>
      <c r="C14" s="7">
        <f>s_ri!C14*shock_OC!$E$3</f>
        <v>3236.0086805698897</v>
      </c>
      <c r="D14" s="7">
        <f>s_ri!D14*shock_OC!$E$4</f>
        <v>0</v>
      </c>
      <c r="E14" s="7">
        <f>s_ri!E14*shock_OC!$E$5</f>
        <v>0</v>
      </c>
      <c r="F14" s="7">
        <f>s_ri!F14*shock_OC!$E$6</f>
        <v>2.1165941619999858E-2</v>
      </c>
      <c r="G14" s="7">
        <f>s_ri!G14*shock_OC!$E$7</f>
        <v>-0.35581957837753347</v>
      </c>
      <c r="H14" s="7">
        <f t="shared" si="0"/>
        <v>3.2387614174317343</v>
      </c>
      <c r="K14" s="8" t="s">
        <v>16</v>
      </c>
      <c r="L14" s="7">
        <f>s_ri!K14*shock_OC!$E$8</f>
        <v>0</v>
      </c>
      <c r="M14" s="7">
        <f>s_ri!L14*shock_OC!$E$9</f>
        <v>-31.203772675613028</v>
      </c>
      <c r="N14" s="7">
        <f>s_ri!M14*shock_OC!$E$10</f>
        <v>0</v>
      </c>
      <c r="O14" s="7">
        <f>s_ri!N14*shock_OC!$E$11</f>
        <v>0</v>
      </c>
      <c r="P14" s="7">
        <f>s_ri!O14*shock_OC!$E$12</f>
        <v>8.1541197076151015E-3</v>
      </c>
      <c r="Q14" s="7">
        <f>s_ri!P14*shock_OC!$E$12</f>
        <v>1.5761316751914552E-2</v>
      </c>
      <c r="R14" s="7">
        <f t="shared" si="1"/>
        <v>-3.1179857239153497E-2</v>
      </c>
    </row>
    <row r="15" spans="1:18" x14ac:dyDescent="0.2">
      <c r="A15" s="8" t="s">
        <v>17</v>
      </c>
      <c r="B15" s="7">
        <f>s_ri!B15*shock_OC!$E$2</f>
        <v>21.127559131197131</v>
      </c>
      <c r="C15" s="7">
        <f>s_ri!C15*shock_OC!$E$3</f>
        <v>3434.2699277453626</v>
      </c>
      <c r="D15" s="7">
        <f>s_ri!D15*shock_OC!$E$4</f>
        <v>0</v>
      </c>
      <c r="E15" s="7">
        <f>s_ri!E15*shock_OC!$E$5</f>
        <v>0</v>
      </c>
      <c r="F15" s="7">
        <f>s_ri!F15*shock_OC!$E$6</f>
        <v>1.1510822401339783E-2</v>
      </c>
      <c r="G15" s="7">
        <f>s_ri!G15*shock_OC!$E$7</f>
        <v>-0.30009508753159264</v>
      </c>
      <c r="H15" s="7">
        <f t="shared" si="0"/>
        <v>3.4551089026114297</v>
      </c>
      <c r="K15" s="8" t="s">
        <v>17</v>
      </c>
      <c r="L15" s="7">
        <f>s_ri!K15*shock_OC!$E$8</f>
        <v>-8.833064018395433</v>
      </c>
      <c r="M15" s="7">
        <f>s_ri!L15*shock_OC!$E$9</f>
        <v>-50.451593223896126</v>
      </c>
      <c r="N15" s="7">
        <f>s_ri!M15*shock_OC!$E$10</f>
        <v>0</v>
      </c>
      <c r="O15" s="7">
        <f>s_ri!N15*shock_OC!$E$11</f>
        <v>0</v>
      </c>
      <c r="P15" s="7">
        <f>s_ri!O15*shock_OC!$E$12</f>
        <v>6.1925583680564689E-3</v>
      </c>
      <c r="Q15" s="7">
        <f>s_ri!P15*shock_OC!$E$12</f>
        <v>1.4268716471471947E-2</v>
      </c>
      <c r="R15" s="7">
        <f t="shared" si="1"/>
        <v>-5.9264195967452034E-2</v>
      </c>
    </row>
    <row r="16" spans="1:18" x14ac:dyDescent="0.2">
      <c r="A16" s="8" t="s">
        <v>18</v>
      </c>
      <c r="B16" s="7">
        <f>s_ri!B16*shock_OC!$E$2</f>
        <v>0</v>
      </c>
      <c r="C16" s="7">
        <f>s_ri!C16*shock_OC!$E$3</f>
        <v>4726.4721008189181</v>
      </c>
      <c r="D16" s="7">
        <f>s_ri!D16*shock_OC!$E$4</f>
        <v>0</v>
      </c>
      <c r="E16" s="7">
        <f>s_ri!E16*shock_OC!$E$5</f>
        <v>0</v>
      </c>
      <c r="F16" s="7">
        <f>s_ri!F16*shock_OC!$E$6</f>
        <v>1.502601268874953E-2</v>
      </c>
      <c r="G16" s="7">
        <f>s_ri!G16*shock_OC!$E$7</f>
        <v>-0.28583484000800691</v>
      </c>
      <c r="H16" s="7">
        <f t="shared" si="0"/>
        <v>4.7262012919915986</v>
      </c>
      <c r="K16" s="8" t="s">
        <v>18</v>
      </c>
      <c r="L16" s="7">
        <f>s_ri!K16*shock_OC!$E$8</f>
        <v>0</v>
      </c>
      <c r="M16" s="7">
        <f>s_ri!L16*shock_OC!$E$9</f>
        <v>-50.977093700683945</v>
      </c>
      <c r="N16" s="7">
        <f>s_ri!M16*shock_OC!$E$10</f>
        <v>0</v>
      </c>
      <c r="O16" s="7">
        <f>s_ri!N16*shock_OC!$E$11</f>
        <v>0</v>
      </c>
      <c r="P16" s="7">
        <f>s_ri!O16*shock_OC!$E$12</f>
        <v>6.5219525763180672E-3</v>
      </c>
      <c r="Q16" s="7">
        <f>s_ri!P16*shock_OC!$E$12</f>
        <v>1.3988260276808889E-2</v>
      </c>
      <c r="R16" s="7">
        <f t="shared" si="1"/>
        <v>-5.095658348783081E-2</v>
      </c>
    </row>
    <row r="17" spans="1:18" x14ac:dyDescent="0.2">
      <c r="A17" s="8" t="s">
        <v>19</v>
      </c>
      <c r="B17" s="7">
        <f>s_ri!B17*shock_OC!$E$2</f>
        <v>0</v>
      </c>
      <c r="C17" s="7">
        <f>s_ri!C17*shock_OC!$E$3</f>
        <v>3726.2927393944383</v>
      </c>
      <c r="D17" s="7">
        <f>s_ri!D17*shock_OC!$E$4</f>
        <v>0</v>
      </c>
      <c r="E17" s="7">
        <f>s_ri!E17*shock_OC!$E$5</f>
        <v>0</v>
      </c>
      <c r="F17" s="7">
        <f>s_ri!F17*shock_OC!$E$6</f>
        <v>2.3319829866338772E-2</v>
      </c>
      <c r="G17" s="7">
        <f>s_ri!G17*shock_OC!$E$7</f>
        <v>-0.27580232155535767</v>
      </c>
      <c r="H17" s="7">
        <f t="shared" si="0"/>
        <v>3.7260402569027495</v>
      </c>
      <c r="K17" s="8" t="s">
        <v>19</v>
      </c>
      <c r="L17" s="7">
        <f>s_ri!K17*shock_OC!$E$8</f>
        <v>0</v>
      </c>
      <c r="M17" s="7">
        <f>s_ri!L17*shock_OC!$E$9</f>
        <v>-37.982808799502557</v>
      </c>
      <c r="N17" s="7">
        <f>s_ri!M17*shock_OC!$E$10</f>
        <v>0</v>
      </c>
      <c r="O17" s="7">
        <f>s_ri!N17*shock_OC!$E$11</f>
        <v>0</v>
      </c>
      <c r="P17" s="7">
        <f>s_ri!O17*shock_OC!$E$12</f>
        <v>9.0531857947597615E-3</v>
      </c>
      <c r="Q17" s="7">
        <f>s_ri!P17*shock_OC!$E$12</f>
        <v>1.301143980613528E-2</v>
      </c>
      <c r="R17" s="7">
        <f t="shared" si="1"/>
        <v>-3.7960744173901662E-2</v>
      </c>
    </row>
    <row r="18" spans="1:18" x14ac:dyDescent="0.2">
      <c r="A18" s="8" t="s">
        <v>20</v>
      </c>
      <c r="B18" s="7">
        <f>s_ri!B18*shock_OC!$E$2</f>
        <v>4.1833766106361834</v>
      </c>
      <c r="C18" s="7">
        <f>s_ri!C18*shock_OC!$E$3</f>
        <v>5292.2413738854584</v>
      </c>
      <c r="D18" s="7">
        <f>s_ri!D18*shock_OC!$E$4</f>
        <v>0</v>
      </c>
      <c r="E18" s="7">
        <f>s_ri!E18*shock_OC!$E$5</f>
        <v>0</v>
      </c>
      <c r="F18" s="7">
        <f>s_ri!F18*shock_OC!$E$6</f>
        <v>2.2505916857501519E-2</v>
      </c>
      <c r="G18" s="7">
        <f>s_ri!G18*shock_OC!$E$7</f>
        <v>-0.25410381543981497</v>
      </c>
      <c r="H18" s="7">
        <f t="shared" si="0"/>
        <v>5.296193152597513</v>
      </c>
      <c r="K18" s="8" t="s">
        <v>20</v>
      </c>
      <c r="L18" s="7">
        <f>s_ri!K18*shock_OC!$E$8</f>
        <v>-2.9982443241091534</v>
      </c>
      <c r="M18" s="7">
        <f>s_ri!L18*shock_OC!$E$9</f>
        <v>-60.102047781230489</v>
      </c>
      <c r="N18" s="7">
        <f>s_ri!M18*shock_OC!$E$10</f>
        <v>0</v>
      </c>
      <c r="O18" s="7">
        <f>s_ri!N18*shock_OC!$E$11</f>
        <v>0</v>
      </c>
      <c r="P18" s="7">
        <f>s_ri!O18*shock_OC!$E$12</f>
        <v>8.7769258910738775E-3</v>
      </c>
      <c r="Q18" s="7">
        <f>s_ri!P18*shock_OC!$E$12</f>
        <v>1.1744263464699013E-2</v>
      </c>
      <c r="R18" s="7">
        <f t="shared" si="1"/>
        <v>-6.3079770915983865E-2</v>
      </c>
    </row>
    <row r="19" spans="1:18" x14ac:dyDescent="0.2">
      <c r="A19" s="8" t="s">
        <v>21</v>
      </c>
      <c r="B19" s="7">
        <f>s_ri!B19*shock_OC!$E$2</f>
        <v>8.6243908281811237</v>
      </c>
      <c r="C19" s="7">
        <f>s_ri!C19*shock_OC!$E$3</f>
        <v>6566.3102937173426</v>
      </c>
      <c r="D19" s="7">
        <f>s_ri!D19*shock_OC!$E$4</f>
        <v>0</v>
      </c>
      <c r="E19" s="7">
        <f>s_ri!E19*shock_OC!$E$5</f>
        <v>0</v>
      </c>
      <c r="F19" s="7">
        <f>s_ri!F19*shock_OC!$E$6</f>
        <v>1.2078449617662817E-2</v>
      </c>
      <c r="G19" s="7">
        <f>s_ri!G19*shock_OC!$E$7</f>
        <v>-0.2833702656614604</v>
      </c>
      <c r="H19" s="7">
        <f t="shared" si="0"/>
        <v>6.5746633927294793</v>
      </c>
      <c r="K19" s="8" t="s">
        <v>21</v>
      </c>
      <c r="L19" s="7">
        <f>s_ri!K19*shock_OC!$E$8</f>
        <v>0</v>
      </c>
      <c r="M19" s="7">
        <f>s_ri!L19*shock_OC!$E$9</f>
        <v>-84.285433987972652</v>
      </c>
      <c r="N19" s="7">
        <f>s_ri!M19*shock_OC!$E$10</f>
        <v>0</v>
      </c>
      <c r="O19" s="7">
        <f>s_ri!N19*shock_OC!$E$11</f>
        <v>0</v>
      </c>
      <c r="P19" s="7">
        <f>s_ri!O19*shock_OC!$E$12</f>
        <v>4.8094812689072203E-3</v>
      </c>
      <c r="Q19" s="7">
        <f>s_ri!P19*shock_OC!$E$12</f>
        <v>1.4651104976578478E-2</v>
      </c>
      <c r="R19" s="7">
        <f t="shared" si="1"/>
        <v>-8.4265973401727159E-2</v>
      </c>
    </row>
    <row r="20" spans="1:18" x14ac:dyDescent="0.2">
      <c r="A20" s="8" t="s">
        <v>22</v>
      </c>
      <c r="B20" s="7">
        <f>s_ri!B20*shock_OC!$E$2</f>
        <v>11.411055569842567</v>
      </c>
      <c r="C20" s="7">
        <f>s_ri!C20*shock_OC!$E$3</f>
        <v>6120.8922678559593</v>
      </c>
      <c r="D20" s="7">
        <f>s_ri!D20*shock_OC!$E$4</f>
        <v>0</v>
      </c>
      <c r="E20" s="7">
        <f>s_ri!E20*shock_OC!$E$5</f>
        <v>0</v>
      </c>
      <c r="F20" s="7">
        <f>s_ri!F20*shock_OC!$E$6</f>
        <v>1.0776024715058749E-2</v>
      </c>
      <c r="G20" s="7">
        <f>s_ri!G20*shock_OC!$E$7</f>
        <v>-0.28124230350014312</v>
      </c>
      <c r="H20" s="7">
        <f t="shared" si="0"/>
        <v>6.1320328571470162</v>
      </c>
      <c r="K20" s="8" t="s">
        <v>22</v>
      </c>
      <c r="L20" s="7">
        <f>s_ri!K20*shock_OC!$E$8</f>
        <v>-4.5496340247606488</v>
      </c>
      <c r="M20" s="7">
        <f>s_ri!L20*shock_OC!$E$9</f>
        <v>-76.495929595122675</v>
      </c>
      <c r="N20" s="7">
        <f>s_ri!M20*shock_OC!$E$10</f>
        <v>0</v>
      </c>
      <c r="O20" s="7">
        <f>s_ri!N20*shock_OC!$E$11</f>
        <v>0</v>
      </c>
      <c r="P20" s="7">
        <f>s_ri!O20*shock_OC!$E$12</f>
        <v>4.752973213390875E-3</v>
      </c>
      <c r="Q20" s="7">
        <f>s_ri!P20*shock_OC!$E$12</f>
        <v>1.4236744026424299E-2</v>
      </c>
      <c r="R20" s="7">
        <f t="shared" si="1"/>
        <v>-8.102657390264352E-2</v>
      </c>
    </row>
    <row r="21" spans="1:18" x14ac:dyDescent="0.2">
      <c r="A21" s="8" t="s">
        <v>23</v>
      </c>
      <c r="B21" s="7">
        <f>s_ri!B21*shock_OC!$E$2</f>
        <v>26.358693798480864</v>
      </c>
      <c r="C21" s="7">
        <f>s_ri!C21*shock_OC!$E$3</f>
        <v>2440.7567468854095</v>
      </c>
      <c r="D21" s="7">
        <f>s_ri!D21*shock_OC!$E$4</f>
        <v>0</v>
      </c>
      <c r="E21" s="7">
        <f>s_ri!E21*shock_OC!$E$5</f>
        <v>0</v>
      </c>
      <c r="F21" s="7">
        <f>s_ri!F21*shock_OC!$E$6</f>
        <v>8.1904112829136698E-3</v>
      </c>
      <c r="G21" s="7">
        <f>s_ri!G21*shock_OC!$E$7</f>
        <v>-0.33179726781837032</v>
      </c>
      <c r="H21" s="7">
        <f t="shared" si="0"/>
        <v>2.4667918338273553</v>
      </c>
      <c r="K21" s="8" t="s">
        <v>23</v>
      </c>
      <c r="L21" s="7">
        <f>s_ri!K21*shock_OC!$E$8</f>
        <v>-14.072176040510898</v>
      </c>
      <c r="M21" s="7">
        <f>s_ri!L21*shock_OC!$E$9</f>
        <v>-47.2238343081411</v>
      </c>
      <c r="N21" s="7">
        <f>s_ri!M21*shock_OC!$E$10</f>
        <v>0</v>
      </c>
      <c r="O21" s="7">
        <f>s_ri!N21*shock_OC!$E$11</f>
        <v>0</v>
      </c>
      <c r="P21" s="7">
        <f>s_ri!O21*shock_OC!$E$12</f>
        <v>5.6639824429409128E-3</v>
      </c>
      <c r="Q21" s="7">
        <f>s_ri!P21*shock_OC!$E$12</f>
        <v>1.3368154480124825E-2</v>
      </c>
      <c r="R21" s="7">
        <f t="shared" si="1"/>
        <v>-6.1276978211728929E-2</v>
      </c>
    </row>
    <row r="22" spans="1:18" x14ac:dyDescent="0.2">
      <c r="A22" s="8" t="s">
        <v>24</v>
      </c>
      <c r="B22" s="7">
        <f>s_ri!B22*shock_OC!$E$2</f>
        <v>8.8358661047260565</v>
      </c>
      <c r="C22" s="7">
        <f>s_ri!C22*shock_OC!$E$3</f>
        <v>7211.5630095802844</v>
      </c>
      <c r="D22" s="7">
        <f>s_ri!D22*shock_OC!$E$4</f>
        <v>0</v>
      </c>
      <c r="E22" s="7">
        <f>s_ri!E22*shock_OC!$E$5</f>
        <v>0</v>
      </c>
      <c r="F22" s="7">
        <f>s_ri!F22*shock_OC!$E$6</f>
        <v>1.2828833066722318E-2</v>
      </c>
      <c r="G22" s="7">
        <f>s_ri!G22*shock_OC!$E$7</f>
        <v>-0.27230469449304506</v>
      </c>
      <c r="H22" s="7">
        <f t="shared" si="0"/>
        <v>7.2201393998235845</v>
      </c>
      <c r="K22" s="8" t="s">
        <v>24</v>
      </c>
      <c r="L22" s="7">
        <f>s_ri!K22*shock_OC!$E$8</f>
        <v>-5.8045935210750352</v>
      </c>
      <c r="M22" s="7">
        <f>s_ri!L22*shock_OC!$E$9</f>
        <v>-86.466147104393741</v>
      </c>
      <c r="N22" s="7">
        <f>s_ri!M22*shock_OC!$E$10</f>
        <v>0</v>
      </c>
      <c r="O22" s="7">
        <f>s_ri!N22*shock_OC!$E$11</f>
        <v>0</v>
      </c>
      <c r="P22" s="7">
        <f>s_ri!O22*shock_OC!$E$12</f>
        <v>5.6716469905772685E-3</v>
      </c>
      <c r="Q22" s="7">
        <f>s_ri!P22*shock_OC!$E$12</f>
        <v>1.3690791023934964E-2</v>
      </c>
      <c r="R22" s="7">
        <f t="shared" si="1"/>
        <v>-9.2251378187454269E-2</v>
      </c>
    </row>
    <row r="23" spans="1:18" x14ac:dyDescent="0.2">
      <c r="A23" s="8" t="s">
        <v>25</v>
      </c>
      <c r="B23" s="7">
        <f>s_ri!B23*shock_OC!$E$2</f>
        <v>8.0231395333308928</v>
      </c>
      <c r="C23" s="7">
        <f>s_ri!C23*shock_OC!$E$3</f>
        <v>5439.6232014738571</v>
      </c>
      <c r="D23" s="7">
        <f>s_ri!D23*shock_OC!$E$4</f>
        <v>0</v>
      </c>
      <c r="E23" s="7">
        <f>s_ri!E23*shock_OC!$E$5</f>
        <v>0</v>
      </c>
      <c r="F23" s="7">
        <f>s_ri!F23*shock_OC!$E$6</f>
        <v>1.5110730307044185E-2</v>
      </c>
      <c r="G23" s="7">
        <f>s_ri!G23*shock_OC!$E$7</f>
        <v>-0.27848369457014299</v>
      </c>
      <c r="H23" s="7">
        <f t="shared" si="0"/>
        <v>5.4473829680429251</v>
      </c>
      <c r="K23" s="8" t="s">
        <v>25</v>
      </c>
      <c r="L23" s="7">
        <f>s_ri!K23*shock_OC!$E$8</f>
        <v>-5.1781002118225352</v>
      </c>
      <c r="M23" s="7">
        <f>s_ri!L23*shock_OC!$E$9</f>
        <v>-60.706052465775031</v>
      </c>
      <c r="N23" s="7">
        <f>s_ri!M23*shock_OC!$E$10</f>
        <v>0</v>
      </c>
      <c r="O23" s="7">
        <f>s_ri!N23*shock_OC!$E$11</f>
        <v>0</v>
      </c>
      <c r="P23" s="7">
        <f>s_ri!O23*shock_OC!$E$12</f>
        <v>6.3058895049715232E-3</v>
      </c>
      <c r="Q23" s="7">
        <f>s_ri!P23*shock_OC!$E$12</f>
        <v>1.4531716501834718E-2</v>
      </c>
      <c r="R23" s="7">
        <f t="shared" si="1"/>
        <v>-6.5863315071590767E-2</v>
      </c>
    </row>
    <row r="24" spans="1:18" x14ac:dyDescent="0.2">
      <c r="A24" s="8" t="s">
        <v>26</v>
      </c>
      <c r="B24" s="7">
        <f>s_ri!B24*shock_OC!$E$2</f>
        <v>18.348627259187694</v>
      </c>
      <c r="C24" s="7">
        <f>s_ri!C24*shock_OC!$E$3</f>
        <v>4430.8465915548486</v>
      </c>
      <c r="D24" s="7">
        <f>s_ri!D24*shock_OC!$E$4</f>
        <v>0</v>
      </c>
      <c r="E24" s="7">
        <f>s_ri!E24*shock_OC!$E$5</f>
        <v>0</v>
      </c>
      <c r="F24" s="7">
        <f>s_ri!F24*shock_OC!$E$6</f>
        <v>1.3375811885453049E-2</v>
      </c>
      <c r="G24" s="7">
        <f>s_ri!G24*shock_OC!$E$7</f>
        <v>-0.29007995896625421</v>
      </c>
      <c r="H24" s="7">
        <f t="shared" si="0"/>
        <v>4.4489185146669561</v>
      </c>
      <c r="K24" s="8" t="s">
        <v>26</v>
      </c>
      <c r="L24" s="7">
        <f>s_ri!K24*shock_OC!$E$8</f>
        <v>-14.118628402918713</v>
      </c>
      <c r="M24" s="7">
        <f>s_ri!L24*shock_OC!$E$9</f>
        <v>-56.451561769842307</v>
      </c>
      <c r="N24" s="7">
        <f>s_ri!M24*shock_OC!$E$10</f>
        <v>0</v>
      </c>
      <c r="O24" s="7">
        <f>s_ri!N24*shock_OC!$E$11</f>
        <v>0</v>
      </c>
      <c r="P24" s="7">
        <f>s_ri!O24*shock_OC!$E$12</f>
        <v>4.9870860256834596E-3</v>
      </c>
      <c r="Q24" s="7">
        <f>s_ri!P24*shock_OC!$E$12</f>
        <v>1.3610131246303538E-2</v>
      </c>
      <c r="R24" s="7">
        <f t="shared" si="1"/>
        <v>-7.0551592955489031E-2</v>
      </c>
    </row>
    <row r="25" spans="1:18" x14ac:dyDescent="0.2">
      <c r="A25" s="8" t="s">
        <v>27</v>
      </c>
      <c r="B25" s="7">
        <f>s_ri!B25*shock_OC!$E$2</f>
        <v>23.884960489283362</v>
      </c>
      <c r="C25" s="7">
        <f>s_ri!C25*shock_OC!$E$3</f>
        <v>5424.0311649638552</v>
      </c>
      <c r="D25" s="7">
        <f>s_ri!D25*shock_OC!$E$4</f>
        <v>0</v>
      </c>
      <c r="E25" s="7">
        <f>s_ri!E25*shock_OC!$E$5</f>
        <v>0</v>
      </c>
      <c r="F25" s="7">
        <f>s_ri!F25*shock_OC!$E$6</f>
        <v>1.0340164361564326E-2</v>
      </c>
      <c r="G25" s="7">
        <f>s_ri!G25*shock_OC!$E$7</f>
        <v>-0.28339735009199357</v>
      </c>
      <c r="H25" s="7">
        <f t="shared" si="0"/>
        <v>5.447643068267408</v>
      </c>
      <c r="K25" s="8" t="s">
        <v>27</v>
      </c>
      <c r="L25" s="7">
        <f>s_ri!K25*shock_OC!$E$8</f>
        <v>-13.11322574777062</v>
      </c>
      <c r="M25" s="7">
        <f>s_ri!L25*shock_OC!$E$9</f>
        <v>-70.709541783285076</v>
      </c>
      <c r="N25" s="7">
        <f>s_ri!M25*shock_OC!$E$10</f>
        <v>0</v>
      </c>
      <c r="O25" s="7">
        <f>s_ri!N25*shock_OC!$E$11</f>
        <v>0</v>
      </c>
      <c r="P25" s="7">
        <f>s_ri!O25*shock_OC!$E$12</f>
        <v>4.4166794355574466E-3</v>
      </c>
      <c r="Q25" s="7">
        <f>s_ri!P25*shock_OC!$E$12</f>
        <v>1.3439006973797704E-2</v>
      </c>
      <c r="R25" s="7">
        <f t="shared" si="1"/>
        <v>-8.3804911844646335E-2</v>
      </c>
    </row>
    <row r="26" spans="1:18" x14ac:dyDescent="0.2">
      <c r="A26" s="8" t="s">
        <v>28</v>
      </c>
      <c r="B26" s="7">
        <f>s_ri!B26*shock_OC!$E$2</f>
        <v>5.6946404581389345</v>
      </c>
      <c r="C26" s="7">
        <f>s_ri!C26*shock_OC!$E$3</f>
        <v>5959.7595638166722</v>
      </c>
      <c r="D26" s="7">
        <f>s_ri!D26*shock_OC!$E$4</f>
        <v>0</v>
      </c>
      <c r="E26" s="7">
        <f>s_ri!E26*shock_OC!$E$5</f>
        <v>0</v>
      </c>
      <c r="F26" s="7">
        <f>s_ri!F26*shock_OC!$E$6</f>
        <v>1.5764127140874502E-2</v>
      </c>
      <c r="G26" s="7">
        <f>s_ri!G26*shock_OC!$E$7</f>
        <v>-0.26506595609239469</v>
      </c>
      <c r="H26" s="7">
        <f t="shared" si="0"/>
        <v>5.9652049024458593</v>
      </c>
      <c r="K26" s="8" t="s">
        <v>28</v>
      </c>
      <c r="L26" s="7">
        <f>s_ri!K26*shock_OC!$E$8</f>
        <v>-1.6583093926903285</v>
      </c>
      <c r="M26" s="7">
        <f>s_ri!L26*shock_OC!$E$9</f>
        <v>-67.762127456474445</v>
      </c>
      <c r="N26" s="7">
        <f>s_ri!M26*shock_OC!$E$10</f>
        <v>0</v>
      </c>
      <c r="O26" s="7">
        <f>s_ri!N26*shock_OC!$E$11</f>
        <v>0</v>
      </c>
      <c r="P26" s="7">
        <f>s_ri!O26*shock_OC!$E$12</f>
        <v>6.7418080077666946E-3</v>
      </c>
      <c r="Q26" s="7">
        <f>s_ri!P26*shock_OC!$E$12</f>
        <v>1.2780380483567609E-2</v>
      </c>
      <c r="R26" s="7">
        <f t="shared" si="1"/>
        <v>-6.9400914660673454E-2</v>
      </c>
    </row>
    <row r="27" spans="1:18" x14ac:dyDescent="0.2">
      <c r="A27" s="8" t="s">
        <v>29</v>
      </c>
      <c r="B27" s="7">
        <f>s_ri!B27*shock_OC!$E$2</f>
        <v>5.7180593623780478</v>
      </c>
      <c r="C27" s="7">
        <f>s_ri!C27*shock_OC!$E$3</f>
        <v>5416.2312693285585</v>
      </c>
      <c r="D27" s="7">
        <f>s_ri!D27*shock_OC!$E$4</f>
        <v>0</v>
      </c>
      <c r="E27" s="7">
        <f>s_ri!E27*shock_OC!$E$5</f>
        <v>0</v>
      </c>
      <c r="F27" s="7">
        <f>s_ri!F27*shock_OC!$E$6</f>
        <v>1.6607010184683666E-2</v>
      </c>
      <c r="G27" s="7">
        <f>s_ri!G27*shock_OC!$E$7</f>
        <v>-0.300940510047364</v>
      </c>
      <c r="H27" s="7">
        <f t="shared" si="0"/>
        <v>5.4216649951910743</v>
      </c>
      <c r="K27" s="8" t="s">
        <v>29</v>
      </c>
      <c r="L27" s="7">
        <f>s_ri!K27*shock_OC!$E$8</f>
        <v>-2.4247296993333416</v>
      </c>
      <c r="M27" s="7">
        <f>s_ri!L27*shock_OC!$E$9</f>
        <v>-61.99355250065625</v>
      </c>
      <c r="N27" s="7">
        <f>s_ri!M27*shock_OC!$E$10</f>
        <v>0</v>
      </c>
      <c r="O27" s="7">
        <f>s_ri!N27*shock_OC!$E$11</f>
        <v>0</v>
      </c>
      <c r="P27" s="7">
        <f>s_ri!O27*shock_OC!$E$12</f>
        <v>7.1659531034280579E-3</v>
      </c>
      <c r="Q27" s="7">
        <f>s_ri!P27*shock_OC!$E$12</f>
        <v>1.4100746429326178E-2</v>
      </c>
      <c r="R27" s="7">
        <f t="shared" si="1"/>
        <v>-6.4397015500456845E-2</v>
      </c>
    </row>
    <row r="28" spans="1:18" x14ac:dyDescent="0.2">
      <c r="A28" s="8" t="s">
        <v>30</v>
      </c>
      <c r="B28" s="7">
        <f>s_ri!B28*shock_OC!$E$2</f>
        <v>10.87826615427042</v>
      </c>
      <c r="C28" s="7">
        <f>s_ri!C28*shock_OC!$E$3</f>
        <v>6154.8088809188775</v>
      </c>
      <c r="D28" s="7">
        <f>s_ri!D28*shock_OC!$E$4</f>
        <v>0</v>
      </c>
      <c r="E28" s="7">
        <f>s_ri!E28*shock_OC!$E$5</f>
        <v>0</v>
      </c>
      <c r="F28" s="7">
        <f>s_ri!F28*shock_OC!$E$6</f>
        <v>1.2852295839466428E-2</v>
      </c>
      <c r="G28" s="7">
        <f>s_ri!G28*shock_OC!$E$7</f>
        <v>-0.26782762826637152</v>
      </c>
      <c r="H28" s="7">
        <f t="shared" si="0"/>
        <v>6.1654321717407203</v>
      </c>
      <c r="K28" s="8" t="s">
        <v>30</v>
      </c>
      <c r="L28" s="7">
        <f>s_ri!K28*shock_OC!$E$8</f>
        <v>-5.5198361448372326</v>
      </c>
      <c r="M28" s="7">
        <f>s_ri!L28*shock_OC!$E$9</f>
        <v>-69.908753136280822</v>
      </c>
      <c r="N28" s="7">
        <f>s_ri!M28*shock_OC!$E$10</f>
        <v>0</v>
      </c>
      <c r="O28" s="7">
        <f>s_ri!N28*shock_OC!$E$11</f>
        <v>0</v>
      </c>
      <c r="P28" s="7">
        <f>s_ri!O28*shock_OC!$E$12</f>
        <v>5.3586177505983573E-3</v>
      </c>
      <c r="Q28" s="7">
        <f>s_ri!P28*shock_OC!$E$12</f>
        <v>1.3679811375433247E-2</v>
      </c>
      <c r="R28" s="7">
        <f t="shared" si="1"/>
        <v>-7.540955085199201E-2</v>
      </c>
    </row>
    <row r="29" spans="1:18" x14ac:dyDescent="0.2">
      <c r="A29" s="8" t="s">
        <v>31</v>
      </c>
      <c r="B29" s="7">
        <f>s_ri!B29*shock_OC!$E$2</f>
        <v>7.7293820242463331</v>
      </c>
      <c r="C29" s="7">
        <f>s_ri!C29*shock_OC!$E$3</f>
        <v>7527.8970881081559</v>
      </c>
      <c r="D29" s="7">
        <f>s_ri!D29*shock_OC!$E$4</f>
        <v>0</v>
      </c>
      <c r="E29" s="7">
        <f>s_ri!E29*shock_OC!$E$5</f>
        <v>0</v>
      </c>
      <c r="F29" s="7">
        <f>s_ri!F29*shock_OC!$E$6</f>
        <v>1.0610609043713418E-2</v>
      </c>
      <c r="G29" s="7">
        <f>s_ri!G29*shock_OC!$E$7</f>
        <v>-0.25983951508318914</v>
      </c>
      <c r="H29" s="7">
        <f t="shared" si="0"/>
        <v>7.5353772412263629</v>
      </c>
      <c r="K29" s="8" t="s">
        <v>31</v>
      </c>
      <c r="L29" s="7">
        <f>s_ri!K29*shock_OC!$E$8</f>
        <v>-4.3557667350804694</v>
      </c>
      <c r="M29" s="7">
        <f>s_ri!L29*shock_OC!$E$9</f>
        <v>-89.562115028369291</v>
      </c>
      <c r="N29" s="7">
        <f>s_ri!M29*shock_OC!$E$10</f>
        <v>0</v>
      </c>
      <c r="O29" s="7">
        <f>s_ri!N29*shock_OC!$E$11</f>
        <v>0</v>
      </c>
      <c r="P29" s="7">
        <f>s_ri!O29*shock_OC!$E$12</f>
        <v>4.5379410069839293E-3</v>
      </c>
      <c r="Q29" s="7">
        <f>s_ri!P29*shock_OC!$E$12</f>
        <v>1.2795284603438336E-2</v>
      </c>
      <c r="R29" s="7">
        <f t="shared" si="1"/>
        <v>-9.3900548537839329E-2</v>
      </c>
    </row>
    <row r="30" spans="1:18" x14ac:dyDescent="0.2">
      <c r="A30" s="8" t="s">
        <v>32</v>
      </c>
      <c r="B30" s="7">
        <f>s_ri!B30*shock_OC!$E$2</f>
        <v>6.5570886572014961</v>
      </c>
      <c r="C30" s="7">
        <f>s_ri!C30*shock_OC!$E$3</f>
        <v>6950.4597292092794</v>
      </c>
      <c r="D30" s="7">
        <f>s_ri!D30*shock_OC!$E$4</f>
        <v>0</v>
      </c>
      <c r="E30" s="7">
        <f>s_ri!E30*shock_OC!$E$5</f>
        <v>0</v>
      </c>
      <c r="F30" s="7">
        <f>s_ri!F30*shock_OC!$E$6</f>
        <v>1.2143696626886597E-2</v>
      </c>
      <c r="G30" s="7">
        <f>s_ri!G30*shock_OC!$E$7</f>
        <v>-0.26353969826923734</v>
      </c>
      <c r="H30" s="7">
        <f t="shared" si="0"/>
        <v>6.956765421864838</v>
      </c>
      <c r="K30" s="8" t="s">
        <v>32</v>
      </c>
      <c r="L30" s="7">
        <f>s_ri!K30*shock_OC!$E$8</f>
        <v>-1.9601422170933702</v>
      </c>
      <c r="M30" s="7">
        <f>s_ri!L30*shock_OC!$E$9</f>
        <v>-87.715672061125957</v>
      </c>
      <c r="N30" s="7">
        <f>s_ri!M30*shock_OC!$E$10</f>
        <v>0</v>
      </c>
      <c r="O30" s="7">
        <f>s_ri!N30*shock_OC!$E$11</f>
        <v>0</v>
      </c>
      <c r="P30" s="7">
        <f>s_ri!O30*shock_OC!$E$12</f>
        <v>5.1385760726891097E-3</v>
      </c>
      <c r="Q30" s="7">
        <f>s_ri!P30*shock_OC!$E$12</f>
        <v>1.3207370342915817E-2</v>
      </c>
      <c r="R30" s="7">
        <f t="shared" si="1"/>
        <v>-8.9657468331803714E-2</v>
      </c>
    </row>
    <row r="31" spans="1:18" x14ac:dyDescent="0.2">
      <c r="A31" s="8" t="s">
        <v>33</v>
      </c>
      <c r="B31" s="7">
        <f>s_ri!B31*shock_OC!$E$2</f>
        <v>8.5027575999294598</v>
      </c>
      <c r="C31" s="7">
        <f>s_ri!C31*shock_OC!$E$3</f>
        <v>6170.8843428476157</v>
      </c>
      <c r="D31" s="7">
        <f>s_ri!D31*shock_OC!$E$4</f>
        <v>0</v>
      </c>
      <c r="E31" s="7">
        <f>s_ri!E31*shock_OC!$E$5</f>
        <v>0</v>
      </c>
      <c r="F31" s="7">
        <f>s_ri!F31*shock_OC!$E$6</f>
        <v>1.1526886618456647E-2</v>
      </c>
      <c r="G31" s="7">
        <f>s_ri!G31*shock_OC!$E$7</f>
        <v>-0.28654803282262536</v>
      </c>
      <c r="H31" s="7">
        <f t="shared" si="0"/>
        <v>6.1791120793013405</v>
      </c>
      <c r="K31" s="8" t="s">
        <v>33</v>
      </c>
      <c r="L31" s="7">
        <f>s_ri!K31*shock_OC!$E$8</f>
        <v>-4.5802211690658305</v>
      </c>
      <c r="M31" s="7">
        <f>s_ri!L31*shock_OC!$E$9</f>
        <v>-69.444958446371317</v>
      </c>
      <c r="N31" s="7">
        <f>s_ri!M31*shock_OC!$E$10</f>
        <v>0</v>
      </c>
      <c r="O31" s="7">
        <f>s_ri!N31*shock_OC!$E$11</f>
        <v>0</v>
      </c>
      <c r="P31" s="7">
        <f>s_ri!O31*shock_OC!$E$12</f>
        <v>4.5847223628713522E-3</v>
      </c>
      <c r="Q31" s="7">
        <f>s_ri!P31*shock_OC!$E$12</f>
        <v>1.4821090510824815E-2</v>
      </c>
      <c r="R31" s="7">
        <f t="shared" si="1"/>
        <v>-7.4005773802563457E-2</v>
      </c>
    </row>
    <row r="32" spans="1:18" x14ac:dyDescent="0.2">
      <c r="A32" s="8" t="s">
        <v>34</v>
      </c>
      <c r="B32" s="7">
        <f>s_ri!B32*shock_OC!$E$2</f>
        <v>16.146315494794855</v>
      </c>
      <c r="C32" s="7">
        <f>s_ri!C32*shock_OC!$E$3</f>
        <v>4942.9513746332868</v>
      </c>
      <c r="D32" s="7">
        <f>s_ri!D32*shock_OC!$E$4</f>
        <v>0</v>
      </c>
      <c r="E32" s="7">
        <f>s_ri!E32*shock_OC!$E$5</f>
        <v>0</v>
      </c>
      <c r="F32" s="7">
        <f>s_ri!F32*shock_OC!$E$6</f>
        <v>1.2794728321304584E-2</v>
      </c>
      <c r="G32" s="7">
        <f>s_ri!G32*shock_OC!$E$7</f>
        <v>-0.29901228253279022</v>
      </c>
      <c r="H32" s="7">
        <f t="shared" si="0"/>
        <v>4.9588114725738706</v>
      </c>
      <c r="K32" s="8" t="s">
        <v>34</v>
      </c>
      <c r="L32" s="7">
        <f>s_ri!K32*shock_OC!$E$8</f>
        <v>-12.464389784837147</v>
      </c>
      <c r="M32" s="7">
        <f>s_ri!L32*shock_OC!$E$9</f>
        <v>-61.044017542829266</v>
      </c>
      <c r="N32" s="7">
        <f>s_ri!M32*shock_OC!$E$10</f>
        <v>0</v>
      </c>
      <c r="O32" s="7">
        <f>s_ri!N32*shock_OC!$E$11</f>
        <v>0</v>
      </c>
      <c r="P32" s="7">
        <f>s_ri!O32*shock_OC!$E$12</f>
        <v>4.9205271568386524E-3</v>
      </c>
      <c r="Q32" s="7">
        <f>s_ri!P32*shock_OC!$E$12</f>
        <v>1.328374396265998E-2</v>
      </c>
      <c r="R32" s="7">
        <f t="shared" si="1"/>
        <v>-7.3490203056546924E-2</v>
      </c>
    </row>
    <row r="33" spans="1:18" x14ac:dyDescent="0.2">
      <c r="A33" s="8" t="s">
        <v>35</v>
      </c>
      <c r="B33" s="7">
        <f>s_ri!B33*shock_OC!$E$2</f>
        <v>8.4545982529453756</v>
      </c>
      <c r="C33" s="7">
        <f>s_ri!C33*shock_OC!$E$3</f>
        <v>6813.1340141593773</v>
      </c>
      <c r="D33" s="7">
        <f>s_ri!D33*shock_OC!$E$4</f>
        <v>0</v>
      </c>
      <c r="E33" s="7">
        <f>s_ri!E33*shock_OC!$E$5</f>
        <v>0</v>
      </c>
      <c r="F33" s="7">
        <f>s_ri!F33*shock_OC!$E$6</f>
        <v>1.2929359755435643E-2</v>
      </c>
      <c r="G33" s="7">
        <f>s_ri!G33*shock_OC!$E$7</f>
        <v>-0.26372081487849114</v>
      </c>
      <c r="H33" s="7">
        <f t="shared" si="0"/>
        <v>6.8213378209571998</v>
      </c>
      <c r="K33" s="8" t="s">
        <v>35</v>
      </c>
      <c r="L33" s="7">
        <f>s_ri!K33*shock_OC!$E$8</f>
        <v>-6.5787208580864887</v>
      </c>
      <c r="M33" s="7">
        <f>s_ri!L33*shock_OC!$E$9</f>
        <v>-78.343770942985515</v>
      </c>
      <c r="N33" s="7">
        <f>s_ri!M33*shock_OC!$E$10</f>
        <v>0</v>
      </c>
      <c r="O33" s="7">
        <f>s_ri!N33*shock_OC!$E$11</f>
        <v>0</v>
      </c>
      <c r="P33" s="7">
        <f>s_ri!O33*shock_OC!$E$12</f>
        <v>5.39284273539353E-3</v>
      </c>
      <c r="Q33" s="7">
        <f>s_ri!P33*shock_OC!$E$12</f>
        <v>1.3890383617952053E-2</v>
      </c>
      <c r="R33" s="7">
        <f t="shared" si="1"/>
        <v>-8.4903208574718655E-2</v>
      </c>
    </row>
    <row r="34" spans="1:18" x14ac:dyDescent="0.2">
      <c r="A34" s="8" t="s">
        <v>36</v>
      </c>
      <c r="B34" s="7">
        <f>s_ri!B34*shock_OC!$E$2</f>
        <v>0</v>
      </c>
      <c r="C34" s="7">
        <f>s_ri!C34*shock_OC!$E$3</f>
        <v>6318.6765811568712</v>
      </c>
      <c r="D34" s="7">
        <f>s_ri!D34*shock_OC!$E$4</f>
        <v>0</v>
      </c>
      <c r="E34" s="7">
        <f>s_ri!E34*shock_OC!$E$5</f>
        <v>0</v>
      </c>
      <c r="F34" s="7">
        <f>s_ri!F34*shock_OC!$E$6</f>
        <v>1.3375228998462571E-2</v>
      </c>
      <c r="G34" s="7">
        <f>s_ri!G34*shock_OC!$E$7</f>
        <v>-0.29364839595098557</v>
      </c>
      <c r="H34" s="7">
        <f t="shared" si="0"/>
        <v>6.3183963079899188</v>
      </c>
      <c r="K34" s="8" t="s">
        <v>36</v>
      </c>
      <c r="L34" s="7">
        <f>s_ri!K34*shock_OC!$E$8</f>
        <v>0</v>
      </c>
      <c r="M34" s="7">
        <f>s_ri!L34*shock_OC!$E$9</f>
        <v>-81.188228557402269</v>
      </c>
      <c r="N34" s="7">
        <f>s_ri!M34*shock_OC!$E$10</f>
        <v>0</v>
      </c>
      <c r="O34" s="7">
        <f>s_ri!N34*shock_OC!$E$11</f>
        <v>0</v>
      </c>
      <c r="P34" s="7">
        <f>s_ri!O34*shock_OC!$E$12</f>
        <v>5.2344471604047543E-3</v>
      </c>
      <c r="Q34" s="7">
        <f>s_ri!P34*shock_OC!$E$12</f>
        <v>1.383731370008277E-2</v>
      </c>
      <c r="R34" s="7">
        <f t="shared" si="1"/>
        <v>-8.1169156796541783E-2</v>
      </c>
    </row>
    <row r="35" spans="1:18" x14ac:dyDescent="0.2">
      <c r="A35" s="8" t="s">
        <v>37</v>
      </c>
      <c r="B35" s="7">
        <f>s_ri!B35*shock_OC!$E$2</f>
        <v>0</v>
      </c>
      <c r="C35" s="7">
        <f>s_ri!C35*shock_OC!$E$3</f>
        <v>0</v>
      </c>
      <c r="D35" s="7">
        <f>s_ri!D35*shock_OC!$E$4</f>
        <v>0</v>
      </c>
      <c r="E35" s="7">
        <f>s_ri!E35*shock_OC!$E$5</f>
        <v>0</v>
      </c>
      <c r="F35" s="7">
        <f>s_ri!F35*shock_OC!$E$6</f>
        <v>0</v>
      </c>
      <c r="G35" s="7">
        <f>s_ri!G35*shock_OC!$E$7</f>
        <v>0</v>
      </c>
      <c r="H35" s="7">
        <f t="shared" si="0"/>
        <v>0</v>
      </c>
      <c r="K35" s="8" t="s">
        <v>37</v>
      </c>
      <c r="L35" s="7">
        <f>s_ri!K35*shock_OC!$E$8</f>
        <v>-6.0019853969992534</v>
      </c>
      <c r="M35" s="7">
        <f>s_ri!L35*shock_OC!$E$9</f>
        <v>-68.989646054067691</v>
      </c>
      <c r="N35" s="7">
        <f>s_ri!M35*shock_OC!$E$10</f>
        <v>0</v>
      </c>
      <c r="O35" s="7">
        <f>s_ri!N35*shock_OC!$E$11</f>
        <v>0</v>
      </c>
      <c r="P35" s="7">
        <f>s_ri!O35*shock_OC!$E$12</f>
        <v>5.9912046017667666E-3</v>
      </c>
      <c r="Q35" s="7">
        <f>s_ri!P35*shock_OC!$E$12</f>
        <v>1.3401684856767604E-2</v>
      </c>
      <c r="R35" s="7">
        <f t="shared" si="1"/>
        <v>-7.4972238561608409E-2</v>
      </c>
    </row>
    <row r="36" spans="1:18" x14ac:dyDescent="0.2">
      <c r="A36" s="8" t="s">
        <v>38</v>
      </c>
      <c r="B36" s="7">
        <f>s_ri!B36*shock_OC!$E$2</f>
        <v>0</v>
      </c>
      <c r="C36" s="7">
        <f>s_ri!C36*shock_OC!$E$3</f>
        <v>0</v>
      </c>
      <c r="D36" s="7">
        <f>s_ri!D36*shock_OC!$E$4</f>
        <v>0</v>
      </c>
      <c r="E36" s="7">
        <f>s_ri!E36*shock_OC!$E$5</f>
        <v>0</v>
      </c>
      <c r="F36" s="7">
        <f>s_ri!F36*shock_OC!$E$6</f>
        <v>0</v>
      </c>
      <c r="G36" s="7">
        <f>s_ri!G36*shock_OC!$E$7</f>
        <v>0</v>
      </c>
      <c r="H36" s="7">
        <f t="shared" si="0"/>
        <v>0</v>
      </c>
      <c r="K36" s="8" t="s">
        <v>38</v>
      </c>
      <c r="L36" s="7">
        <f>s_ri!K36*shock_OC!$E$8</f>
        <v>-6.1661078466982939</v>
      </c>
      <c r="M36" s="7">
        <f>s_ri!L36*shock_OC!$E$9</f>
        <v>-84.440783699823953</v>
      </c>
      <c r="N36" s="7">
        <f>s_ri!M36*shock_OC!$E$10</f>
        <v>0</v>
      </c>
      <c r="O36" s="7">
        <f>s_ri!N36*shock_OC!$E$11</f>
        <v>0</v>
      </c>
      <c r="P36" s="7">
        <f>s_ri!O36*shock_OC!$E$12</f>
        <v>4.8004895419521409E-3</v>
      </c>
      <c r="Q36" s="7">
        <f>s_ri!P36*shock_OC!$E$12</f>
        <v>1.1695622398628759E-2</v>
      </c>
      <c r="R36" s="7">
        <f t="shared" si="1"/>
        <v>-9.0590395434581666E-2</v>
      </c>
    </row>
    <row r="37" spans="1:18" x14ac:dyDescent="0.2">
      <c r="A37" s="8" t="s">
        <v>39</v>
      </c>
      <c r="B37" s="7">
        <f>s_ri!B37*shock_OC!$E$2</f>
        <v>0</v>
      </c>
      <c r="C37" s="7">
        <f>s_ri!C37*shock_OC!$E$3</f>
        <v>0</v>
      </c>
      <c r="D37" s="7">
        <f>s_ri!D37*shock_OC!$E$4</f>
        <v>0</v>
      </c>
      <c r="E37" s="7">
        <f>s_ri!E37*shock_OC!$E$5</f>
        <v>0</v>
      </c>
      <c r="F37" s="7">
        <f>s_ri!F37*shock_OC!$E$6</f>
        <v>0</v>
      </c>
      <c r="G37" s="7">
        <f>s_ri!G37*shock_OC!$E$7</f>
        <v>0</v>
      </c>
      <c r="H37" s="7">
        <f t="shared" si="0"/>
        <v>0</v>
      </c>
      <c r="K37" s="8" t="s">
        <v>39</v>
      </c>
      <c r="L37" s="7">
        <f>s_ri!K37*shock_OC!$E$8</f>
        <v>-6.048628846620657</v>
      </c>
      <c r="M37" s="7">
        <f>s_ri!L37*shock_OC!$E$9</f>
        <v>-47.988407052292608</v>
      </c>
      <c r="N37" s="7">
        <f>s_ri!M37*shock_OC!$E$10</f>
        <v>0</v>
      </c>
      <c r="O37" s="7">
        <f>s_ri!N37*shock_OC!$E$11</f>
        <v>0</v>
      </c>
      <c r="P37" s="7">
        <f>s_ri!O37*shock_OC!$E$12</f>
        <v>6.858919750635243E-3</v>
      </c>
      <c r="Q37" s="7">
        <f>s_ri!P37*shock_OC!$E$12</f>
        <v>1.3318741329041374E-2</v>
      </c>
      <c r="R37" s="7">
        <f t="shared" si="1"/>
        <v>-5.4016858237833587E-2</v>
      </c>
    </row>
    <row r="38" spans="1:18" x14ac:dyDescent="0.2">
      <c r="A38" s="8" t="s">
        <v>40</v>
      </c>
      <c r="B38" s="7">
        <f>s_ri!B38*shock_OC!$E$2</f>
        <v>16.447334491945551</v>
      </c>
      <c r="C38" s="7">
        <f>s_ri!C38*shock_OC!$E$3</f>
        <v>3689.9990852942024</v>
      </c>
      <c r="D38" s="7">
        <f>s_ri!D38*shock_OC!$E$4</f>
        <v>0</v>
      </c>
      <c r="E38" s="7">
        <f>s_ri!E38*shock_OC!$E$5</f>
        <v>0</v>
      </c>
      <c r="F38" s="7">
        <f>s_ri!F38*shock_OC!$E$6</f>
        <v>9.4585221719983431E-3</v>
      </c>
      <c r="G38" s="7">
        <f>s_ri!G38*shock_OC!$E$7</f>
        <v>-0.31091458067637873</v>
      </c>
      <c r="H38" s="7">
        <f t="shared" si="0"/>
        <v>3.7061449637276431</v>
      </c>
      <c r="K38" s="8" t="s">
        <v>40</v>
      </c>
      <c r="L38" s="7">
        <f>s_ri!K38*shock_OC!$E$8</f>
        <v>-7.8903009857050046</v>
      </c>
      <c r="M38" s="7">
        <f>s_ri!L38*shock_OC!$E$9</f>
        <v>-60.435661482252648</v>
      </c>
      <c r="N38" s="7">
        <f>s_ri!M38*shock_OC!$E$10</f>
        <v>0</v>
      </c>
      <c r="O38" s="7">
        <f>s_ri!N38*shock_OC!$E$11</f>
        <v>0</v>
      </c>
      <c r="P38" s="7">
        <f>s_ri!O38*shock_OC!$E$12</f>
        <v>5.7091968534654074E-3</v>
      </c>
      <c r="Q38" s="7">
        <f>s_ri!P38*shock_OC!$E$12</f>
        <v>1.3448330365940739E-2</v>
      </c>
      <c r="R38" s="7">
        <f t="shared" si="1"/>
        <v>-6.830680494073825E-2</v>
      </c>
    </row>
    <row r="39" spans="1:18" x14ac:dyDescent="0.2">
      <c r="A39" s="8" t="s">
        <v>41</v>
      </c>
      <c r="B39" s="7">
        <f>s_ri!B39*shock_OC!$E$2</f>
        <v>12.584190323644307</v>
      </c>
      <c r="C39" s="7">
        <f>s_ri!C39*shock_OC!$E$3</f>
        <v>3886.0154076504959</v>
      </c>
      <c r="D39" s="7">
        <f>s_ri!D39*shock_OC!$E$4</f>
        <v>0</v>
      </c>
      <c r="E39" s="7">
        <f>s_ri!E39*shock_OC!$E$5</f>
        <v>0</v>
      </c>
      <c r="F39" s="7">
        <f>s_ri!F39*shock_OC!$E$6</f>
        <v>1.5088168183159216E-2</v>
      </c>
      <c r="G39" s="7">
        <f>s_ri!G39*shock_OC!$E$7</f>
        <v>-0.31297000755157373</v>
      </c>
      <c r="H39" s="7">
        <f t="shared" si="0"/>
        <v>3.8983017161347715</v>
      </c>
      <c r="K39" s="8" t="s">
        <v>41</v>
      </c>
      <c r="L39" s="7">
        <f>s_ri!K39*shock_OC!$E$8</f>
        <v>-9.3352072560085144</v>
      </c>
      <c r="M39" s="7">
        <f>s_ri!L39*shock_OC!$E$9</f>
        <v>-49.341690925962666</v>
      </c>
      <c r="N39" s="7">
        <f>s_ri!M39*shock_OC!$E$10</f>
        <v>0</v>
      </c>
      <c r="O39" s="7">
        <f>s_ri!N39*shock_OC!$E$11</f>
        <v>0</v>
      </c>
      <c r="P39" s="7">
        <f>s_ri!O39*shock_OC!$E$12</f>
        <v>6.3178984392463578E-3</v>
      </c>
      <c r="Q39" s="7">
        <f>s_ri!P39*shock_OC!$E$12</f>
        <v>1.4494193082644751E-2</v>
      </c>
      <c r="R39" s="7">
        <f t="shared" si="1"/>
        <v>-5.8656086090449283E-2</v>
      </c>
    </row>
    <row r="40" spans="1:18" x14ac:dyDescent="0.2">
      <c r="A40" s="8" t="s">
        <v>42</v>
      </c>
      <c r="B40" s="7">
        <f>s_ri!B40*shock_OC!$E$2</f>
        <v>14.747070987791691</v>
      </c>
      <c r="C40" s="7">
        <f>s_ri!C40*shock_OC!$E$3</f>
        <v>4400.6986872439193</v>
      </c>
      <c r="D40" s="7">
        <f>s_ri!D40*shock_OC!$E$4</f>
        <v>0</v>
      </c>
      <c r="E40" s="7">
        <f>s_ri!E40*shock_OC!$E$5</f>
        <v>0</v>
      </c>
      <c r="F40" s="7">
        <f>s_ri!F40*shock_OC!$E$6</f>
        <v>7.9062710416351635E-3</v>
      </c>
      <c r="G40" s="7">
        <f>s_ri!G40*shock_OC!$E$7</f>
        <v>-0.33889305369567213</v>
      </c>
      <c r="H40" s="7">
        <f t="shared" si="0"/>
        <v>4.4151147714490575</v>
      </c>
      <c r="K40" s="8" t="s">
        <v>42</v>
      </c>
      <c r="L40" s="7">
        <f>s_ri!K40*shock_OC!$E$8</f>
        <v>-8.6973771662168957</v>
      </c>
      <c r="M40" s="7">
        <f>s_ri!L40*shock_OC!$E$9</f>
        <v>-78.833297620288008</v>
      </c>
      <c r="N40" s="7">
        <f>s_ri!M40*shock_OC!$E$10</f>
        <v>0</v>
      </c>
      <c r="O40" s="7">
        <f>s_ri!N40*shock_OC!$E$11</f>
        <v>0</v>
      </c>
      <c r="P40" s="7">
        <f>s_ri!O40*shock_OC!$E$12</f>
        <v>5.0071863983467768E-3</v>
      </c>
      <c r="Q40" s="7">
        <f>s_ri!P40*shock_OC!$E$12</f>
        <v>1.3071391860947379E-2</v>
      </c>
      <c r="R40" s="7">
        <f t="shared" si="1"/>
        <v>-8.7512596208245613E-2</v>
      </c>
    </row>
  </sheetData>
  <mergeCells count="2">
    <mergeCell ref="A1:H1"/>
    <mergeCell ref="K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employment</vt:lpstr>
      <vt:lpstr>import</vt:lpstr>
      <vt:lpstr>L_i</vt:lpstr>
      <vt:lpstr>delta_М</vt:lpstr>
      <vt:lpstr>shock_i</vt:lpstr>
      <vt:lpstr>L_r</vt:lpstr>
      <vt:lpstr>s_ri</vt:lpstr>
      <vt:lpstr>IPW_r</vt:lpstr>
      <vt:lpstr>import OC</vt:lpstr>
      <vt:lpstr>delta_M_OC</vt:lpstr>
      <vt:lpstr>shock_OC</vt:lpstr>
      <vt:lpstr>IPW_OC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2026-04-03T08:18:14Z</dcterms:created>
  <dcterms:modified xsi:type="dcterms:W3CDTF">2026-04-13T23:47:56Z</dcterms:modified>
</cp:coreProperties>
</file>