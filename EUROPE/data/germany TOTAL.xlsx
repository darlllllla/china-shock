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china shock eu/data/"/>
    </mc:Choice>
  </mc:AlternateContent>
  <xr:revisionPtr revIDLastSave="0" documentId="8_{78F6B70A-9FA2-524F-9472-02312D381372}" xr6:coauthVersionLast="47" xr6:coauthVersionMax="47" xr10:uidLastSave="{00000000-0000-0000-0000-000000000000}"/>
  <bookViews>
    <workbookView xWindow="0" yWindow="740" windowWidth="29400" windowHeight="16640" activeTab="10" xr2:uid="{7082EA7F-5399-7B4E-AC7C-390F65AEAFE3}"/>
  </bookViews>
  <sheets>
    <sheet name="employment" sheetId="1" r:id="rId1"/>
    <sheet name="import" sheetId="2" r:id="rId2"/>
    <sheet name="L_i" sheetId="4" r:id="rId3"/>
    <sheet name="delta_М" sheetId="5" r:id="rId4"/>
    <sheet name="shock_i" sheetId="3" r:id="rId5"/>
    <sheet name="L_r" sheetId="6" r:id="rId6"/>
    <sheet name="s_ri" sheetId="7" r:id="rId7"/>
    <sheet name="IPW_r" sheetId="8" r:id="rId8"/>
    <sheet name="import OC" sheetId="9" r:id="rId9"/>
    <sheet name="delta_M_OC" sheetId="10" r:id="rId10"/>
    <sheet name="shock_OC" sheetId="11" r:id="rId11"/>
    <sheet name="IPW_OC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1" l="1"/>
  <c r="D4" i="11"/>
  <c r="D5" i="11"/>
  <c r="D6" i="11"/>
  <c r="D7" i="11"/>
  <c r="D8" i="11"/>
  <c r="D9" i="11"/>
  <c r="D10" i="11"/>
  <c r="D11" i="11"/>
  <c r="D12" i="11"/>
  <c r="D13" i="11"/>
  <c r="D2" i="11"/>
  <c r="E2" i="3" l="1"/>
  <c r="C9" i="11" l="1"/>
  <c r="C10" i="11"/>
  <c r="C11" i="11"/>
  <c r="C12" i="11"/>
  <c r="C13" i="11"/>
  <c r="C8" i="11"/>
  <c r="C3" i="11"/>
  <c r="C4" i="11"/>
  <c r="C5" i="11"/>
  <c r="C6" i="11"/>
  <c r="C7" i="11"/>
  <c r="C2" i="11"/>
  <c r="B35" i="8"/>
  <c r="H35" i="8" s="1"/>
  <c r="C35" i="8"/>
  <c r="D35" i="8"/>
  <c r="E35" i="8"/>
  <c r="F35" i="8"/>
  <c r="G35" i="8"/>
  <c r="B36" i="8"/>
  <c r="C36" i="8"/>
  <c r="D36" i="8"/>
  <c r="E36" i="8"/>
  <c r="H36" i="8" s="1"/>
  <c r="F36" i="8"/>
  <c r="G36" i="8"/>
  <c r="B37" i="8"/>
  <c r="H37" i="8" s="1"/>
  <c r="C37" i="8"/>
  <c r="D37" i="8"/>
  <c r="E37" i="8"/>
  <c r="F37" i="8"/>
  <c r="G37" i="8"/>
  <c r="E12" i="11"/>
  <c r="E11" i="11"/>
  <c r="E10" i="11"/>
  <c r="E9" i="11"/>
  <c r="E8" i="11"/>
  <c r="E7" i="11"/>
  <c r="E6" i="11"/>
  <c r="E5" i="11"/>
  <c r="E4" i="11"/>
  <c r="E3" i="11"/>
  <c r="E2" i="11"/>
  <c r="W40" i="9"/>
  <c r="S40" i="9"/>
  <c r="O40" i="9"/>
  <c r="K40" i="9"/>
  <c r="G40" i="9"/>
  <c r="C40" i="9"/>
  <c r="W39" i="9"/>
  <c r="S39" i="9"/>
  <c r="O39" i="9"/>
  <c r="K39" i="9"/>
  <c r="G39" i="9"/>
  <c r="C39" i="9"/>
  <c r="W38" i="9"/>
  <c r="S38" i="9"/>
  <c r="O38" i="9"/>
  <c r="K38" i="9"/>
  <c r="G38" i="9"/>
  <c r="C38" i="9"/>
  <c r="W37" i="9"/>
  <c r="S37" i="9"/>
  <c r="O37" i="9"/>
  <c r="K37" i="9"/>
  <c r="G37" i="9"/>
  <c r="C37" i="9"/>
  <c r="W36" i="9"/>
  <c r="S36" i="9"/>
  <c r="O36" i="9"/>
  <c r="K36" i="9"/>
  <c r="G36" i="9"/>
  <c r="C36" i="9"/>
  <c r="W35" i="9"/>
  <c r="S35" i="9"/>
  <c r="O35" i="9"/>
  <c r="K35" i="9"/>
  <c r="G35" i="9"/>
  <c r="C35" i="9"/>
  <c r="W34" i="9"/>
  <c r="S34" i="9"/>
  <c r="O34" i="9"/>
  <c r="K34" i="9"/>
  <c r="G34" i="9"/>
  <c r="C34" i="9"/>
  <c r="W33" i="9"/>
  <c r="S33" i="9"/>
  <c r="O33" i="9"/>
  <c r="K33" i="9"/>
  <c r="G33" i="9"/>
  <c r="C33" i="9"/>
  <c r="W32" i="9"/>
  <c r="S32" i="9"/>
  <c r="O32" i="9"/>
  <c r="K32" i="9"/>
  <c r="G32" i="9"/>
  <c r="C32" i="9"/>
  <c r="W31" i="9"/>
  <c r="S31" i="9"/>
  <c r="O31" i="9"/>
  <c r="K31" i="9"/>
  <c r="G31" i="9"/>
  <c r="C31" i="9"/>
  <c r="W30" i="9"/>
  <c r="S30" i="9"/>
  <c r="O30" i="9"/>
  <c r="K30" i="9"/>
  <c r="G30" i="9"/>
  <c r="C30" i="9"/>
  <c r="W29" i="9"/>
  <c r="S29" i="9"/>
  <c r="O29" i="9"/>
  <c r="K29" i="9"/>
  <c r="G29" i="9"/>
  <c r="C29" i="9"/>
  <c r="G35" i="12" l="1"/>
  <c r="G37" i="12"/>
  <c r="E13" i="11"/>
  <c r="D36" i="12"/>
  <c r="F37" i="12"/>
  <c r="C36" i="12"/>
  <c r="E37" i="12"/>
  <c r="D37" i="12"/>
  <c r="F35" i="12"/>
  <c r="C37" i="12"/>
  <c r="E35" i="12"/>
  <c r="G36" i="12"/>
  <c r="D35" i="12"/>
  <c r="F36" i="12"/>
  <c r="C35" i="12"/>
  <c r="E36" i="12"/>
  <c r="B36" i="12"/>
  <c r="B37" i="12"/>
  <c r="B35" i="12"/>
  <c r="C7" i="4"/>
  <c r="C7" i="3" s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3" i="6"/>
  <c r="C20" i="4"/>
  <c r="C14" i="4"/>
  <c r="C8" i="4"/>
  <c r="C2" i="4"/>
  <c r="C2" i="3" s="1"/>
  <c r="C13" i="4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3" i="6"/>
  <c r="D4" i="3"/>
  <c r="D7" i="3"/>
  <c r="D8" i="3"/>
  <c r="D12" i="3"/>
  <c r="D13" i="3"/>
  <c r="D2" i="3"/>
  <c r="C9" i="5"/>
  <c r="D9" i="3" s="1"/>
  <c r="C10" i="5"/>
  <c r="D10" i="3" s="1"/>
  <c r="C11" i="5"/>
  <c r="D11" i="3" s="1"/>
  <c r="C12" i="5"/>
  <c r="C13" i="5"/>
  <c r="C8" i="5"/>
  <c r="C3" i="5"/>
  <c r="D3" i="3" s="1"/>
  <c r="C4" i="5"/>
  <c r="C5" i="5"/>
  <c r="D5" i="3" s="1"/>
  <c r="C6" i="5"/>
  <c r="D6" i="3" s="1"/>
  <c r="C7" i="5"/>
  <c r="C2" i="5"/>
  <c r="C25" i="4"/>
  <c r="C19" i="4"/>
  <c r="C13" i="3" s="1"/>
  <c r="C24" i="4"/>
  <c r="C18" i="4"/>
  <c r="C12" i="3" s="1"/>
  <c r="E12" i="3" s="1"/>
  <c r="C12" i="4"/>
  <c r="C6" i="4"/>
  <c r="C6" i="3" s="1"/>
  <c r="C23" i="4"/>
  <c r="C17" i="4"/>
  <c r="C11" i="3" s="1"/>
  <c r="C11" i="4"/>
  <c r="C5" i="4"/>
  <c r="C5" i="3" s="1"/>
  <c r="C22" i="4"/>
  <c r="C16" i="4"/>
  <c r="C10" i="3" s="1"/>
  <c r="C10" i="4"/>
  <c r="C4" i="4"/>
  <c r="C4" i="3" s="1"/>
  <c r="E4" i="3" s="1"/>
  <c r="C21" i="4"/>
  <c r="C15" i="4"/>
  <c r="C9" i="3" s="1"/>
  <c r="C9" i="4"/>
  <c r="C3" i="4"/>
  <c r="C3" i="3" s="1"/>
  <c r="C8" i="3"/>
  <c r="H35" i="12" l="1"/>
  <c r="H36" i="12"/>
  <c r="H37" i="12"/>
  <c r="N8" i="7"/>
  <c r="O14" i="7"/>
  <c r="O21" i="7"/>
  <c r="K36" i="7"/>
  <c r="L37" i="7"/>
  <c r="P37" i="7"/>
  <c r="O20" i="7"/>
  <c r="E6" i="3"/>
  <c r="E10" i="3"/>
  <c r="E3" i="3"/>
  <c r="E5" i="3"/>
  <c r="E8" i="3"/>
  <c r="E13" i="3"/>
  <c r="E9" i="3"/>
  <c r="E11" i="3"/>
  <c r="E7" i="3"/>
  <c r="R36" i="6"/>
  <c r="O36" i="7" s="1"/>
  <c r="R28" i="6"/>
  <c r="P28" i="7" s="1"/>
  <c r="R20" i="6"/>
  <c r="R12" i="6"/>
  <c r="R4" i="6"/>
  <c r="K4" i="7" s="1"/>
  <c r="R29" i="6"/>
  <c r="N29" i="7" s="1"/>
  <c r="R3" i="6"/>
  <c r="N3" i="7" s="1"/>
  <c r="H28" i="6"/>
  <c r="C28" i="7" s="1"/>
  <c r="R37" i="6"/>
  <c r="M37" i="7" s="1"/>
  <c r="R21" i="6"/>
  <c r="N21" i="7" s="1"/>
  <c r="R13" i="6"/>
  <c r="K13" i="7" s="1"/>
  <c r="R5" i="6"/>
  <c r="K5" i="7" s="1"/>
  <c r="H34" i="6"/>
  <c r="C34" i="7" s="1"/>
  <c r="H26" i="6"/>
  <c r="F26" i="7" s="1"/>
  <c r="H18" i="6"/>
  <c r="F18" i="7" s="1"/>
  <c r="H10" i="6"/>
  <c r="C10" i="7" s="1"/>
  <c r="H31" i="6"/>
  <c r="D31" i="7" s="1"/>
  <c r="H36" i="6"/>
  <c r="H4" i="6"/>
  <c r="D4" i="7" s="1"/>
  <c r="R10" i="6"/>
  <c r="N10" i="7" s="1"/>
  <c r="R35" i="6"/>
  <c r="K35" i="7" s="1"/>
  <c r="R27" i="6"/>
  <c r="M27" i="7" s="1"/>
  <c r="R38" i="6"/>
  <c r="P38" i="7" s="1"/>
  <c r="R30" i="6"/>
  <c r="O30" i="7" s="1"/>
  <c r="R22" i="6"/>
  <c r="K22" i="7" s="1"/>
  <c r="R14" i="6"/>
  <c r="N14" i="7" s="1"/>
  <c r="R6" i="6"/>
  <c r="P6" i="7" s="1"/>
  <c r="R18" i="6"/>
  <c r="N18" i="7" s="1"/>
  <c r="R40" i="6"/>
  <c r="R24" i="6"/>
  <c r="L24" i="7" s="1"/>
  <c r="R25" i="6"/>
  <c r="L25" i="7" s="1"/>
  <c r="R17" i="6"/>
  <c r="M17" i="7" s="1"/>
  <c r="R9" i="6"/>
  <c r="L9" i="7" s="1"/>
  <c r="R19" i="6"/>
  <c r="M19" i="7" s="1"/>
  <c r="R34" i="6"/>
  <c r="L34" i="7" s="1"/>
  <c r="R26" i="6"/>
  <c r="L26" i="7" s="1"/>
  <c r="R32" i="6"/>
  <c r="R16" i="6"/>
  <c r="M16" i="7" s="1"/>
  <c r="R8" i="6"/>
  <c r="K8" i="7" s="1"/>
  <c r="R11" i="6"/>
  <c r="P11" i="7" s="1"/>
  <c r="R33" i="6"/>
  <c r="N33" i="7" s="1"/>
  <c r="R39" i="6"/>
  <c r="O39" i="7" s="1"/>
  <c r="R31" i="6"/>
  <c r="R23" i="6"/>
  <c r="P23" i="7" s="1"/>
  <c r="R15" i="6"/>
  <c r="M15" i="7" s="1"/>
  <c r="R7" i="6"/>
  <c r="P7" i="7" s="1"/>
  <c r="C18" i="7"/>
  <c r="H9" i="6"/>
  <c r="C9" i="7" s="1"/>
  <c r="H32" i="6"/>
  <c r="B32" i="7" s="1"/>
  <c r="H3" i="6"/>
  <c r="D3" i="7" s="1"/>
  <c r="H17" i="6"/>
  <c r="H23" i="6"/>
  <c r="B23" i="7" s="1"/>
  <c r="H16" i="6"/>
  <c r="F16" i="7" s="1"/>
  <c r="H37" i="6"/>
  <c r="H13" i="6"/>
  <c r="F13" i="7" s="1"/>
  <c r="H33" i="6"/>
  <c r="E33" i="7" s="1"/>
  <c r="H25" i="6"/>
  <c r="H40" i="6"/>
  <c r="B40" i="7" s="1"/>
  <c r="H24" i="6"/>
  <c r="G24" i="7" s="1"/>
  <c r="H8" i="6"/>
  <c r="H12" i="6"/>
  <c r="G12" i="7" s="1"/>
  <c r="H29" i="6"/>
  <c r="E29" i="7" s="1"/>
  <c r="H21" i="6"/>
  <c r="F21" i="7" s="1"/>
  <c r="H5" i="6"/>
  <c r="E5" i="7" s="1"/>
  <c r="H39" i="6"/>
  <c r="H7" i="6"/>
  <c r="G7" i="7" s="1"/>
  <c r="H20" i="6"/>
  <c r="F20" i="7" s="1"/>
  <c r="H35" i="6"/>
  <c r="H27" i="6"/>
  <c r="D27" i="7" s="1"/>
  <c r="H19" i="6"/>
  <c r="H11" i="6"/>
  <c r="C11" i="7" s="1"/>
  <c r="H15" i="6"/>
  <c r="D15" i="7" s="1"/>
  <c r="H38" i="6"/>
  <c r="C38" i="7" s="1"/>
  <c r="H30" i="6"/>
  <c r="E30" i="7" s="1"/>
  <c r="H22" i="6"/>
  <c r="C22" i="7" s="1"/>
  <c r="H14" i="6"/>
  <c r="E14" i="7" s="1"/>
  <c r="H6" i="6"/>
  <c r="D6" i="7" s="1"/>
  <c r="Q6" i="8" l="1"/>
  <c r="Q6" i="12"/>
  <c r="N19" i="8"/>
  <c r="N19" i="12"/>
  <c r="O33" i="8"/>
  <c r="O33" i="12"/>
  <c r="Q11" i="8"/>
  <c r="Q11" i="12"/>
  <c r="N17" i="8"/>
  <c r="N17" i="12"/>
  <c r="P30" i="8"/>
  <c r="P30" i="12"/>
  <c r="Q7" i="8"/>
  <c r="Q7" i="12"/>
  <c r="N16" i="8"/>
  <c r="N16" i="12"/>
  <c r="M24" i="8"/>
  <c r="M24" i="12"/>
  <c r="F26" i="8"/>
  <c r="F26" i="12"/>
  <c r="C22" i="8"/>
  <c r="C22" i="12"/>
  <c r="F20" i="8"/>
  <c r="F20" i="12"/>
  <c r="G24" i="8"/>
  <c r="G24" i="12"/>
  <c r="M34" i="8"/>
  <c r="M34" i="12"/>
  <c r="D4" i="8"/>
  <c r="D4" i="12"/>
  <c r="L13" i="8"/>
  <c r="L13" i="12"/>
  <c r="M24" i="7"/>
  <c r="L36" i="8"/>
  <c r="L36" i="12"/>
  <c r="N24" i="7"/>
  <c r="M29" i="7"/>
  <c r="O7" i="7"/>
  <c r="P3" i="7"/>
  <c r="E30" i="8"/>
  <c r="E30" i="12"/>
  <c r="G7" i="8"/>
  <c r="G7" i="12"/>
  <c r="B40" i="8"/>
  <c r="B40" i="12"/>
  <c r="D3" i="8"/>
  <c r="D3" i="12"/>
  <c r="P39" i="8"/>
  <c r="P39" i="12"/>
  <c r="O14" i="8"/>
  <c r="O14" i="12"/>
  <c r="O21" i="8"/>
  <c r="O21" i="12"/>
  <c r="Q28" i="8"/>
  <c r="Q28" i="12"/>
  <c r="L36" i="7"/>
  <c r="K21" i="7"/>
  <c r="L21" i="7"/>
  <c r="M39" i="7"/>
  <c r="C38" i="8"/>
  <c r="C38" i="12"/>
  <c r="B32" i="8"/>
  <c r="B32" i="12"/>
  <c r="M9" i="8"/>
  <c r="M9" i="12"/>
  <c r="L22" i="8"/>
  <c r="L22" i="12"/>
  <c r="D31" i="8"/>
  <c r="D31" i="12"/>
  <c r="N37" i="8"/>
  <c r="N37" i="12"/>
  <c r="P36" i="8"/>
  <c r="P36" i="12"/>
  <c r="P29" i="7"/>
  <c r="P27" i="7"/>
  <c r="K29" i="7"/>
  <c r="D15" i="8"/>
  <c r="D15" i="12"/>
  <c r="C28" i="8"/>
  <c r="C28" i="12"/>
  <c r="Q37" i="8"/>
  <c r="Q37" i="12"/>
  <c r="P21" i="8"/>
  <c r="P21" i="12"/>
  <c r="L29" i="7"/>
  <c r="P14" i="8"/>
  <c r="P14" i="12"/>
  <c r="P30" i="7"/>
  <c r="C11" i="8"/>
  <c r="C11" i="12"/>
  <c r="F21" i="8"/>
  <c r="F21" i="12"/>
  <c r="F13" i="8"/>
  <c r="F13" i="12"/>
  <c r="C18" i="8"/>
  <c r="C18" i="12"/>
  <c r="L8" i="8"/>
  <c r="L8" i="12"/>
  <c r="M25" i="8"/>
  <c r="M25" i="12"/>
  <c r="Q38" i="8"/>
  <c r="Q38" i="12"/>
  <c r="F18" i="8"/>
  <c r="F18" i="12"/>
  <c r="O3" i="8"/>
  <c r="O3" i="12"/>
  <c r="K27" i="7"/>
  <c r="N25" i="7"/>
  <c r="O29" i="7"/>
  <c r="K24" i="7"/>
  <c r="L8" i="7"/>
  <c r="O29" i="8"/>
  <c r="O29" i="12"/>
  <c r="P20" i="8"/>
  <c r="P20" i="12"/>
  <c r="M37" i="8"/>
  <c r="M37" i="12"/>
  <c r="M9" i="7"/>
  <c r="L16" i="7"/>
  <c r="N27" i="8"/>
  <c r="N27" i="12"/>
  <c r="G12" i="8"/>
  <c r="G12" i="12"/>
  <c r="F16" i="8"/>
  <c r="F16" i="12"/>
  <c r="N15" i="8"/>
  <c r="N15" i="12"/>
  <c r="L35" i="8"/>
  <c r="L35" i="12"/>
  <c r="C34" i="8"/>
  <c r="C34" i="12"/>
  <c r="L4" i="8"/>
  <c r="L4" i="12"/>
  <c r="M8" i="7"/>
  <c r="P14" i="7"/>
  <c r="M5" i="7"/>
  <c r="N16" i="7"/>
  <c r="E5" i="8"/>
  <c r="E5" i="12"/>
  <c r="E33" i="8"/>
  <c r="E33" i="12"/>
  <c r="C9" i="8"/>
  <c r="C9" i="12"/>
  <c r="C10" i="8"/>
  <c r="C10" i="12"/>
  <c r="E29" i="8"/>
  <c r="E29" i="12"/>
  <c r="O8" i="8"/>
  <c r="O8" i="12"/>
  <c r="D6" i="8"/>
  <c r="D6" i="12"/>
  <c r="D27" i="8"/>
  <c r="D27" i="12"/>
  <c r="E14" i="8"/>
  <c r="E14" i="12"/>
  <c r="B23" i="8"/>
  <c r="B23" i="12"/>
  <c r="Q23" i="8"/>
  <c r="Q23" i="12"/>
  <c r="M26" i="12"/>
  <c r="M26" i="8"/>
  <c r="O18" i="12"/>
  <c r="O18" i="8"/>
  <c r="O10" i="8"/>
  <c r="O10" i="12"/>
  <c r="L5" i="8"/>
  <c r="L5" i="12"/>
  <c r="K28" i="7"/>
  <c r="O22" i="7"/>
  <c r="M13" i="7"/>
  <c r="K14" i="7"/>
  <c r="K34" i="7"/>
  <c r="M23" i="7"/>
  <c r="L15" i="7"/>
  <c r="K15" i="7"/>
  <c r="N15" i="7"/>
  <c r="O32" i="7"/>
  <c r="P32" i="7"/>
  <c r="O40" i="7"/>
  <c r="P40" i="7"/>
  <c r="M12" i="7"/>
  <c r="N12" i="7"/>
  <c r="K40" i="7"/>
  <c r="K31" i="7"/>
  <c r="L31" i="7"/>
  <c r="N31" i="7"/>
  <c r="L6" i="7"/>
  <c r="M6" i="7"/>
  <c r="N20" i="7"/>
  <c r="M20" i="7"/>
  <c r="P10" i="7"/>
  <c r="L12" i="7"/>
  <c r="O23" i="7"/>
  <c r="O37" i="7"/>
  <c r="M10" i="7"/>
  <c r="L5" i="7"/>
  <c r="M21" i="7"/>
  <c r="K37" i="7"/>
  <c r="P21" i="7"/>
  <c r="N5" i="7"/>
  <c r="M31" i="7"/>
  <c r="O18" i="7"/>
  <c r="K32" i="7"/>
  <c r="O28" i="7"/>
  <c r="M26" i="7"/>
  <c r="N6" i="7"/>
  <c r="P15" i="7"/>
  <c r="P12" i="7"/>
  <c r="L40" i="7"/>
  <c r="P33" i="7"/>
  <c r="O33" i="7"/>
  <c r="K33" i="7"/>
  <c r="N36" i="7"/>
  <c r="M36" i="7"/>
  <c r="P26" i="7"/>
  <c r="K6" i="7"/>
  <c r="N34" i="7"/>
  <c r="P22" i="7"/>
  <c r="P20" i="7"/>
  <c r="N32" i="7"/>
  <c r="L11" i="7"/>
  <c r="N11" i="7"/>
  <c r="O11" i="7"/>
  <c r="O17" i="7"/>
  <c r="P17" i="7"/>
  <c r="K17" i="7"/>
  <c r="L30" i="7"/>
  <c r="M30" i="7"/>
  <c r="P34" i="7"/>
  <c r="N22" i="7"/>
  <c r="L10" i="7"/>
  <c r="K30" i="7"/>
  <c r="P35" i="7"/>
  <c r="M25" i="7"/>
  <c r="N26" i="7"/>
  <c r="P31" i="7"/>
  <c r="O10" i="7"/>
  <c r="M18" i="7"/>
  <c r="N17" i="7"/>
  <c r="L32" i="7"/>
  <c r="K10" i="7"/>
  <c r="L17" i="7"/>
  <c r="M4" i="7"/>
  <c r="N4" i="7"/>
  <c r="P4" i="7"/>
  <c r="L23" i="7"/>
  <c r="K23" i="7"/>
  <c r="N23" i="7"/>
  <c r="P5" i="7"/>
  <c r="K39" i="7"/>
  <c r="L39" i="7"/>
  <c r="N39" i="7"/>
  <c r="L19" i="7"/>
  <c r="N19" i="7"/>
  <c r="O19" i="7"/>
  <c r="L14" i="7"/>
  <c r="M14" i="7"/>
  <c r="M32" i="7"/>
  <c r="L38" i="7"/>
  <c r="M38" i="7"/>
  <c r="K3" i="7"/>
  <c r="L3" i="7"/>
  <c r="K11" i="7"/>
  <c r="O4" i="7"/>
  <c r="N30" i="7"/>
  <c r="L18" i="7"/>
  <c r="K38" i="7"/>
  <c r="K12" i="7"/>
  <c r="O5" i="7"/>
  <c r="M33" i="7"/>
  <c r="O15" i="7"/>
  <c r="P39" i="7"/>
  <c r="P36" i="7"/>
  <c r="L4" i="7"/>
  <c r="M11" i="7"/>
  <c r="O26" i="7"/>
  <c r="K18" i="7"/>
  <c r="N37" i="7"/>
  <c r="L35" i="7"/>
  <c r="N35" i="7"/>
  <c r="O35" i="7"/>
  <c r="N40" i="7"/>
  <c r="N28" i="7"/>
  <c r="M28" i="7"/>
  <c r="P18" i="7"/>
  <c r="P19" i="7"/>
  <c r="M34" i="7"/>
  <c r="N13" i="7"/>
  <c r="P9" i="7"/>
  <c r="O9" i="7"/>
  <c r="K9" i="7"/>
  <c r="L22" i="7"/>
  <c r="M22" i="7"/>
  <c r="M40" i="7"/>
  <c r="L20" i="7"/>
  <c r="O31" i="7"/>
  <c r="O8" i="7"/>
  <c r="P8" i="7"/>
  <c r="O25" i="7"/>
  <c r="P25" i="7"/>
  <c r="K25" i="7"/>
  <c r="K7" i="7"/>
  <c r="L7" i="7"/>
  <c r="N7" i="7"/>
  <c r="O16" i="7"/>
  <c r="P16" i="7"/>
  <c r="O24" i="7"/>
  <c r="P24" i="7"/>
  <c r="L27" i="7"/>
  <c r="N27" i="7"/>
  <c r="O27" i="7"/>
  <c r="K19" i="7"/>
  <c r="O12" i="7"/>
  <c r="N38" i="7"/>
  <c r="O38" i="7"/>
  <c r="P13" i="7"/>
  <c r="L13" i="7"/>
  <c r="K20" i="7"/>
  <c r="O13" i="7"/>
  <c r="M3" i="7"/>
  <c r="N9" i="7"/>
  <c r="K16" i="7"/>
  <c r="O3" i="7"/>
  <c r="O6" i="7"/>
  <c r="L28" i="7"/>
  <c r="M35" i="7"/>
  <c r="O34" i="7"/>
  <c r="K26" i="7"/>
  <c r="M7" i="7"/>
  <c r="L33" i="7"/>
  <c r="D18" i="7"/>
  <c r="D26" i="7"/>
  <c r="G26" i="7"/>
  <c r="C26" i="7"/>
  <c r="G18" i="7"/>
  <c r="D28" i="7"/>
  <c r="B34" i="7"/>
  <c r="B26" i="7"/>
  <c r="E26" i="7"/>
  <c r="E34" i="7"/>
  <c r="E18" i="7"/>
  <c r="B10" i="7"/>
  <c r="E31" i="7"/>
  <c r="E9" i="7"/>
  <c r="G29" i="7"/>
  <c r="D11" i="7"/>
  <c r="F12" i="7"/>
  <c r="C4" i="7"/>
  <c r="E4" i="7"/>
  <c r="D12" i="7"/>
  <c r="B31" i="7"/>
  <c r="G28" i="7"/>
  <c r="B28" i="7"/>
  <c r="F29" i="7"/>
  <c r="G33" i="7"/>
  <c r="F28" i="7"/>
  <c r="G10" i="7"/>
  <c r="B4" i="7"/>
  <c r="C29" i="7"/>
  <c r="E28" i="7"/>
  <c r="G16" i="7"/>
  <c r="B27" i="7"/>
  <c r="C27" i="7"/>
  <c r="G38" i="7"/>
  <c r="B18" i="7"/>
  <c r="F10" i="7"/>
  <c r="F23" i="7"/>
  <c r="E10" i="7"/>
  <c r="D23" i="7"/>
  <c r="G34" i="7"/>
  <c r="G4" i="7"/>
  <c r="C31" i="7"/>
  <c r="F4" i="7"/>
  <c r="G20" i="7"/>
  <c r="G31" i="7"/>
  <c r="F31" i="7"/>
  <c r="D10" i="7"/>
  <c r="G30" i="7"/>
  <c r="F30" i="7"/>
  <c r="D22" i="7"/>
  <c r="C21" i="7"/>
  <c r="E21" i="7"/>
  <c r="D20" i="7"/>
  <c r="F34" i="7"/>
  <c r="D34" i="7"/>
  <c r="F7" i="7"/>
  <c r="F5" i="7"/>
  <c r="G23" i="7"/>
  <c r="F38" i="7"/>
  <c r="C30" i="7"/>
  <c r="C40" i="7"/>
  <c r="B7" i="7"/>
  <c r="G9" i="7"/>
  <c r="B16" i="7"/>
  <c r="F9" i="7"/>
  <c r="D7" i="7"/>
  <c r="E6" i="7"/>
  <c r="B6" i="7"/>
  <c r="F6" i="7"/>
  <c r="C6" i="7"/>
  <c r="E3" i="7"/>
  <c r="B11" i="7"/>
  <c r="E38" i="7"/>
  <c r="B24" i="7"/>
  <c r="B22" i="7"/>
  <c r="F11" i="7"/>
  <c r="G3" i="7"/>
  <c r="G5" i="7"/>
  <c r="G6" i="7"/>
  <c r="E19" i="7"/>
  <c r="G19" i="7"/>
  <c r="D8" i="7"/>
  <c r="E8" i="7"/>
  <c r="F8" i="7"/>
  <c r="B25" i="7"/>
  <c r="D25" i="7"/>
  <c r="C19" i="7"/>
  <c r="G14" i="7"/>
  <c r="F19" i="7"/>
  <c r="B12" i="7"/>
  <c r="E12" i="7"/>
  <c r="B14" i="7"/>
  <c r="B33" i="7"/>
  <c r="D33" i="7"/>
  <c r="C8" i="7"/>
  <c r="D13" i="7"/>
  <c r="B13" i="7"/>
  <c r="B17" i="7"/>
  <c r="D17" i="7"/>
  <c r="D32" i="7"/>
  <c r="E32" i="7"/>
  <c r="F32" i="7"/>
  <c r="E27" i="7"/>
  <c r="G27" i="7"/>
  <c r="G22" i="7"/>
  <c r="F27" i="7"/>
  <c r="E7" i="7"/>
  <c r="C7" i="7"/>
  <c r="B30" i="7"/>
  <c r="D24" i="7"/>
  <c r="E24" i="7"/>
  <c r="C24" i="7"/>
  <c r="F3" i="7"/>
  <c r="B3" i="7"/>
  <c r="G25" i="7"/>
  <c r="G15" i="7"/>
  <c r="G32" i="7"/>
  <c r="E13" i="7"/>
  <c r="F24" i="7"/>
  <c r="F15" i="7"/>
  <c r="D19" i="7"/>
  <c r="E39" i="7"/>
  <c r="C39" i="7"/>
  <c r="F39" i="7"/>
  <c r="G8" i="7"/>
  <c r="C14" i="7"/>
  <c r="G39" i="7"/>
  <c r="E15" i="7"/>
  <c r="C15" i="7"/>
  <c r="F14" i="7"/>
  <c r="D40" i="7"/>
  <c r="E40" i="7"/>
  <c r="F40" i="7"/>
  <c r="D39" i="7"/>
  <c r="F25" i="7"/>
  <c r="D14" i="7"/>
  <c r="D5" i="7"/>
  <c r="B5" i="7"/>
  <c r="G40" i="7"/>
  <c r="B38" i="7"/>
  <c r="G13" i="7"/>
  <c r="E17" i="7"/>
  <c r="C5" i="7"/>
  <c r="E11" i="7"/>
  <c r="G11" i="7"/>
  <c r="E22" i="7"/>
  <c r="D21" i="7"/>
  <c r="B21" i="7"/>
  <c r="C12" i="7"/>
  <c r="B39" i="7"/>
  <c r="C17" i="7"/>
  <c r="D16" i="7"/>
  <c r="E16" i="7"/>
  <c r="D38" i="7"/>
  <c r="F33" i="7"/>
  <c r="D30" i="7"/>
  <c r="C25" i="7"/>
  <c r="G21" i="7"/>
  <c r="E25" i="7"/>
  <c r="C13" i="7"/>
  <c r="B19" i="7"/>
  <c r="B20" i="7"/>
  <c r="E20" i="7"/>
  <c r="G17" i="7"/>
  <c r="D29" i="7"/>
  <c r="B29" i="7"/>
  <c r="C20" i="7"/>
  <c r="B8" i="7"/>
  <c r="F17" i="7"/>
  <c r="C3" i="7"/>
  <c r="F22" i="7"/>
  <c r="B15" i="7"/>
  <c r="E23" i="7"/>
  <c r="C23" i="7"/>
  <c r="C32" i="7"/>
  <c r="B9" i="7"/>
  <c r="D9" i="7"/>
  <c r="C16" i="7"/>
  <c r="C33" i="7"/>
  <c r="F14" i="8" l="1"/>
  <c r="F14" i="12"/>
  <c r="B17" i="8"/>
  <c r="B17" i="12"/>
  <c r="D22" i="8"/>
  <c r="D22" i="12"/>
  <c r="F28" i="8"/>
  <c r="F28" i="12"/>
  <c r="F12" i="8"/>
  <c r="F12" i="12"/>
  <c r="G40" i="8"/>
  <c r="G40" i="12"/>
  <c r="N12" i="8"/>
  <c r="N12" i="12"/>
  <c r="P29" i="8"/>
  <c r="P29" i="12"/>
  <c r="C16" i="8"/>
  <c r="C16" i="12"/>
  <c r="B20" i="8"/>
  <c r="B20" i="12"/>
  <c r="E22" i="8"/>
  <c r="E22" i="12"/>
  <c r="B3" i="8"/>
  <c r="B3" i="12"/>
  <c r="F27" i="8"/>
  <c r="F27" i="12"/>
  <c r="B24" i="8"/>
  <c r="B24" i="12"/>
  <c r="C4" i="8"/>
  <c r="C4" i="12"/>
  <c r="F17" i="8"/>
  <c r="F17" i="12"/>
  <c r="E16" i="8"/>
  <c r="E16" i="12"/>
  <c r="D5" i="8"/>
  <c r="D5" i="12"/>
  <c r="D19" i="8"/>
  <c r="D19" i="12"/>
  <c r="G22" i="8"/>
  <c r="G22" i="12"/>
  <c r="F19" i="8"/>
  <c r="F19" i="12"/>
  <c r="E38" i="8"/>
  <c r="E38" i="12"/>
  <c r="F5" i="8"/>
  <c r="F5" i="12"/>
  <c r="G4" i="8"/>
  <c r="G4" i="12"/>
  <c r="G33" i="8"/>
  <c r="G33" i="12"/>
  <c r="D18" i="8"/>
  <c r="D18" i="12"/>
  <c r="P38" i="8"/>
  <c r="P38" i="12"/>
  <c r="P24" i="8"/>
  <c r="P24" i="12"/>
  <c r="L9" i="8"/>
  <c r="R9" i="8" s="1"/>
  <c r="L9" i="12"/>
  <c r="O28" i="8"/>
  <c r="O28" i="12"/>
  <c r="N11" i="8"/>
  <c r="N11" i="12"/>
  <c r="L38" i="8"/>
  <c r="L38" i="12"/>
  <c r="M38" i="8"/>
  <c r="M38" i="12"/>
  <c r="M39" i="8"/>
  <c r="M39" i="12"/>
  <c r="N4" i="8"/>
  <c r="N4" i="12"/>
  <c r="O26" i="8"/>
  <c r="O26" i="12"/>
  <c r="M30" i="8"/>
  <c r="M30" i="12"/>
  <c r="Q20" i="8"/>
  <c r="Q20" i="12"/>
  <c r="P33" i="8"/>
  <c r="P33" i="12"/>
  <c r="L32" i="8"/>
  <c r="L32" i="12"/>
  <c r="N10" i="8"/>
  <c r="N10" i="12"/>
  <c r="M6" i="8"/>
  <c r="M6" i="12"/>
  <c r="P40" i="8"/>
  <c r="P40" i="12"/>
  <c r="L14" i="8"/>
  <c r="L14" i="12"/>
  <c r="L27" i="8"/>
  <c r="L27" i="12"/>
  <c r="Q27" i="8"/>
  <c r="Q27" i="12"/>
  <c r="C23" i="8"/>
  <c r="C23" i="12"/>
  <c r="B29" i="8"/>
  <c r="B29" i="12"/>
  <c r="G21" i="8"/>
  <c r="G21" i="12"/>
  <c r="B39" i="8"/>
  <c r="B39" i="12"/>
  <c r="E17" i="8"/>
  <c r="E17" i="12"/>
  <c r="D39" i="8"/>
  <c r="D39" i="12"/>
  <c r="C14" i="8"/>
  <c r="C14" i="12"/>
  <c r="E13" i="8"/>
  <c r="E13" i="12"/>
  <c r="D24" i="8"/>
  <c r="D24" i="12"/>
  <c r="F32" i="8"/>
  <c r="F32" i="12"/>
  <c r="D33" i="8"/>
  <c r="D33" i="12"/>
  <c r="D25" i="8"/>
  <c r="D25" i="12"/>
  <c r="G5" i="8"/>
  <c r="G5" i="12"/>
  <c r="C6" i="8"/>
  <c r="C6" i="12"/>
  <c r="B7" i="8"/>
  <c r="B7" i="12"/>
  <c r="F34" i="8"/>
  <c r="F34" i="12"/>
  <c r="F31" i="8"/>
  <c r="F31" i="12"/>
  <c r="E10" i="8"/>
  <c r="E10" i="12"/>
  <c r="E28" i="8"/>
  <c r="E28" i="12"/>
  <c r="G28" i="8"/>
  <c r="G28" i="12"/>
  <c r="E9" i="8"/>
  <c r="E9" i="12"/>
  <c r="D28" i="8"/>
  <c r="D28" i="12"/>
  <c r="L26" i="8"/>
  <c r="L26" i="12"/>
  <c r="N3" i="8"/>
  <c r="N3" i="12"/>
  <c r="L19" i="8"/>
  <c r="L19" i="12"/>
  <c r="O7" i="8"/>
  <c r="O7" i="12"/>
  <c r="P31" i="8"/>
  <c r="P31" i="12"/>
  <c r="O13" i="8"/>
  <c r="O13" i="12"/>
  <c r="O35" i="8"/>
  <c r="O35" i="12"/>
  <c r="Q39" i="8"/>
  <c r="Q39" i="12"/>
  <c r="P4" i="8"/>
  <c r="P4" i="12"/>
  <c r="M14" i="8"/>
  <c r="M14" i="12"/>
  <c r="O23" i="12"/>
  <c r="O23" i="8"/>
  <c r="M32" i="8"/>
  <c r="M32" i="12"/>
  <c r="L30" i="8"/>
  <c r="R30" i="8" s="1"/>
  <c r="L30" i="12"/>
  <c r="P17" i="8"/>
  <c r="P17" i="12"/>
  <c r="L6" i="8"/>
  <c r="L6" i="12"/>
  <c r="Q12" i="8"/>
  <c r="Q12" i="12"/>
  <c r="O5" i="8"/>
  <c r="O5" i="12"/>
  <c r="M12" i="8"/>
  <c r="M12" i="12"/>
  <c r="L31" i="8"/>
  <c r="L31" i="12"/>
  <c r="L28" i="8"/>
  <c r="L28" i="12"/>
  <c r="N5" i="8"/>
  <c r="N5" i="12"/>
  <c r="Q30" i="8"/>
  <c r="Q30" i="12"/>
  <c r="M36" i="8"/>
  <c r="R36" i="8" s="1"/>
  <c r="M36" i="12"/>
  <c r="R36" i="12" s="1"/>
  <c r="C25" i="8"/>
  <c r="C25" i="12"/>
  <c r="G13" i="8"/>
  <c r="G13" i="12"/>
  <c r="G32" i="8"/>
  <c r="G32" i="12"/>
  <c r="B33" i="8"/>
  <c r="B33" i="12"/>
  <c r="G3" i="8"/>
  <c r="G3" i="12"/>
  <c r="G31" i="8"/>
  <c r="G31" i="12"/>
  <c r="B31" i="8"/>
  <c r="B31" i="12"/>
  <c r="P13" i="8"/>
  <c r="P13" i="12"/>
  <c r="M20" i="8"/>
  <c r="M20" i="12"/>
  <c r="L11" i="8"/>
  <c r="L11" i="12"/>
  <c r="O17" i="8"/>
  <c r="O17" i="12"/>
  <c r="P11" i="8"/>
  <c r="P11" i="12"/>
  <c r="Q15" i="8"/>
  <c r="Q15" i="12"/>
  <c r="Q21" i="8"/>
  <c r="Q21" i="12"/>
  <c r="Q10" i="8"/>
  <c r="Q10" i="12"/>
  <c r="L15" i="8"/>
  <c r="R15" i="8" s="1"/>
  <c r="L15" i="12"/>
  <c r="Q14" i="8"/>
  <c r="Q14" i="12"/>
  <c r="M16" i="8"/>
  <c r="M16" i="12"/>
  <c r="M8" i="8"/>
  <c r="M8" i="12"/>
  <c r="Q3" i="8"/>
  <c r="Q3" i="12"/>
  <c r="C39" i="8"/>
  <c r="C39" i="12"/>
  <c r="O20" i="8"/>
  <c r="O20" i="12"/>
  <c r="C3" i="8"/>
  <c r="C3" i="12"/>
  <c r="D38" i="8"/>
  <c r="D38" i="12"/>
  <c r="E39" i="8"/>
  <c r="E39" i="12"/>
  <c r="D8" i="8"/>
  <c r="D8" i="12"/>
  <c r="D7" i="8"/>
  <c r="D7" i="12"/>
  <c r="G23" i="8"/>
  <c r="G23" i="12"/>
  <c r="C31" i="8"/>
  <c r="H31" i="8" s="1"/>
  <c r="C31" i="12"/>
  <c r="G38" i="8"/>
  <c r="G38" i="12"/>
  <c r="E34" i="8"/>
  <c r="E34" i="12"/>
  <c r="P6" i="8"/>
  <c r="P6" i="12"/>
  <c r="Q13" i="8"/>
  <c r="Q13" i="12"/>
  <c r="Q24" i="8"/>
  <c r="Q24" i="12"/>
  <c r="Q25" i="8"/>
  <c r="Q25" i="12"/>
  <c r="M22" i="8"/>
  <c r="M22" i="12"/>
  <c r="N28" i="8"/>
  <c r="N28" i="12"/>
  <c r="P26" i="8"/>
  <c r="P26" i="12"/>
  <c r="L12" i="8"/>
  <c r="L12" i="12"/>
  <c r="N38" i="8"/>
  <c r="N38" i="12"/>
  <c r="O4" i="8"/>
  <c r="O4" i="12"/>
  <c r="Q31" i="8"/>
  <c r="Q31" i="12"/>
  <c r="N30" i="8"/>
  <c r="N30" i="12"/>
  <c r="O32" i="8"/>
  <c r="O32" i="12"/>
  <c r="L33" i="8"/>
  <c r="L33" i="12"/>
  <c r="P28" i="8"/>
  <c r="P28" i="12"/>
  <c r="N6" i="8"/>
  <c r="N6" i="12"/>
  <c r="D9" i="8"/>
  <c r="D9" i="12"/>
  <c r="B19" i="8"/>
  <c r="B19" i="12"/>
  <c r="G11" i="8"/>
  <c r="G11" i="12"/>
  <c r="C15" i="8"/>
  <c r="C15" i="12"/>
  <c r="F3" i="8"/>
  <c r="F3" i="12"/>
  <c r="B13" i="8"/>
  <c r="B13" i="12"/>
  <c r="G19" i="8"/>
  <c r="G19" i="12"/>
  <c r="F9" i="8"/>
  <c r="F9" i="12"/>
  <c r="F30" i="8"/>
  <c r="F30" i="12"/>
  <c r="C27" i="8"/>
  <c r="C27" i="12"/>
  <c r="E26" i="8"/>
  <c r="E26" i="12"/>
  <c r="P25" i="8"/>
  <c r="P25" i="12"/>
  <c r="O15" i="8"/>
  <c r="O15" i="12"/>
  <c r="E23" i="8"/>
  <c r="E23" i="12"/>
  <c r="D29" i="8"/>
  <c r="D29" i="12"/>
  <c r="C12" i="8"/>
  <c r="C12" i="12"/>
  <c r="F40" i="8"/>
  <c r="F40" i="12"/>
  <c r="G8" i="8"/>
  <c r="G8" i="12"/>
  <c r="B30" i="8"/>
  <c r="B30" i="12"/>
  <c r="E32" i="8"/>
  <c r="E32" i="12"/>
  <c r="B25" i="8"/>
  <c r="B25" i="12"/>
  <c r="F6" i="8"/>
  <c r="F6" i="12"/>
  <c r="C40" i="8"/>
  <c r="C40" i="12"/>
  <c r="D20" i="8"/>
  <c r="D20" i="12"/>
  <c r="F23" i="8"/>
  <c r="F23" i="12"/>
  <c r="H23" i="12" s="1"/>
  <c r="C29" i="8"/>
  <c r="C29" i="12"/>
  <c r="E31" i="8"/>
  <c r="E31" i="12"/>
  <c r="G18" i="8"/>
  <c r="G18" i="12"/>
  <c r="P34" i="8"/>
  <c r="P34" i="12"/>
  <c r="P27" i="8"/>
  <c r="P27" i="12"/>
  <c r="M7" i="8"/>
  <c r="M7" i="12"/>
  <c r="N34" i="8"/>
  <c r="N34" i="12"/>
  <c r="M35" i="8"/>
  <c r="M35" i="12"/>
  <c r="P15" i="8"/>
  <c r="P15" i="12"/>
  <c r="P19" i="8"/>
  <c r="P19" i="12"/>
  <c r="L23" i="8"/>
  <c r="L23" i="12"/>
  <c r="M10" i="8"/>
  <c r="M10" i="12"/>
  <c r="Q26" i="8"/>
  <c r="Q26" i="12"/>
  <c r="L40" i="8"/>
  <c r="L40" i="12"/>
  <c r="B15" i="8"/>
  <c r="B15" i="12"/>
  <c r="G17" i="8"/>
  <c r="G17" i="12"/>
  <c r="D30" i="8"/>
  <c r="D30" i="12"/>
  <c r="B21" i="8"/>
  <c r="B21" i="12"/>
  <c r="B38" i="8"/>
  <c r="H38" i="8" s="1"/>
  <c r="B38" i="12"/>
  <c r="E40" i="8"/>
  <c r="E40" i="12"/>
  <c r="F39" i="8"/>
  <c r="F39" i="12"/>
  <c r="G15" i="8"/>
  <c r="G15" i="12"/>
  <c r="C7" i="8"/>
  <c r="H7" i="8" s="1"/>
  <c r="C7" i="12"/>
  <c r="D32" i="8"/>
  <c r="D32" i="12"/>
  <c r="B14" i="8"/>
  <c r="H14" i="8" s="1"/>
  <c r="B14" i="12"/>
  <c r="F8" i="8"/>
  <c r="F8" i="12"/>
  <c r="F11" i="8"/>
  <c r="F11" i="12"/>
  <c r="B6" i="8"/>
  <c r="B6" i="12"/>
  <c r="C30" i="8"/>
  <c r="C30" i="12"/>
  <c r="E21" i="8"/>
  <c r="E21" i="12"/>
  <c r="G20" i="8"/>
  <c r="G20" i="12"/>
  <c r="F10" i="8"/>
  <c r="F10" i="12"/>
  <c r="B4" i="8"/>
  <c r="B4" i="12"/>
  <c r="D12" i="8"/>
  <c r="D12" i="12"/>
  <c r="B10" i="8"/>
  <c r="H10" i="8" s="1"/>
  <c r="B10" i="12"/>
  <c r="C26" i="8"/>
  <c r="C26" i="12"/>
  <c r="N35" i="8"/>
  <c r="R35" i="8" s="1"/>
  <c r="N35" i="12"/>
  <c r="L20" i="8"/>
  <c r="L20" i="12"/>
  <c r="O27" i="8"/>
  <c r="O27" i="12"/>
  <c r="L7" i="8"/>
  <c r="L7" i="12"/>
  <c r="N40" i="8"/>
  <c r="N40" i="12"/>
  <c r="Q19" i="8"/>
  <c r="Q19" i="12"/>
  <c r="O37" i="8"/>
  <c r="O37" i="12"/>
  <c r="N33" i="8"/>
  <c r="N33" i="12"/>
  <c r="M3" i="8"/>
  <c r="R3" i="8" s="1"/>
  <c r="M3" i="12"/>
  <c r="O19" i="8"/>
  <c r="O19" i="12"/>
  <c r="M23" i="8"/>
  <c r="M23" i="12"/>
  <c r="N18" i="8"/>
  <c r="N18" i="12"/>
  <c r="O22" i="8"/>
  <c r="R22" i="8" s="1"/>
  <c r="O22" i="12"/>
  <c r="O11" i="8"/>
  <c r="O11" i="12"/>
  <c r="N36" i="8"/>
  <c r="N36" i="12"/>
  <c r="O6" i="8"/>
  <c r="O6" i="12"/>
  <c r="L37" i="8"/>
  <c r="L37" i="12"/>
  <c r="N20" i="8"/>
  <c r="N20" i="12"/>
  <c r="O12" i="8"/>
  <c r="O12" i="12"/>
  <c r="M15" i="8"/>
  <c r="M15" i="12"/>
  <c r="R5" i="8"/>
  <c r="N8" i="8"/>
  <c r="N8" i="12"/>
  <c r="N9" i="8"/>
  <c r="N9" i="12"/>
  <c r="L24" i="8"/>
  <c r="L24" i="12"/>
  <c r="H32" i="8"/>
  <c r="P7" i="8"/>
  <c r="P7" i="12"/>
  <c r="D40" i="8"/>
  <c r="H40" i="8" s="1"/>
  <c r="D40" i="12"/>
  <c r="M29" i="8"/>
  <c r="M29" i="12"/>
  <c r="N29" i="8"/>
  <c r="N29" i="12"/>
  <c r="F22" i="8"/>
  <c r="F22" i="12"/>
  <c r="E12" i="8"/>
  <c r="E12" i="12"/>
  <c r="B5" i="8"/>
  <c r="B5" i="12"/>
  <c r="B12" i="8"/>
  <c r="B12" i="12"/>
  <c r="D26" i="8"/>
  <c r="D26" i="12"/>
  <c r="O39" i="8"/>
  <c r="O39" i="12"/>
  <c r="M5" i="8"/>
  <c r="M5" i="12"/>
  <c r="Q40" i="8"/>
  <c r="Q40" i="12"/>
  <c r="L34" i="8"/>
  <c r="L34" i="12"/>
  <c r="R4" i="8"/>
  <c r="R37" i="8"/>
  <c r="O25" i="8"/>
  <c r="O25" i="12"/>
  <c r="L29" i="8"/>
  <c r="L29" i="12"/>
  <c r="O24" i="8"/>
  <c r="O24" i="12"/>
  <c r="N23" i="8"/>
  <c r="N23" i="12"/>
  <c r="C33" i="8"/>
  <c r="C33" i="12"/>
  <c r="F33" i="8"/>
  <c r="F33" i="12"/>
  <c r="P3" i="8"/>
  <c r="P3" i="12"/>
  <c r="Q29" i="8"/>
  <c r="Q29" i="12"/>
  <c r="M21" i="8"/>
  <c r="M21" i="12"/>
  <c r="E20" i="8"/>
  <c r="E20" i="12"/>
  <c r="D21" i="8"/>
  <c r="D21" i="12"/>
  <c r="G25" i="8"/>
  <c r="G25" i="12"/>
  <c r="E7" i="8"/>
  <c r="E7" i="12"/>
  <c r="D17" i="8"/>
  <c r="D17" i="12"/>
  <c r="E8" i="8"/>
  <c r="E8" i="12"/>
  <c r="B22" i="8"/>
  <c r="B22" i="12"/>
  <c r="E6" i="8"/>
  <c r="E6" i="12"/>
  <c r="F38" i="8"/>
  <c r="F38" i="12"/>
  <c r="C21" i="8"/>
  <c r="C21" i="12"/>
  <c r="F4" i="8"/>
  <c r="F4" i="12"/>
  <c r="B18" i="8"/>
  <c r="B18" i="12"/>
  <c r="G10" i="8"/>
  <c r="G10" i="12"/>
  <c r="E4" i="8"/>
  <c r="H4" i="8" s="1"/>
  <c r="E4" i="12"/>
  <c r="E18" i="8"/>
  <c r="E18" i="12"/>
  <c r="G26" i="8"/>
  <c r="G26" i="12"/>
  <c r="M28" i="8"/>
  <c r="M28" i="12"/>
  <c r="M13" i="8"/>
  <c r="R13" i="8" s="1"/>
  <c r="M13" i="12"/>
  <c r="M27" i="8"/>
  <c r="M27" i="12"/>
  <c r="L25" i="8"/>
  <c r="L25" i="12"/>
  <c r="N22" i="8"/>
  <c r="N22" i="12"/>
  <c r="R22" i="12" s="1"/>
  <c r="Q18" i="8"/>
  <c r="Q18" i="12"/>
  <c r="L18" i="8"/>
  <c r="L18" i="12"/>
  <c r="P5" i="8"/>
  <c r="P5" i="12"/>
  <c r="L3" i="8"/>
  <c r="L3" i="12"/>
  <c r="R3" i="12" s="1"/>
  <c r="M19" i="8"/>
  <c r="M19" i="12"/>
  <c r="Q4" i="8"/>
  <c r="Q4" i="12"/>
  <c r="P10" i="8"/>
  <c r="P10" i="12"/>
  <c r="Q34" i="8"/>
  <c r="Q34" i="12"/>
  <c r="M11" i="8"/>
  <c r="M11" i="12"/>
  <c r="O36" i="8"/>
  <c r="O36" i="12"/>
  <c r="N26" i="12"/>
  <c r="N26" i="8"/>
  <c r="N21" i="8"/>
  <c r="N21" i="12"/>
  <c r="N39" i="8"/>
  <c r="N39" i="12"/>
  <c r="B9" i="8"/>
  <c r="H9" i="8" s="1"/>
  <c r="B9" i="12"/>
  <c r="B8" i="8"/>
  <c r="B8" i="12"/>
  <c r="C13" i="8"/>
  <c r="C13" i="12"/>
  <c r="D16" i="8"/>
  <c r="D16" i="12"/>
  <c r="E11" i="8"/>
  <c r="E11" i="12"/>
  <c r="D14" i="8"/>
  <c r="D14" i="12"/>
  <c r="E15" i="8"/>
  <c r="E15" i="12"/>
  <c r="F15" i="8"/>
  <c r="F15" i="12"/>
  <c r="C24" i="8"/>
  <c r="C24" i="12"/>
  <c r="G27" i="8"/>
  <c r="G27" i="12"/>
  <c r="D13" i="8"/>
  <c r="D13" i="12"/>
  <c r="G14" i="8"/>
  <c r="G14" i="12"/>
  <c r="E19" i="8"/>
  <c r="E19" i="12"/>
  <c r="B11" i="8"/>
  <c r="B11" i="12"/>
  <c r="B16" i="8"/>
  <c r="H16" i="8" s="1"/>
  <c r="B16" i="12"/>
  <c r="H16" i="12" s="1"/>
  <c r="F7" i="8"/>
  <c r="F7" i="12"/>
  <c r="G30" i="8"/>
  <c r="G30" i="12"/>
  <c r="G34" i="8"/>
  <c r="G34" i="12"/>
  <c r="B27" i="8"/>
  <c r="B27" i="12"/>
  <c r="H27" i="12" s="1"/>
  <c r="F29" i="8"/>
  <c r="F29" i="12"/>
  <c r="D11" i="8"/>
  <c r="D11" i="12"/>
  <c r="B26" i="8"/>
  <c r="H26" i="8" s="1"/>
  <c r="B26" i="12"/>
  <c r="M33" i="8"/>
  <c r="R33" i="8" s="1"/>
  <c r="M33" i="12"/>
  <c r="L16" i="8"/>
  <c r="L16" i="12"/>
  <c r="O38" i="8"/>
  <c r="O38" i="12"/>
  <c r="Q16" i="8"/>
  <c r="Q16" i="12"/>
  <c r="Q8" i="8"/>
  <c r="Q8" i="12"/>
  <c r="R8" i="12" s="1"/>
  <c r="P9" i="8"/>
  <c r="P9" i="12"/>
  <c r="O40" i="8"/>
  <c r="O40" i="12"/>
  <c r="M4" i="8"/>
  <c r="M4" i="12"/>
  <c r="M18" i="8"/>
  <c r="M18" i="12"/>
  <c r="N32" i="8"/>
  <c r="N32" i="12"/>
  <c r="L39" i="8"/>
  <c r="L39" i="12"/>
  <c r="M17" i="8"/>
  <c r="M17" i="12"/>
  <c r="N25" i="8"/>
  <c r="R25" i="8" s="1"/>
  <c r="N25" i="12"/>
  <c r="L17" i="8"/>
  <c r="L17" i="12"/>
  <c r="Q22" i="8"/>
  <c r="Q22" i="12"/>
  <c r="Q33" i="8"/>
  <c r="Q33" i="12"/>
  <c r="P18" i="8"/>
  <c r="P18" i="12"/>
  <c r="P37" i="8"/>
  <c r="P37" i="12"/>
  <c r="O31" i="8"/>
  <c r="O31" i="12"/>
  <c r="Q32" i="8"/>
  <c r="Q32" i="12"/>
  <c r="N13" i="8"/>
  <c r="N13" i="12"/>
  <c r="R13" i="12" s="1"/>
  <c r="C32" i="8"/>
  <c r="C32" i="12"/>
  <c r="C20" i="8"/>
  <c r="C20" i="12"/>
  <c r="E25" i="8"/>
  <c r="E25" i="12"/>
  <c r="C17" i="8"/>
  <c r="C17" i="12"/>
  <c r="C5" i="8"/>
  <c r="C5" i="12"/>
  <c r="F25" i="8"/>
  <c r="F25" i="12"/>
  <c r="G39" i="8"/>
  <c r="G39" i="12"/>
  <c r="F24" i="8"/>
  <c r="F24" i="12"/>
  <c r="E24" i="8"/>
  <c r="E24" i="12"/>
  <c r="E27" i="8"/>
  <c r="E27" i="12"/>
  <c r="C8" i="8"/>
  <c r="C8" i="12"/>
  <c r="C19" i="8"/>
  <c r="C19" i="12"/>
  <c r="G6" i="8"/>
  <c r="G6" i="12"/>
  <c r="E3" i="8"/>
  <c r="E3" i="12"/>
  <c r="G9" i="8"/>
  <c r="G9" i="12"/>
  <c r="D34" i="8"/>
  <c r="D34" i="12"/>
  <c r="D10" i="8"/>
  <c r="D10" i="12"/>
  <c r="D23" i="8"/>
  <c r="D23" i="12"/>
  <c r="G16" i="8"/>
  <c r="G16" i="12"/>
  <c r="B28" i="8"/>
  <c r="B28" i="12"/>
  <c r="H28" i="12" s="1"/>
  <c r="G29" i="8"/>
  <c r="G29" i="12"/>
  <c r="B34" i="8"/>
  <c r="H34" i="8" s="1"/>
  <c r="B34" i="12"/>
  <c r="N7" i="8"/>
  <c r="N7" i="12"/>
  <c r="O9" i="8"/>
  <c r="O9" i="12"/>
  <c r="P12" i="8"/>
  <c r="P12" i="12"/>
  <c r="P16" i="8"/>
  <c r="P16" i="12"/>
  <c r="P8" i="8"/>
  <c r="P8" i="12"/>
  <c r="Q9" i="8"/>
  <c r="Q9" i="12"/>
  <c r="P35" i="8"/>
  <c r="P35" i="12"/>
  <c r="Q36" i="8"/>
  <c r="Q36" i="12"/>
  <c r="O30" i="8"/>
  <c r="O30" i="12"/>
  <c r="N14" i="8"/>
  <c r="N14" i="12"/>
  <c r="Q5" i="8"/>
  <c r="Q5" i="12"/>
  <c r="L10" i="8"/>
  <c r="L10" i="12"/>
  <c r="Q35" i="8"/>
  <c r="Q35" i="12"/>
  <c r="Q17" i="8"/>
  <c r="Q17" i="12"/>
  <c r="O34" i="8"/>
  <c r="O34" i="12"/>
  <c r="M40" i="8"/>
  <c r="M40" i="12"/>
  <c r="N31" i="8"/>
  <c r="N31" i="12"/>
  <c r="P23" i="8"/>
  <c r="P23" i="12"/>
  <c r="M31" i="8"/>
  <c r="M31" i="12"/>
  <c r="P32" i="8"/>
  <c r="P32" i="12"/>
  <c r="P22" i="8"/>
  <c r="P22" i="12"/>
  <c r="O16" i="8"/>
  <c r="O16" i="12"/>
  <c r="R8" i="8"/>
  <c r="L21" i="8"/>
  <c r="L21" i="12"/>
  <c r="N24" i="8"/>
  <c r="N24" i="12"/>
  <c r="H29" i="12" l="1"/>
  <c r="R4" i="12"/>
  <c r="R35" i="12"/>
  <c r="R15" i="12"/>
  <c r="R5" i="12"/>
  <c r="H10" i="12"/>
  <c r="H38" i="12"/>
  <c r="H33" i="12"/>
  <c r="H26" i="12"/>
  <c r="H32" i="12"/>
  <c r="R26" i="12"/>
  <c r="H22" i="12"/>
  <c r="H40" i="12"/>
  <c r="R18" i="12"/>
  <c r="R21" i="8"/>
  <c r="H13" i="8"/>
  <c r="H19" i="8"/>
  <c r="H39" i="8"/>
  <c r="R11" i="8"/>
  <c r="H39" i="12"/>
  <c r="R17" i="12"/>
  <c r="R16" i="12"/>
  <c r="H22" i="8"/>
  <c r="H5" i="12"/>
  <c r="R24" i="12"/>
  <c r="R7" i="12"/>
  <c r="H6" i="12"/>
  <c r="H25" i="12"/>
  <c r="R31" i="8"/>
  <c r="R16" i="8"/>
  <c r="H5" i="8"/>
  <c r="R24" i="8"/>
  <c r="H6" i="8"/>
  <c r="R34" i="8"/>
  <c r="H25" i="8"/>
  <c r="R30" i="12"/>
  <c r="H24" i="12"/>
  <c r="H20" i="12"/>
  <c r="R12" i="12"/>
  <c r="H7" i="12"/>
  <c r="H28" i="8"/>
  <c r="R39" i="8"/>
  <c r="H24" i="8"/>
  <c r="R29" i="8"/>
  <c r="H15" i="12"/>
  <c r="H17" i="12"/>
  <c r="R23" i="12"/>
  <c r="R18" i="8"/>
  <c r="H27" i="8"/>
  <c r="R23" i="8"/>
  <c r="H12" i="8"/>
  <c r="R34" i="12"/>
  <c r="H21" i="12"/>
  <c r="H30" i="12"/>
  <c r="H31" i="12"/>
  <c r="R28" i="8"/>
  <c r="H29" i="8"/>
  <c r="R27" i="8"/>
  <c r="H17" i="8"/>
  <c r="R7" i="8"/>
  <c r="H8" i="8"/>
  <c r="R17" i="8"/>
  <c r="H11" i="8"/>
  <c r="R25" i="12"/>
  <c r="H18" i="12"/>
  <c r="R20" i="8"/>
  <c r="H21" i="8"/>
  <c r="R40" i="8"/>
  <c r="H30" i="8"/>
  <c r="R26" i="8"/>
  <c r="R31" i="12"/>
  <c r="R6" i="12"/>
  <c r="R19" i="12"/>
  <c r="R14" i="12"/>
  <c r="R32" i="12"/>
  <c r="R38" i="12"/>
  <c r="H3" i="12"/>
  <c r="H15" i="8"/>
  <c r="R12" i="8"/>
  <c r="H33" i="8"/>
  <c r="R28" i="12"/>
  <c r="R39" i="12"/>
  <c r="R27" i="12"/>
  <c r="R9" i="12"/>
  <c r="H11" i="12"/>
  <c r="H8" i="12"/>
  <c r="H20" i="8"/>
  <c r="R20" i="12"/>
  <c r="R40" i="12"/>
  <c r="R21" i="12"/>
  <c r="R10" i="12"/>
  <c r="H34" i="12"/>
  <c r="H9" i="12"/>
  <c r="R10" i="8"/>
  <c r="H18" i="8"/>
  <c r="R29" i="12"/>
  <c r="H12" i="12"/>
  <c r="R37" i="12"/>
  <c r="H4" i="12"/>
  <c r="H14" i="12"/>
  <c r="H13" i="12"/>
  <c r="H19" i="12"/>
  <c r="R33" i="12"/>
  <c r="R11" i="12"/>
  <c r="R6" i="8"/>
  <c r="R19" i="8"/>
  <c r="H23" i="8"/>
  <c r="R14" i="8"/>
  <c r="R32" i="8"/>
  <c r="R38" i="8"/>
  <c r="H3" i="8"/>
</calcChain>
</file>

<file path=xl/sharedStrings.xml><?xml version="1.0" encoding="utf-8"?>
<sst xmlns="http://schemas.openxmlformats.org/spreadsheetml/2006/main" count="2686" uniqueCount="72">
  <si>
    <t>zone</t>
  </si>
  <si>
    <t>year</t>
  </si>
  <si>
    <t>industry</t>
  </si>
  <si>
    <t>employment</t>
  </si>
  <si>
    <t>Stuttgart</t>
  </si>
  <si>
    <t>a-b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</si>
  <si>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</si>
  <si>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</si>
  <si>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</si>
  <si>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</si>
  <si>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</si>
  <si>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</si>
  <si>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</si>
  <si>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</si>
  <si>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</si>
  <si>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</si>
  <si>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</si>
  <si>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</si>
  <si>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</si>
  <si>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</si>
  <si>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Darmstadt</t>
  </si>
  <si>
    <t>Gießen</t>
  </si>
  <si>
    <t>Kassel</t>
  </si>
  <si>
    <t>Mecklenburg-Vorpommern</t>
  </si>
  <si>
    <t>Braunschweig</t>
  </si>
  <si>
    <t>Hannover</t>
  </si>
  <si>
    <t>Lüneburg</t>
  </si>
  <si>
    <t>Weser-Ems</t>
  </si>
  <si>
    <t>Düsseldorf</t>
  </si>
  <si>
    <t>Köln</t>
  </si>
  <si>
    <t>Münster</t>
  </si>
  <si>
    <t>Detmold</t>
  </si>
  <si>
    <t>Arnsberg</t>
  </si>
  <si>
    <t>Koblenz</t>
  </si>
  <si>
    <t>Trier</t>
  </si>
  <si>
    <t>Rheinhessen-Pfalz</t>
  </si>
  <si>
    <t>Saarland</t>
  </si>
  <si>
    <t>Dresden</t>
  </si>
  <si>
    <t>Chemnitz</t>
  </si>
  <si>
    <t>Leipzig</t>
  </si>
  <si>
    <t>Sachsen-Anhalt</t>
  </si>
  <si>
    <t>Schleswig-Holstein</t>
  </si>
  <si>
    <t>Thüringen</t>
  </si>
  <si>
    <t>c-e</t>
  </si>
  <si>
    <t>f</t>
  </si>
  <si>
    <t>g-i</t>
  </si>
  <si>
    <t>j-k</t>
  </si>
  <si>
    <t>l-q</t>
  </si>
  <si>
    <t>import</t>
  </si>
  <si>
    <t>L_i</t>
  </si>
  <si>
    <t>period</t>
  </si>
  <si>
    <t>1999-2011</t>
  </si>
  <si>
    <t>2012-2019</t>
  </si>
  <si>
    <t>delta_M</t>
  </si>
  <si>
    <t>L_i0</t>
  </si>
  <si>
    <t>shock_i</t>
  </si>
  <si>
    <t>total_1999</t>
  </si>
  <si>
    <t>total_2012</t>
  </si>
  <si>
    <t>Australia</t>
  </si>
  <si>
    <t xml:space="preserve">Finland </t>
  </si>
  <si>
    <t>Japan</t>
  </si>
  <si>
    <t>Norway</t>
  </si>
  <si>
    <t>New Zealand</t>
  </si>
  <si>
    <t>Sweden</t>
  </si>
  <si>
    <t>delta_M_OC</t>
  </si>
  <si>
    <t>shock_OC</t>
  </si>
  <si>
    <t>p1</t>
  </si>
  <si>
    <t>p2</t>
  </si>
  <si>
    <t>IPW_OC (1999-2011)</t>
  </si>
  <si>
    <t>IPW_OC (2012-2019)</t>
  </si>
  <si>
    <t>IPW (1999-2011)</t>
  </si>
  <si>
    <t>IPW (2012-2019)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</si>
</sst>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[$$-409]#,##0.00"/>
    <numFmt numFmtId="166" formatCode="0.0000"/>
  </numFmts>
  <fonts count="5" x14ac:knownFonts="1">
    <font>
      <sz val="12"/>
      <color theme="1"/>
      <name val="Aptos Narrow"/>
      <family val="2"/>
      <charset val="204"/>
      <scheme val="minor"/>
    </font>
    <font>
      <sz val="10"/>
      <name val="Arial"/>
      <family val="2"/>
    </font>
    <font>
      <sz val="8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4" fontId="1" fillId="0" borderId="1" xfId="0" applyNumberFormat="1" applyFont="1" applyBorder="1" applyAlignment="1">
      <alignment horizontal="right"/>
    </xf>
    <xf numFmtId="2" fontId="0" fillId="0" borderId="0" xfId="0" applyNumberFormat="1"/>
    <xf numFmtId="165" fontId="0" fillId="0" borderId="0" xfId="0" applyNumberFormat="1" applyAlignment="1">
      <alignment horizontal="left"/>
    </xf>
    <xf numFmtId="0" fontId="0" fillId="0" borderId="2" xfId="0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4" fillId="0" borderId="2" xfId="0" applyFont="1" applyBorder="1" applyAlignment="1">
      <alignment horizontal="left"/>
    </xf>
    <xf numFmtId="2" fontId="4" fillId="0" borderId="2" xfId="0" applyNumberFormat="1" applyFont="1" applyBorder="1" applyAlignment="1">
      <alignment horizontal="left"/>
    </xf>
    <xf numFmtId="165" fontId="0" fillId="0" borderId="2" xfId="0" applyNumberFormat="1" applyBorder="1" applyAlignment="1">
      <alignment horizontal="left"/>
    </xf>
    <xf numFmtId="165" fontId="4" fillId="0" borderId="2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2" xfId="0" applyFont="1" applyBorder="1"/>
    <xf numFmtId="2" fontId="4" fillId="0" borderId="2" xfId="0" applyNumberFormat="1" applyFont="1" applyBorder="1"/>
    <xf numFmtId="0" fontId="0" fillId="0" borderId="2" xfId="0" applyBorder="1"/>
    <xf numFmtId="166" fontId="0" fillId="0" borderId="2" xfId="0" applyNumberFormat="1" applyBorder="1" applyAlignment="1">
      <alignment horizontal="left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7474-995A-EC47-B8B7-DED8651B8ADD}">
  <dimension ref="A1:D913"/>
  <sheetViews>
    <sheetView workbookViewId="0">
      <selection activeCell="G8" sqref="G8"/>
    </sheetView>
  </sheetViews>
  <sheetFormatPr baseColWidth="10" defaultRowHeight="16" x14ac:dyDescent="0.2"/>
  <cols>
    <col min="1" max="1" width="22.83203125" style="6" bestFit="1" customWidth="1"/>
    <col min="2" max="3" width="10.83203125" style="6"/>
    <col min="4" max="4" width="10.83203125" style="7"/>
  </cols>
  <sheetData>
    <row r="1" spans="1:4" x14ac:dyDescent="0.2">
      <c r="A1" s="8" t="s">
        <v>0</v>
      </c>
      <c r="B1" s="8" t="s">
        <v>1</v>
      </c>
      <c r="C1" s="8" t="s">
        <v>2</v>
      </c>
      <c r="D1" s="9" t="s">
        <v>3</v>
      </c>
    </row>
    <row r="2" spans="1:4" x14ac:dyDescent="0.2">
      <c r="A2" s="6" t="s">
        <v>4</v>
      </c>
      <c r="B2" s="6">
        <v>1999</v>
      </c>
      <c r="C2" s="6" t="s">
        <v>5</v>
      </c>
      <c r="D2" s="6">
        <v>31.3</v>
      </c>
    </row>
    <row r="3" spans="1:4" x14ac:dyDescent="0.2">
      <c r="A3" s="6" t="s">
        <v>6</v>
      </c>
      <c r="B3" s="6">
        <v>1999</v>
      </c>
      <c r="C3" s="6" t="s">
        <v>5</v>
      </c>
      <c r="D3" s="6">
        <v>17.3</v>
      </c>
    </row>
    <row r="4" spans="1:4" x14ac:dyDescent="0.2">
      <c r="A4" s="6" t="s">
        <v>7</v>
      </c>
      <c r="B4" s="6">
        <v>1999</v>
      </c>
      <c r="C4" s="6" t="s">
        <v>5</v>
      </c>
      <c r="D4" s="6">
        <v>31.1</v>
      </c>
    </row>
    <row r="5" spans="1:4" x14ac:dyDescent="0.2">
      <c r="A5" s="6" t="s">
        <v>8</v>
      </c>
      <c r="B5" s="6">
        <v>1999</v>
      </c>
      <c r="C5" s="6" t="s">
        <v>5</v>
      </c>
      <c r="D5" s="6">
        <v>32.200000000000003</v>
      </c>
    </row>
    <row r="6" spans="1:4" x14ac:dyDescent="0.2">
      <c r="A6" s="6" t="s">
        <v>9</v>
      </c>
      <c r="B6" s="6">
        <v>1999</v>
      </c>
      <c r="C6" s="6" t="s">
        <v>5</v>
      </c>
      <c r="D6" s="6">
        <v>52.8</v>
      </c>
    </row>
    <row r="7" spans="1:4" x14ac:dyDescent="0.2">
      <c r="A7" s="6" t="s">
        <v>10</v>
      </c>
      <c r="B7" s="6">
        <v>1999</v>
      </c>
      <c r="C7" s="6" t="s">
        <v>5</v>
      </c>
      <c r="D7" s="6">
        <v>35.6</v>
      </c>
    </row>
    <row r="8" spans="1:4" x14ac:dyDescent="0.2">
      <c r="A8" s="6" t="s">
        <v>11</v>
      </c>
      <c r="B8" s="6">
        <v>1999</v>
      </c>
      <c r="C8" s="6" t="s">
        <v>5</v>
      </c>
      <c r="D8" s="6">
        <v>29.9</v>
      </c>
    </row>
    <row r="9" spans="1:4" x14ac:dyDescent="0.2">
      <c r="A9" s="6" t="s">
        <v>12</v>
      </c>
      <c r="B9" s="6">
        <v>1999</v>
      </c>
      <c r="C9" s="6" t="s">
        <v>5</v>
      </c>
      <c r="D9" s="6">
        <v>14.2</v>
      </c>
    </row>
    <row r="10" spans="1:4" x14ac:dyDescent="0.2">
      <c r="A10" s="6" t="s">
        <v>13</v>
      </c>
      <c r="B10" s="6">
        <v>1999</v>
      </c>
      <c r="C10" s="6" t="s">
        <v>5</v>
      </c>
      <c r="D10" s="6">
        <v>33.299999999999997</v>
      </c>
    </row>
    <row r="11" spans="1:4" x14ac:dyDescent="0.2">
      <c r="A11" s="6" t="s">
        <v>14</v>
      </c>
      <c r="B11" s="6">
        <v>1999</v>
      </c>
      <c r="C11" s="6" t="s">
        <v>5</v>
      </c>
      <c r="D11" s="6">
        <v>15.9</v>
      </c>
    </row>
    <row r="12" spans="1:4" x14ac:dyDescent="0.2">
      <c r="A12" s="6" t="s">
        <v>15</v>
      </c>
      <c r="B12" s="6">
        <v>1999</v>
      </c>
      <c r="C12" s="6" t="s">
        <v>5</v>
      </c>
      <c r="D12" s="6">
        <v>33.5</v>
      </c>
    </row>
    <row r="13" spans="1:4" x14ac:dyDescent="0.2">
      <c r="A13" s="6" t="s">
        <v>16</v>
      </c>
      <c r="B13" s="6">
        <v>1999</v>
      </c>
      <c r="C13" s="6" t="s">
        <v>5</v>
      </c>
      <c r="D13" s="6">
        <v>11.4</v>
      </c>
    </row>
    <row r="14" spans="1:4" x14ac:dyDescent="0.2">
      <c r="A14" s="6" t="s">
        <v>17</v>
      </c>
      <c r="B14" s="6">
        <v>1999</v>
      </c>
      <c r="C14" s="6" t="s">
        <v>5</v>
      </c>
      <c r="D14" s="6">
        <v>61.4</v>
      </c>
    </row>
    <row r="15" spans="1:4" x14ac:dyDescent="0.2">
      <c r="A15" s="6" t="s">
        <v>18</v>
      </c>
      <c r="B15" s="6">
        <v>1999</v>
      </c>
      <c r="C15" s="6" t="s">
        <v>5</v>
      </c>
      <c r="D15" s="6">
        <v>0</v>
      </c>
    </row>
    <row r="16" spans="1:4" x14ac:dyDescent="0.2">
      <c r="A16" s="6" t="s">
        <v>19</v>
      </c>
      <c r="B16" s="6">
        <v>1999</v>
      </c>
      <c r="C16" s="6" t="s">
        <v>5</v>
      </c>
      <c r="D16" s="6">
        <v>0</v>
      </c>
    </row>
    <row r="17" spans="1:4" x14ac:dyDescent="0.2">
      <c r="A17" s="6" t="s">
        <v>20</v>
      </c>
      <c r="B17" s="6">
        <v>1999</v>
      </c>
      <c r="C17" s="6" t="s">
        <v>5</v>
      </c>
      <c r="D17" s="6">
        <v>18</v>
      </c>
    </row>
    <row r="18" spans="1:4" x14ac:dyDescent="0.2">
      <c r="A18" s="6" t="s">
        <v>21</v>
      </c>
      <c r="B18" s="6">
        <v>1999</v>
      </c>
      <c r="C18" s="6" t="s">
        <v>5</v>
      </c>
      <c r="D18" s="6">
        <v>9.6999999999999993</v>
      </c>
    </row>
    <row r="19" spans="1:4" x14ac:dyDescent="0.2">
      <c r="A19" s="6" t="s">
        <v>22</v>
      </c>
      <c r="B19" s="6">
        <v>1999</v>
      </c>
      <c r="C19" s="6" t="s">
        <v>5</v>
      </c>
      <c r="D19" s="6">
        <v>15.5</v>
      </c>
    </row>
    <row r="20" spans="1:4" x14ac:dyDescent="0.2">
      <c r="A20" s="6" t="s">
        <v>23</v>
      </c>
      <c r="B20" s="6">
        <v>1999</v>
      </c>
      <c r="C20" s="6" t="s">
        <v>5</v>
      </c>
      <c r="D20" s="6">
        <v>50.6</v>
      </c>
    </row>
    <row r="21" spans="1:4" x14ac:dyDescent="0.2">
      <c r="A21" s="6" t="s">
        <v>24</v>
      </c>
      <c r="B21" s="6">
        <v>1999</v>
      </c>
      <c r="C21" s="6" t="s">
        <v>5</v>
      </c>
      <c r="D21" s="6">
        <v>15.7</v>
      </c>
    </row>
    <row r="22" spans="1:4" x14ac:dyDescent="0.2">
      <c r="A22" s="6" t="s">
        <v>25</v>
      </c>
      <c r="B22" s="6">
        <v>1999</v>
      </c>
      <c r="C22" s="6" t="s">
        <v>5</v>
      </c>
      <c r="D22" s="6">
        <v>18.600000000000001</v>
      </c>
    </row>
    <row r="23" spans="1:4" x14ac:dyDescent="0.2">
      <c r="A23" s="6" t="s">
        <v>26</v>
      </c>
      <c r="B23" s="6">
        <v>1999</v>
      </c>
      <c r="C23" s="6" t="s">
        <v>5</v>
      </c>
      <c r="D23" s="6">
        <v>33.299999999999997</v>
      </c>
    </row>
    <row r="24" spans="1:4" x14ac:dyDescent="0.2">
      <c r="A24" s="6" t="s">
        <v>27</v>
      </c>
      <c r="B24" s="6">
        <v>1999</v>
      </c>
      <c r="C24" s="6" t="s">
        <v>5</v>
      </c>
      <c r="D24" s="6">
        <v>62</v>
      </c>
    </row>
    <row r="25" spans="1:4" x14ac:dyDescent="0.2">
      <c r="A25" s="6" t="s">
        <v>28</v>
      </c>
      <c r="B25" s="6">
        <v>1999</v>
      </c>
      <c r="C25" s="6" t="s">
        <v>5</v>
      </c>
      <c r="D25" s="6">
        <v>31.5</v>
      </c>
    </row>
    <row r="26" spans="1:4" x14ac:dyDescent="0.2">
      <c r="A26" s="6" t="s">
        <v>29</v>
      </c>
      <c r="B26" s="6">
        <v>1999</v>
      </c>
      <c r="C26" s="6" t="s">
        <v>5</v>
      </c>
      <c r="D26" s="6">
        <v>26.4</v>
      </c>
    </row>
    <row r="27" spans="1:4" x14ac:dyDescent="0.2">
      <c r="A27" s="6" t="s">
        <v>30</v>
      </c>
      <c r="B27" s="6">
        <v>1999</v>
      </c>
      <c r="C27" s="6" t="s">
        <v>5</v>
      </c>
      <c r="D27" s="6">
        <v>29.4</v>
      </c>
    </row>
    <row r="28" spans="1:4" x14ac:dyDescent="0.2">
      <c r="A28" s="6" t="s">
        <v>31</v>
      </c>
      <c r="B28" s="6">
        <v>1999</v>
      </c>
      <c r="C28" s="6" t="s">
        <v>5</v>
      </c>
      <c r="D28" s="6">
        <v>17.3</v>
      </c>
    </row>
    <row r="29" spans="1:4" x14ac:dyDescent="0.2">
      <c r="A29" s="6" t="s">
        <v>32</v>
      </c>
      <c r="B29" s="6">
        <v>1999</v>
      </c>
      <c r="C29" s="6" t="s">
        <v>5</v>
      </c>
      <c r="D29" s="6">
        <v>25.7</v>
      </c>
    </row>
    <row r="30" spans="1:4" x14ac:dyDescent="0.2">
      <c r="A30" s="6" t="s">
        <v>33</v>
      </c>
      <c r="B30" s="6">
        <v>1999</v>
      </c>
      <c r="C30" s="6" t="s">
        <v>5</v>
      </c>
      <c r="D30" s="6">
        <v>14</v>
      </c>
    </row>
    <row r="31" spans="1:4" x14ac:dyDescent="0.2">
      <c r="A31" s="6" t="s">
        <v>34</v>
      </c>
      <c r="B31" s="6">
        <v>1999</v>
      </c>
      <c r="C31" s="6" t="s">
        <v>5</v>
      </c>
      <c r="D31" s="6">
        <v>8.8000000000000007</v>
      </c>
    </row>
    <row r="32" spans="1:4" x14ac:dyDescent="0.2">
      <c r="A32" s="6" t="s">
        <v>35</v>
      </c>
      <c r="B32" s="6">
        <v>1999</v>
      </c>
      <c r="C32" s="6" t="s">
        <v>5</v>
      </c>
      <c r="D32" s="6">
        <v>19.100000000000001</v>
      </c>
    </row>
    <row r="33" spans="1:4" x14ac:dyDescent="0.2">
      <c r="A33" s="6" t="s">
        <v>36</v>
      </c>
      <c r="B33" s="6">
        <v>1999</v>
      </c>
      <c r="C33" s="6" t="s">
        <v>5</v>
      </c>
      <c r="D33" s="6">
        <v>0</v>
      </c>
    </row>
    <row r="34" spans="1:4" x14ac:dyDescent="0.2">
      <c r="A34" s="6" t="s">
        <v>37</v>
      </c>
      <c r="B34" s="6">
        <v>1999</v>
      </c>
      <c r="C34" s="6" t="s">
        <v>5</v>
      </c>
      <c r="D34" s="6">
        <v>0</v>
      </c>
    </row>
    <row r="35" spans="1:4" x14ac:dyDescent="0.2">
      <c r="A35" s="6" t="s">
        <v>38</v>
      </c>
      <c r="B35" s="6">
        <v>1999</v>
      </c>
      <c r="C35" s="6" t="s">
        <v>5</v>
      </c>
      <c r="D35" s="6">
        <v>0</v>
      </c>
    </row>
    <row r="36" spans="1:4" x14ac:dyDescent="0.2">
      <c r="A36" s="6" t="s">
        <v>39</v>
      </c>
      <c r="B36" s="6">
        <v>1999</v>
      </c>
      <c r="C36" s="6" t="s">
        <v>5</v>
      </c>
      <c r="D36" s="6">
        <v>0</v>
      </c>
    </row>
    <row r="37" spans="1:4" x14ac:dyDescent="0.2">
      <c r="A37" s="6" t="s">
        <v>40</v>
      </c>
      <c r="B37" s="6">
        <v>1999</v>
      </c>
      <c r="C37" s="6" t="s">
        <v>5</v>
      </c>
      <c r="D37" s="6">
        <v>44.9</v>
      </c>
    </row>
    <row r="38" spans="1:4" x14ac:dyDescent="0.2">
      <c r="A38" s="6" t="s">
        <v>41</v>
      </c>
      <c r="B38" s="6">
        <v>1999</v>
      </c>
      <c r="C38" s="6" t="s">
        <v>5</v>
      </c>
      <c r="D38" s="6">
        <v>38.6</v>
      </c>
    </row>
    <row r="39" spans="1:4" x14ac:dyDescent="0.2">
      <c r="A39" s="6" t="s">
        <v>42</v>
      </c>
      <c r="B39" s="6">
        <v>1999</v>
      </c>
      <c r="C39" s="6" t="s">
        <v>5</v>
      </c>
      <c r="D39" s="6">
        <v>40.799999999999997</v>
      </c>
    </row>
    <row r="40" spans="1:4" x14ac:dyDescent="0.2">
      <c r="A40" s="6" t="s">
        <v>4</v>
      </c>
      <c r="B40" s="6">
        <v>2011</v>
      </c>
      <c r="C40" s="6" t="s">
        <v>5</v>
      </c>
      <c r="D40" s="6">
        <v>21.2</v>
      </c>
    </row>
    <row r="41" spans="1:4" x14ac:dyDescent="0.2">
      <c r="A41" s="6" t="s">
        <v>6</v>
      </c>
      <c r="B41" s="6">
        <v>2011</v>
      </c>
      <c r="C41" s="6" t="s">
        <v>5</v>
      </c>
      <c r="D41" s="6">
        <v>0</v>
      </c>
    </row>
    <row r="42" spans="1:4" x14ac:dyDescent="0.2">
      <c r="A42" s="6" t="s">
        <v>7</v>
      </c>
      <c r="B42" s="6">
        <v>2011</v>
      </c>
      <c r="C42" s="6" t="s">
        <v>5</v>
      </c>
      <c r="D42" s="6">
        <v>14</v>
      </c>
    </row>
    <row r="43" spans="1:4" x14ac:dyDescent="0.2">
      <c r="A43" s="6" t="s">
        <v>8</v>
      </c>
      <c r="B43" s="6">
        <v>2011</v>
      </c>
      <c r="C43" s="6" t="s">
        <v>5</v>
      </c>
      <c r="D43" s="6">
        <v>18.2</v>
      </c>
    </row>
    <row r="44" spans="1:4" x14ac:dyDescent="0.2">
      <c r="A44" s="6" t="s">
        <v>9</v>
      </c>
      <c r="B44" s="6">
        <v>2011</v>
      </c>
      <c r="C44" s="6" t="s">
        <v>5</v>
      </c>
      <c r="D44" s="6">
        <v>38.700000000000003</v>
      </c>
    </row>
    <row r="45" spans="1:4" x14ac:dyDescent="0.2">
      <c r="A45" s="6" t="s">
        <v>10</v>
      </c>
      <c r="B45" s="6">
        <v>2011</v>
      </c>
      <c r="C45" s="6" t="s">
        <v>5</v>
      </c>
      <c r="D45" s="6">
        <v>24</v>
      </c>
    </row>
    <row r="46" spans="1:4" x14ac:dyDescent="0.2">
      <c r="A46" s="6" t="s">
        <v>11</v>
      </c>
      <c r="B46" s="6">
        <v>2011</v>
      </c>
      <c r="C46" s="6" t="s">
        <v>5</v>
      </c>
      <c r="D46" s="6">
        <v>14.8</v>
      </c>
    </row>
    <row r="47" spans="1:4" x14ac:dyDescent="0.2">
      <c r="A47" s="6" t="s">
        <v>12</v>
      </c>
      <c r="B47" s="6">
        <v>2011</v>
      </c>
      <c r="C47" s="6" t="s">
        <v>5</v>
      </c>
      <c r="D47" s="6">
        <v>11.2</v>
      </c>
    </row>
    <row r="48" spans="1:4" x14ac:dyDescent="0.2">
      <c r="A48" s="6" t="s">
        <v>13</v>
      </c>
      <c r="B48" s="6">
        <v>2011</v>
      </c>
      <c r="C48" s="6" t="s">
        <v>5</v>
      </c>
      <c r="D48" s="6">
        <v>13.9</v>
      </c>
    </row>
    <row r="49" spans="1:4" x14ac:dyDescent="0.2">
      <c r="A49" s="6" t="s">
        <v>14</v>
      </c>
      <c r="B49" s="6">
        <v>2011</v>
      </c>
      <c r="C49" s="6" t="s">
        <v>5</v>
      </c>
      <c r="D49" s="6">
        <v>9.8000000000000007</v>
      </c>
    </row>
    <row r="50" spans="1:4" x14ac:dyDescent="0.2">
      <c r="A50" s="6" t="s">
        <v>15</v>
      </c>
      <c r="B50" s="6">
        <v>2011</v>
      </c>
      <c r="C50" s="6" t="s">
        <v>5</v>
      </c>
      <c r="D50" s="6">
        <v>20.7</v>
      </c>
    </row>
    <row r="51" spans="1:4" x14ac:dyDescent="0.2">
      <c r="A51" s="6" t="s">
        <v>16</v>
      </c>
      <c r="B51" s="6">
        <v>2011</v>
      </c>
      <c r="C51" s="6" t="s">
        <v>5</v>
      </c>
      <c r="D51" s="6">
        <v>0</v>
      </c>
    </row>
    <row r="52" spans="1:4" x14ac:dyDescent="0.2">
      <c r="A52" s="6" t="s">
        <v>17</v>
      </c>
      <c r="B52" s="6">
        <v>2011</v>
      </c>
      <c r="C52" s="6" t="s">
        <v>5</v>
      </c>
      <c r="D52" s="6">
        <v>27.9</v>
      </c>
    </row>
    <row r="53" spans="1:4" x14ac:dyDescent="0.2">
      <c r="A53" s="6" t="s">
        <v>18</v>
      </c>
      <c r="B53" s="6">
        <v>2011</v>
      </c>
      <c r="C53" s="6" t="s">
        <v>5</v>
      </c>
      <c r="D53" s="6">
        <v>0</v>
      </c>
    </row>
    <row r="54" spans="1:4" x14ac:dyDescent="0.2">
      <c r="A54" s="6" t="s">
        <v>19</v>
      </c>
      <c r="B54" s="6">
        <v>2011</v>
      </c>
      <c r="C54" s="6" t="s">
        <v>5</v>
      </c>
      <c r="D54" s="6">
        <v>0</v>
      </c>
    </row>
    <row r="55" spans="1:4" x14ac:dyDescent="0.2">
      <c r="A55" s="6" t="s">
        <v>20</v>
      </c>
      <c r="B55" s="6">
        <v>2011</v>
      </c>
      <c r="C55" s="6" t="s">
        <v>5</v>
      </c>
      <c r="D55" s="6">
        <v>10.7</v>
      </c>
    </row>
    <row r="56" spans="1:4" x14ac:dyDescent="0.2">
      <c r="A56" s="6" t="s">
        <v>21</v>
      </c>
      <c r="B56" s="6">
        <v>2011</v>
      </c>
      <c r="C56" s="6" t="s">
        <v>5</v>
      </c>
      <c r="D56" s="6">
        <v>0</v>
      </c>
    </row>
    <row r="57" spans="1:4" x14ac:dyDescent="0.2">
      <c r="A57" s="6" t="s">
        <v>22</v>
      </c>
      <c r="B57" s="6">
        <v>2011</v>
      </c>
      <c r="C57" s="6" t="s">
        <v>5</v>
      </c>
      <c r="D57" s="6">
        <v>8.8000000000000007</v>
      </c>
    </row>
    <row r="58" spans="1:4" x14ac:dyDescent="0.2">
      <c r="A58" s="6" t="s">
        <v>23</v>
      </c>
      <c r="B58" s="6">
        <v>2011</v>
      </c>
      <c r="C58" s="6" t="s">
        <v>5</v>
      </c>
      <c r="D58" s="6">
        <v>28.3</v>
      </c>
    </row>
    <row r="59" spans="1:4" x14ac:dyDescent="0.2">
      <c r="A59" s="6" t="s">
        <v>24</v>
      </c>
      <c r="B59" s="6">
        <v>2011</v>
      </c>
      <c r="C59" s="6" t="s">
        <v>5</v>
      </c>
      <c r="D59" s="6">
        <v>12.4</v>
      </c>
    </row>
    <row r="60" spans="1:4" x14ac:dyDescent="0.2">
      <c r="A60" s="6" t="s">
        <v>25</v>
      </c>
      <c r="B60" s="6">
        <v>2011</v>
      </c>
      <c r="C60" s="6" t="s">
        <v>5</v>
      </c>
      <c r="D60" s="6">
        <v>13.8</v>
      </c>
    </row>
    <row r="61" spans="1:4" x14ac:dyDescent="0.2">
      <c r="A61" s="6" t="s">
        <v>26</v>
      </c>
      <c r="B61" s="6">
        <v>2011</v>
      </c>
      <c r="C61" s="6" t="s">
        <v>5</v>
      </c>
      <c r="D61" s="6">
        <v>27.5</v>
      </c>
    </row>
    <row r="62" spans="1:4" x14ac:dyDescent="0.2">
      <c r="A62" s="6" t="s">
        <v>27</v>
      </c>
      <c r="B62" s="6">
        <v>2011</v>
      </c>
      <c r="C62" s="6" t="s">
        <v>5</v>
      </c>
      <c r="D62" s="6">
        <v>40.6</v>
      </c>
    </row>
    <row r="63" spans="1:4" x14ac:dyDescent="0.2">
      <c r="A63" s="6" t="s">
        <v>28</v>
      </c>
      <c r="B63" s="6">
        <v>2011</v>
      </c>
      <c r="C63" s="6" t="s">
        <v>5</v>
      </c>
      <c r="D63" s="6">
        <v>14.2</v>
      </c>
    </row>
    <row r="64" spans="1:4" x14ac:dyDescent="0.2">
      <c r="A64" s="6" t="s">
        <v>29</v>
      </c>
      <c r="B64" s="6">
        <v>2011</v>
      </c>
      <c r="C64" s="6" t="s">
        <v>5</v>
      </c>
      <c r="D64" s="6">
        <v>9.9</v>
      </c>
    </row>
    <row r="65" spans="1:4" x14ac:dyDescent="0.2">
      <c r="A65" s="6" t="s">
        <v>30</v>
      </c>
      <c r="B65" s="6">
        <v>2011</v>
      </c>
      <c r="C65" s="6" t="s">
        <v>5</v>
      </c>
      <c r="D65" s="6">
        <v>18</v>
      </c>
    </row>
    <row r="66" spans="1:4" x14ac:dyDescent="0.2">
      <c r="A66" s="6" t="s">
        <v>31</v>
      </c>
      <c r="B66" s="6">
        <v>2011</v>
      </c>
      <c r="C66" s="6" t="s">
        <v>5</v>
      </c>
      <c r="D66" s="6">
        <v>8.3000000000000007</v>
      </c>
    </row>
    <row r="67" spans="1:4" x14ac:dyDescent="0.2">
      <c r="A67" s="6" t="s">
        <v>32</v>
      </c>
      <c r="B67" s="6">
        <v>2011</v>
      </c>
      <c r="C67" s="6" t="s">
        <v>5</v>
      </c>
      <c r="D67" s="6">
        <v>10.3</v>
      </c>
    </row>
    <row r="68" spans="1:4" x14ac:dyDescent="0.2">
      <c r="A68" s="6" t="s">
        <v>33</v>
      </c>
      <c r="B68" s="6">
        <v>2011</v>
      </c>
      <c r="C68" s="6" t="s">
        <v>5</v>
      </c>
      <c r="D68" s="6">
        <v>10.4</v>
      </c>
    </row>
    <row r="69" spans="1:4" x14ac:dyDescent="0.2">
      <c r="A69" s="6" t="s">
        <v>34</v>
      </c>
      <c r="B69" s="6">
        <v>2011</v>
      </c>
      <c r="C69" s="6" t="s">
        <v>5</v>
      </c>
      <c r="D69" s="6">
        <v>8.1999999999999993</v>
      </c>
    </row>
    <row r="70" spans="1:4" x14ac:dyDescent="0.2">
      <c r="A70" s="6" t="s">
        <v>35</v>
      </c>
      <c r="B70" s="6">
        <v>2011</v>
      </c>
      <c r="C70" s="6" t="s">
        <v>5</v>
      </c>
      <c r="D70" s="6">
        <v>17</v>
      </c>
    </row>
    <row r="71" spans="1:4" x14ac:dyDescent="0.2">
      <c r="A71" s="6" t="s">
        <v>36</v>
      </c>
      <c r="B71" s="6">
        <v>2011</v>
      </c>
      <c r="C71" s="6" t="s">
        <v>5</v>
      </c>
      <c r="D71" s="6">
        <v>0</v>
      </c>
    </row>
    <row r="72" spans="1:4" x14ac:dyDescent="0.2">
      <c r="A72" s="6" t="s">
        <v>37</v>
      </c>
      <c r="B72" s="6">
        <v>2011</v>
      </c>
      <c r="C72" s="6" t="s">
        <v>5</v>
      </c>
      <c r="D72" s="6">
        <v>12.9</v>
      </c>
    </row>
    <row r="73" spans="1:4" x14ac:dyDescent="0.2">
      <c r="A73" s="6" t="s">
        <v>38</v>
      </c>
      <c r="B73" s="6">
        <v>2011</v>
      </c>
      <c r="C73" s="6" t="s">
        <v>5</v>
      </c>
      <c r="D73" s="6">
        <v>11.3</v>
      </c>
    </row>
    <row r="74" spans="1:4" x14ac:dyDescent="0.2">
      <c r="A74" s="6" t="s">
        <v>39</v>
      </c>
      <c r="B74" s="6">
        <v>2011</v>
      </c>
      <c r="C74" s="6" t="s">
        <v>5</v>
      </c>
      <c r="D74" s="6">
        <v>6.5</v>
      </c>
    </row>
    <row r="75" spans="1:4" x14ac:dyDescent="0.2">
      <c r="A75" s="6" t="s">
        <v>40</v>
      </c>
      <c r="B75" s="6">
        <v>2011</v>
      </c>
      <c r="C75" s="6" t="s">
        <v>5</v>
      </c>
      <c r="D75" s="6">
        <v>23.3</v>
      </c>
    </row>
    <row r="76" spans="1:4" x14ac:dyDescent="0.2">
      <c r="A76" s="6" t="s">
        <v>41</v>
      </c>
      <c r="B76" s="6">
        <v>2011</v>
      </c>
      <c r="C76" s="6" t="s">
        <v>5</v>
      </c>
      <c r="D76" s="6">
        <v>33.299999999999997</v>
      </c>
    </row>
    <row r="77" spans="1:4" x14ac:dyDescent="0.2">
      <c r="A77" s="6" t="s">
        <v>42</v>
      </c>
      <c r="B77" s="6">
        <v>2011</v>
      </c>
      <c r="C77" s="6" t="s">
        <v>5</v>
      </c>
      <c r="D77" s="6">
        <v>24.3</v>
      </c>
    </row>
    <row r="78" spans="1:4" x14ac:dyDescent="0.2">
      <c r="A78" s="6" t="s">
        <v>4</v>
      </c>
      <c r="B78" s="6">
        <v>2012</v>
      </c>
      <c r="C78" s="6" t="s">
        <v>5</v>
      </c>
      <c r="D78" s="6">
        <v>19.7</v>
      </c>
    </row>
    <row r="79" spans="1:4" x14ac:dyDescent="0.2">
      <c r="A79" s="6" t="s">
        <v>6</v>
      </c>
      <c r="B79" s="6">
        <v>2012</v>
      </c>
      <c r="C79" s="6" t="s">
        <v>5</v>
      </c>
      <c r="D79" s="6">
        <v>5.9</v>
      </c>
    </row>
    <row r="80" spans="1:4" x14ac:dyDescent="0.2">
      <c r="A80" s="6" t="s">
        <v>7</v>
      </c>
      <c r="B80" s="6">
        <v>2012</v>
      </c>
      <c r="C80" s="6" t="s">
        <v>5</v>
      </c>
      <c r="D80" s="6">
        <v>12</v>
      </c>
    </row>
    <row r="81" spans="1:4" x14ac:dyDescent="0.2">
      <c r="A81" s="6" t="s">
        <v>8</v>
      </c>
      <c r="B81" s="6">
        <v>2012</v>
      </c>
      <c r="C81" s="6" t="s">
        <v>5</v>
      </c>
      <c r="D81" s="6">
        <v>18.600000000000001</v>
      </c>
    </row>
    <row r="82" spans="1:4" x14ac:dyDescent="0.2">
      <c r="A82" s="6" t="s">
        <v>9</v>
      </c>
      <c r="B82" s="6">
        <v>2012</v>
      </c>
      <c r="C82" s="6" t="s">
        <v>5</v>
      </c>
      <c r="D82" s="6">
        <v>34.6</v>
      </c>
    </row>
    <row r="83" spans="1:4" x14ac:dyDescent="0.2">
      <c r="A83" s="6" t="s">
        <v>10</v>
      </c>
      <c r="B83" s="6">
        <v>2012</v>
      </c>
      <c r="C83" s="6" t="s">
        <v>5</v>
      </c>
      <c r="D83" s="6">
        <v>20.9</v>
      </c>
    </row>
    <row r="84" spans="1:4" x14ac:dyDescent="0.2">
      <c r="A84" s="6" t="s">
        <v>11</v>
      </c>
      <c r="B84" s="6">
        <v>2012</v>
      </c>
      <c r="C84" s="6" t="s">
        <v>5</v>
      </c>
      <c r="D84" s="6">
        <v>14.1</v>
      </c>
    </row>
    <row r="85" spans="1:4" x14ac:dyDescent="0.2">
      <c r="A85" s="6" t="s">
        <v>12</v>
      </c>
      <c r="B85" s="6">
        <v>2012</v>
      </c>
      <c r="C85" s="6" t="s">
        <v>5</v>
      </c>
      <c r="D85" s="6">
        <v>9.1999999999999993</v>
      </c>
    </row>
    <row r="86" spans="1:4" x14ac:dyDescent="0.2">
      <c r="A86" s="6" t="s">
        <v>13</v>
      </c>
      <c r="B86" s="6">
        <v>2012</v>
      </c>
      <c r="C86" s="6" t="s">
        <v>5</v>
      </c>
      <c r="D86" s="6">
        <v>12</v>
      </c>
    </row>
    <row r="87" spans="1:4" x14ac:dyDescent="0.2">
      <c r="A87" s="6" t="s">
        <v>14</v>
      </c>
      <c r="B87" s="6">
        <v>2012</v>
      </c>
      <c r="C87" s="6" t="s">
        <v>5</v>
      </c>
      <c r="D87" s="6">
        <v>10.4</v>
      </c>
    </row>
    <row r="88" spans="1:4" x14ac:dyDescent="0.2">
      <c r="A88" s="6" t="s">
        <v>15</v>
      </c>
      <c r="B88" s="6">
        <v>2012</v>
      </c>
      <c r="C88" s="6" t="s">
        <v>5</v>
      </c>
      <c r="D88" s="6">
        <v>20.100000000000001</v>
      </c>
    </row>
    <row r="89" spans="1:4" x14ac:dyDescent="0.2">
      <c r="A89" s="6" t="s">
        <v>16</v>
      </c>
      <c r="B89" s="6">
        <v>2012</v>
      </c>
      <c r="C89" s="6" t="s">
        <v>5</v>
      </c>
      <c r="D89" s="6">
        <v>0</v>
      </c>
    </row>
    <row r="90" spans="1:4" x14ac:dyDescent="0.2">
      <c r="A90" s="6" t="s">
        <v>17</v>
      </c>
      <c r="B90" s="6">
        <v>2012</v>
      </c>
      <c r="C90" s="6" t="s">
        <v>5</v>
      </c>
      <c r="D90" s="6">
        <v>27.2</v>
      </c>
    </row>
    <row r="91" spans="1:4" x14ac:dyDescent="0.2">
      <c r="A91" s="6" t="s">
        <v>18</v>
      </c>
      <c r="B91" s="6">
        <v>2012</v>
      </c>
      <c r="C91" s="6" t="s">
        <v>5</v>
      </c>
      <c r="D91" s="6">
        <v>0</v>
      </c>
    </row>
    <row r="92" spans="1:4" x14ac:dyDescent="0.2">
      <c r="A92" s="6" t="s">
        <v>19</v>
      </c>
      <c r="B92" s="6">
        <v>2012</v>
      </c>
      <c r="C92" s="6" t="s">
        <v>5</v>
      </c>
      <c r="D92" s="6">
        <v>0</v>
      </c>
    </row>
    <row r="93" spans="1:4" x14ac:dyDescent="0.2">
      <c r="A93" s="6" t="s">
        <v>20</v>
      </c>
      <c r="B93" s="6">
        <v>2012</v>
      </c>
      <c r="C93" s="6" t="s">
        <v>5</v>
      </c>
      <c r="D93" s="6">
        <v>14.3</v>
      </c>
    </row>
    <row r="94" spans="1:4" x14ac:dyDescent="0.2">
      <c r="A94" s="6" t="s">
        <v>21</v>
      </c>
      <c r="B94" s="6">
        <v>2012</v>
      </c>
      <c r="C94" s="6" t="s">
        <v>5</v>
      </c>
      <c r="D94" s="6">
        <v>0</v>
      </c>
    </row>
    <row r="95" spans="1:4" x14ac:dyDescent="0.2">
      <c r="A95" s="6" t="s">
        <v>22</v>
      </c>
      <c r="B95" s="6">
        <v>2012</v>
      </c>
      <c r="C95" s="6" t="s">
        <v>5</v>
      </c>
      <c r="D95" s="6">
        <v>6.8</v>
      </c>
    </row>
    <row r="96" spans="1:4" x14ac:dyDescent="0.2">
      <c r="A96" s="6" t="s">
        <v>23</v>
      </c>
      <c r="B96" s="6">
        <v>2012</v>
      </c>
      <c r="C96" s="6" t="s">
        <v>5</v>
      </c>
      <c r="D96" s="6">
        <v>26.9</v>
      </c>
    </row>
    <row r="97" spans="1:4" x14ac:dyDescent="0.2">
      <c r="A97" s="6" t="s">
        <v>24</v>
      </c>
      <c r="B97" s="6">
        <v>2012</v>
      </c>
      <c r="C97" s="6" t="s">
        <v>5</v>
      </c>
      <c r="D97" s="6">
        <v>10.9</v>
      </c>
    </row>
    <row r="98" spans="1:4" x14ac:dyDescent="0.2">
      <c r="A98" s="6" t="s">
        <v>25</v>
      </c>
      <c r="B98" s="6">
        <v>2012</v>
      </c>
      <c r="C98" s="6" t="s">
        <v>5</v>
      </c>
      <c r="D98" s="6">
        <v>13.2</v>
      </c>
    </row>
    <row r="99" spans="1:4" x14ac:dyDescent="0.2">
      <c r="A99" s="6" t="s">
        <v>26</v>
      </c>
      <c r="B99" s="6">
        <v>2012</v>
      </c>
      <c r="C99" s="6" t="s">
        <v>5</v>
      </c>
      <c r="D99" s="6">
        <v>28.4</v>
      </c>
    </row>
    <row r="100" spans="1:4" x14ac:dyDescent="0.2">
      <c r="A100" s="6" t="s">
        <v>27</v>
      </c>
      <c r="B100" s="6">
        <v>2012</v>
      </c>
      <c r="C100" s="6" t="s">
        <v>5</v>
      </c>
      <c r="D100" s="6">
        <v>39.1</v>
      </c>
    </row>
    <row r="101" spans="1:4" x14ac:dyDescent="0.2">
      <c r="A101" s="6" t="s">
        <v>28</v>
      </c>
      <c r="B101" s="6">
        <v>2012</v>
      </c>
      <c r="C101" s="6" t="s">
        <v>5</v>
      </c>
      <c r="D101" s="6">
        <v>9.9</v>
      </c>
    </row>
    <row r="102" spans="1:4" x14ac:dyDescent="0.2">
      <c r="A102" s="6" t="s">
        <v>29</v>
      </c>
      <c r="B102" s="6">
        <v>2012</v>
      </c>
      <c r="C102" s="6" t="s">
        <v>5</v>
      </c>
      <c r="D102" s="6">
        <v>12.4</v>
      </c>
    </row>
    <row r="103" spans="1:4" x14ac:dyDescent="0.2">
      <c r="A103" s="6" t="s">
        <v>30</v>
      </c>
      <c r="B103" s="6">
        <v>2012</v>
      </c>
      <c r="C103" s="6" t="s">
        <v>5</v>
      </c>
      <c r="D103" s="6">
        <v>16.899999999999999</v>
      </c>
    </row>
    <row r="104" spans="1:4" x14ac:dyDescent="0.2">
      <c r="A104" s="6" t="s">
        <v>31</v>
      </c>
      <c r="B104" s="6">
        <v>2012</v>
      </c>
      <c r="C104" s="6" t="s">
        <v>5</v>
      </c>
      <c r="D104" s="6">
        <v>10.7</v>
      </c>
    </row>
    <row r="105" spans="1:4" x14ac:dyDescent="0.2">
      <c r="A105" s="6" t="s">
        <v>32</v>
      </c>
      <c r="B105" s="6">
        <v>2012</v>
      </c>
      <c r="C105" s="6" t="s">
        <v>5</v>
      </c>
      <c r="D105" s="6">
        <v>8.1</v>
      </c>
    </row>
    <row r="106" spans="1:4" x14ac:dyDescent="0.2">
      <c r="A106" s="6" t="s">
        <v>33</v>
      </c>
      <c r="B106" s="6">
        <v>2012</v>
      </c>
      <c r="C106" s="6" t="s">
        <v>5</v>
      </c>
      <c r="D106" s="6">
        <v>8.3000000000000007</v>
      </c>
    </row>
    <row r="107" spans="1:4" x14ac:dyDescent="0.2">
      <c r="A107" s="6" t="s">
        <v>34</v>
      </c>
      <c r="B107" s="6">
        <v>2012</v>
      </c>
      <c r="C107" s="6" t="s">
        <v>5</v>
      </c>
      <c r="D107" s="6">
        <v>8.1999999999999993</v>
      </c>
    </row>
    <row r="108" spans="1:4" x14ac:dyDescent="0.2">
      <c r="A108" s="6" t="s">
        <v>35</v>
      </c>
      <c r="B108" s="6">
        <v>2012</v>
      </c>
      <c r="C108" s="6" t="s">
        <v>5</v>
      </c>
      <c r="D108" s="6">
        <v>16.2</v>
      </c>
    </row>
    <row r="109" spans="1:4" x14ac:dyDescent="0.2">
      <c r="A109" s="6" t="s">
        <v>36</v>
      </c>
      <c r="B109" s="6">
        <v>2012</v>
      </c>
      <c r="C109" s="6" t="s">
        <v>5</v>
      </c>
      <c r="D109" s="6">
        <v>0</v>
      </c>
    </row>
    <row r="110" spans="1:4" x14ac:dyDescent="0.2">
      <c r="A110" s="6" t="s">
        <v>37</v>
      </c>
      <c r="B110" s="6">
        <v>2012</v>
      </c>
      <c r="C110" s="6" t="s">
        <v>5</v>
      </c>
      <c r="D110" s="6">
        <v>11.4</v>
      </c>
    </row>
    <row r="111" spans="1:4" x14ac:dyDescent="0.2">
      <c r="A111" s="6" t="s">
        <v>38</v>
      </c>
      <c r="B111" s="6">
        <v>2012</v>
      </c>
      <c r="C111" s="6" t="s">
        <v>5</v>
      </c>
      <c r="D111" s="6">
        <v>10.7</v>
      </c>
    </row>
    <row r="112" spans="1:4" x14ac:dyDescent="0.2">
      <c r="A112" s="6" t="s">
        <v>39</v>
      </c>
      <c r="B112" s="6">
        <v>2012</v>
      </c>
      <c r="C112" s="6" t="s">
        <v>5</v>
      </c>
      <c r="D112" s="6">
        <v>7.2</v>
      </c>
    </row>
    <row r="113" spans="1:4" x14ac:dyDescent="0.2">
      <c r="A113" s="6" t="s">
        <v>40</v>
      </c>
      <c r="B113" s="6">
        <v>2012</v>
      </c>
      <c r="C113" s="6" t="s">
        <v>5</v>
      </c>
      <c r="D113" s="6">
        <v>21.3</v>
      </c>
    </row>
    <row r="114" spans="1:4" x14ac:dyDescent="0.2">
      <c r="A114" s="6" t="s">
        <v>41</v>
      </c>
      <c r="B114" s="6">
        <v>2012</v>
      </c>
      <c r="C114" s="6" t="s">
        <v>5</v>
      </c>
      <c r="D114" s="6">
        <v>31.8</v>
      </c>
    </row>
    <row r="115" spans="1:4" x14ac:dyDescent="0.2">
      <c r="A115" s="6" t="s">
        <v>42</v>
      </c>
      <c r="B115" s="6">
        <v>2012</v>
      </c>
      <c r="C115" s="6" t="s">
        <v>5</v>
      </c>
      <c r="D115" s="6">
        <v>23.7</v>
      </c>
    </row>
    <row r="116" spans="1:4" x14ac:dyDescent="0.2">
      <c r="A116" s="6" t="s">
        <v>4</v>
      </c>
      <c r="B116" s="6">
        <v>2019</v>
      </c>
      <c r="C116" s="6" t="s">
        <v>5</v>
      </c>
      <c r="D116" s="6">
        <v>16</v>
      </c>
    </row>
    <row r="117" spans="1:4" x14ac:dyDescent="0.2">
      <c r="A117" s="6" t="s">
        <v>6</v>
      </c>
      <c r="B117" s="6">
        <v>2019</v>
      </c>
      <c r="C117" s="6" t="s">
        <v>5</v>
      </c>
      <c r="D117" s="6">
        <v>5.2</v>
      </c>
    </row>
    <row r="118" spans="1:4" x14ac:dyDescent="0.2">
      <c r="A118" s="6" t="s">
        <v>7</v>
      </c>
      <c r="B118" s="6">
        <v>2019</v>
      </c>
      <c r="C118" s="6" t="s">
        <v>5</v>
      </c>
      <c r="D118" s="6">
        <v>12.4</v>
      </c>
    </row>
    <row r="119" spans="1:4" x14ac:dyDescent="0.2">
      <c r="A119" s="6" t="s">
        <v>8</v>
      </c>
      <c r="B119" s="6">
        <v>2019</v>
      </c>
      <c r="C119" s="6" t="s">
        <v>5</v>
      </c>
      <c r="D119" s="6">
        <v>12.9</v>
      </c>
    </row>
    <row r="120" spans="1:4" x14ac:dyDescent="0.2">
      <c r="A120" s="6" t="s">
        <v>9</v>
      </c>
      <c r="B120" s="6">
        <v>2019</v>
      </c>
      <c r="C120" s="6" t="s">
        <v>5</v>
      </c>
      <c r="D120" s="6">
        <v>29.2</v>
      </c>
    </row>
    <row r="121" spans="1:4" x14ac:dyDescent="0.2">
      <c r="A121" s="6" t="s">
        <v>10</v>
      </c>
      <c r="B121" s="6">
        <v>2019</v>
      </c>
      <c r="C121" s="6" t="s">
        <v>5</v>
      </c>
      <c r="D121" s="6">
        <v>13.3</v>
      </c>
    </row>
    <row r="122" spans="1:4" x14ac:dyDescent="0.2">
      <c r="A122" s="6" t="s">
        <v>11</v>
      </c>
      <c r="B122" s="6">
        <v>2019</v>
      </c>
      <c r="C122" s="6" t="s">
        <v>5</v>
      </c>
      <c r="D122" s="6">
        <v>12.8</v>
      </c>
    </row>
    <row r="123" spans="1:4" x14ac:dyDescent="0.2">
      <c r="A123" s="6" t="s">
        <v>12</v>
      </c>
      <c r="B123" s="6">
        <v>2019</v>
      </c>
      <c r="C123" s="6" t="s">
        <v>5</v>
      </c>
      <c r="D123" s="6">
        <v>6.7</v>
      </c>
    </row>
    <row r="124" spans="1:4" x14ac:dyDescent="0.2">
      <c r="A124" s="6" t="s">
        <v>13</v>
      </c>
      <c r="B124" s="6">
        <v>2019</v>
      </c>
      <c r="C124" s="6" t="s">
        <v>5</v>
      </c>
      <c r="D124" s="6">
        <v>9</v>
      </c>
    </row>
    <row r="125" spans="1:4" x14ac:dyDescent="0.2">
      <c r="A125" s="6" t="s">
        <v>14</v>
      </c>
      <c r="B125" s="6">
        <v>2019</v>
      </c>
      <c r="C125" s="6" t="s">
        <v>5</v>
      </c>
      <c r="D125" s="6">
        <v>8.1</v>
      </c>
    </row>
    <row r="126" spans="1:4" x14ac:dyDescent="0.2">
      <c r="A126" s="6" t="s">
        <v>15</v>
      </c>
      <c r="B126" s="6">
        <v>2019</v>
      </c>
      <c r="C126" s="6" t="s">
        <v>5</v>
      </c>
      <c r="D126" s="6">
        <v>14.7</v>
      </c>
    </row>
    <row r="127" spans="1:4" x14ac:dyDescent="0.2">
      <c r="A127" s="6" t="s">
        <v>16</v>
      </c>
      <c r="B127" s="6">
        <v>2019</v>
      </c>
      <c r="C127" s="6" t="s">
        <v>5</v>
      </c>
      <c r="D127" s="6">
        <v>0</v>
      </c>
    </row>
    <row r="128" spans="1:4" x14ac:dyDescent="0.2">
      <c r="A128" s="6" t="s">
        <v>17</v>
      </c>
      <c r="B128" s="6">
        <v>2019</v>
      </c>
      <c r="C128" s="6" t="s">
        <v>5</v>
      </c>
      <c r="D128" s="6">
        <v>23.7</v>
      </c>
    </row>
    <row r="129" spans="1:4" x14ac:dyDescent="0.2">
      <c r="A129" s="6" t="s">
        <v>18</v>
      </c>
      <c r="B129" s="6">
        <v>2019</v>
      </c>
      <c r="C129" s="6" t="s">
        <v>5</v>
      </c>
      <c r="D129" s="6">
        <v>0</v>
      </c>
    </row>
    <row r="130" spans="1:4" x14ac:dyDescent="0.2">
      <c r="A130" s="6" t="s">
        <v>19</v>
      </c>
      <c r="B130" s="6">
        <v>2019</v>
      </c>
      <c r="C130" s="6" t="s">
        <v>5</v>
      </c>
      <c r="D130" s="6">
        <v>0</v>
      </c>
    </row>
    <row r="131" spans="1:4" x14ac:dyDescent="0.2">
      <c r="A131" s="6" t="s">
        <v>20</v>
      </c>
      <c r="B131" s="6">
        <v>2019</v>
      </c>
      <c r="C131" s="6" t="s">
        <v>5</v>
      </c>
      <c r="D131" s="6">
        <v>9.1999999999999993</v>
      </c>
    </row>
    <row r="132" spans="1:4" x14ac:dyDescent="0.2">
      <c r="A132" s="6" t="s">
        <v>21</v>
      </c>
      <c r="B132" s="6">
        <v>2019</v>
      </c>
      <c r="C132" s="6" t="s">
        <v>5</v>
      </c>
      <c r="D132" s="6">
        <v>5.3</v>
      </c>
    </row>
    <row r="133" spans="1:4" x14ac:dyDescent="0.2">
      <c r="A133" s="6" t="s">
        <v>22</v>
      </c>
      <c r="B133" s="6">
        <v>2019</v>
      </c>
      <c r="C133" s="6" t="s">
        <v>5</v>
      </c>
      <c r="D133" s="6">
        <v>7.4</v>
      </c>
    </row>
    <row r="134" spans="1:4" x14ac:dyDescent="0.2">
      <c r="A134" s="6" t="s">
        <v>23</v>
      </c>
      <c r="B134" s="6">
        <v>2019</v>
      </c>
      <c r="C134" s="6" t="s">
        <v>5</v>
      </c>
      <c r="D134" s="6">
        <v>22.8</v>
      </c>
    </row>
    <row r="135" spans="1:4" x14ac:dyDescent="0.2">
      <c r="A135" s="6" t="s">
        <v>24</v>
      </c>
      <c r="B135" s="6">
        <v>2019</v>
      </c>
      <c r="C135" s="6" t="s">
        <v>5</v>
      </c>
      <c r="D135" s="6">
        <v>7.9</v>
      </c>
    </row>
    <row r="136" spans="1:4" x14ac:dyDescent="0.2">
      <c r="A136" s="6" t="s">
        <v>25</v>
      </c>
      <c r="B136" s="6">
        <v>2019</v>
      </c>
      <c r="C136" s="6" t="s">
        <v>5</v>
      </c>
      <c r="D136" s="6">
        <v>8.8000000000000007</v>
      </c>
    </row>
    <row r="137" spans="1:4" x14ac:dyDescent="0.2">
      <c r="A137" s="6" t="s">
        <v>26</v>
      </c>
      <c r="B137" s="6">
        <v>2019</v>
      </c>
      <c r="C137" s="6" t="s">
        <v>5</v>
      </c>
      <c r="D137" s="6">
        <v>23.8</v>
      </c>
    </row>
    <row r="138" spans="1:4" x14ac:dyDescent="0.2">
      <c r="A138" s="6" t="s">
        <v>27</v>
      </c>
      <c r="B138" s="6">
        <v>2019</v>
      </c>
      <c r="C138" s="6" t="s">
        <v>5</v>
      </c>
      <c r="D138" s="6">
        <v>39.799999999999997</v>
      </c>
    </row>
    <row r="139" spans="1:4" x14ac:dyDescent="0.2">
      <c r="A139" s="6" t="s">
        <v>28</v>
      </c>
      <c r="B139" s="6">
        <v>2019</v>
      </c>
      <c r="C139" s="6" t="s">
        <v>5</v>
      </c>
      <c r="D139" s="6">
        <v>11.2</v>
      </c>
    </row>
    <row r="140" spans="1:4" x14ac:dyDescent="0.2">
      <c r="A140" s="6" t="s">
        <v>29</v>
      </c>
      <c r="B140" s="6">
        <v>2019</v>
      </c>
      <c r="C140" s="6" t="s">
        <v>5</v>
      </c>
      <c r="D140" s="6">
        <v>10.199999999999999</v>
      </c>
    </row>
    <row r="141" spans="1:4" x14ac:dyDescent="0.2">
      <c r="A141" s="6" t="s">
        <v>30</v>
      </c>
      <c r="B141" s="6">
        <v>2019</v>
      </c>
      <c r="C141" s="6" t="s">
        <v>5</v>
      </c>
      <c r="D141" s="6">
        <v>18.5</v>
      </c>
    </row>
    <row r="142" spans="1:4" x14ac:dyDescent="0.2">
      <c r="A142" s="6" t="s">
        <v>31</v>
      </c>
      <c r="B142" s="6">
        <v>2019</v>
      </c>
      <c r="C142" s="6" t="s">
        <v>5</v>
      </c>
      <c r="D142" s="6">
        <v>9.4</v>
      </c>
    </row>
    <row r="143" spans="1:4" x14ac:dyDescent="0.2">
      <c r="A143" s="6" t="s">
        <v>32</v>
      </c>
      <c r="B143" s="6">
        <v>2019</v>
      </c>
      <c r="C143" s="6" t="s">
        <v>5</v>
      </c>
      <c r="D143" s="6">
        <v>8.8000000000000007</v>
      </c>
    </row>
    <row r="144" spans="1:4" x14ac:dyDescent="0.2">
      <c r="A144" s="6" t="s">
        <v>33</v>
      </c>
      <c r="B144" s="6">
        <v>2019</v>
      </c>
      <c r="C144" s="6" t="s">
        <v>5</v>
      </c>
      <c r="D144" s="6">
        <v>7.4</v>
      </c>
    </row>
    <row r="145" spans="1:4" x14ac:dyDescent="0.2">
      <c r="A145" s="6" t="s">
        <v>34</v>
      </c>
      <c r="B145" s="6">
        <v>2019</v>
      </c>
      <c r="C145" s="6" t="s">
        <v>5</v>
      </c>
      <c r="D145" s="6">
        <v>6.6</v>
      </c>
    </row>
    <row r="146" spans="1:4" x14ac:dyDescent="0.2">
      <c r="A146" s="6" t="s">
        <v>35</v>
      </c>
      <c r="B146" s="6">
        <v>2019</v>
      </c>
      <c r="C146" s="6" t="s">
        <v>5</v>
      </c>
      <c r="D146" s="6">
        <v>12.6</v>
      </c>
    </row>
    <row r="147" spans="1:4" x14ac:dyDescent="0.2">
      <c r="A147" s="6" t="s">
        <v>36</v>
      </c>
      <c r="B147" s="6">
        <v>2019</v>
      </c>
      <c r="C147" s="6" t="s">
        <v>5</v>
      </c>
      <c r="D147" s="6">
        <v>0</v>
      </c>
    </row>
    <row r="148" spans="1:4" x14ac:dyDescent="0.2">
      <c r="A148" s="6" t="s">
        <v>37</v>
      </c>
      <c r="B148" s="6">
        <v>2019</v>
      </c>
      <c r="C148" s="6" t="s">
        <v>5</v>
      </c>
      <c r="D148" s="6">
        <v>7.9</v>
      </c>
    </row>
    <row r="149" spans="1:4" x14ac:dyDescent="0.2">
      <c r="A149" s="6" t="s">
        <v>38</v>
      </c>
      <c r="B149" s="6">
        <v>2019</v>
      </c>
      <c r="C149" s="6" t="s">
        <v>5</v>
      </c>
      <c r="D149" s="6">
        <v>7.9</v>
      </c>
    </row>
    <row r="150" spans="1:4" x14ac:dyDescent="0.2">
      <c r="A150" s="6" t="s">
        <v>39</v>
      </c>
      <c r="B150" s="6">
        <v>2019</v>
      </c>
      <c r="C150" s="6" t="s">
        <v>5</v>
      </c>
      <c r="D150" s="6">
        <v>6</v>
      </c>
    </row>
    <row r="151" spans="1:4" x14ac:dyDescent="0.2">
      <c r="A151" s="6" t="s">
        <v>40</v>
      </c>
      <c r="B151" s="6">
        <v>2019</v>
      </c>
      <c r="C151" s="6" t="s">
        <v>5</v>
      </c>
      <c r="D151" s="6">
        <v>17.7</v>
      </c>
    </row>
    <row r="152" spans="1:4" x14ac:dyDescent="0.2">
      <c r="A152" s="6" t="s">
        <v>41</v>
      </c>
      <c r="B152" s="6">
        <v>2019</v>
      </c>
      <c r="C152" s="6" t="s">
        <v>5</v>
      </c>
      <c r="D152" s="6">
        <v>26.1</v>
      </c>
    </row>
    <row r="153" spans="1:4" x14ac:dyDescent="0.2">
      <c r="A153" s="6" t="s">
        <v>42</v>
      </c>
      <c r="B153" s="6">
        <v>2019</v>
      </c>
      <c r="C153" s="6" t="s">
        <v>5</v>
      </c>
      <c r="D153" s="6">
        <v>15.7</v>
      </c>
    </row>
    <row r="154" spans="1:4" x14ac:dyDescent="0.2">
      <c r="A154" s="6" t="s">
        <v>4</v>
      </c>
      <c r="B154" s="6">
        <v>1999</v>
      </c>
      <c r="C154" s="6" t="s">
        <v>43</v>
      </c>
      <c r="D154" s="7">
        <v>677</v>
      </c>
    </row>
    <row r="155" spans="1:4" x14ac:dyDescent="0.2">
      <c r="A155" s="6" t="s">
        <v>6</v>
      </c>
      <c r="B155" s="6">
        <v>1999</v>
      </c>
      <c r="C155" s="6" t="s">
        <v>43</v>
      </c>
      <c r="D155" s="7">
        <v>379.4</v>
      </c>
    </row>
    <row r="156" spans="1:4" x14ac:dyDescent="0.2">
      <c r="A156" s="6" t="s">
        <v>7</v>
      </c>
      <c r="B156" s="6">
        <v>1999</v>
      </c>
      <c r="C156" s="6" t="s">
        <v>43</v>
      </c>
      <c r="D156" s="7">
        <v>311.7</v>
      </c>
    </row>
    <row r="157" spans="1:4" x14ac:dyDescent="0.2">
      <c r="A157" s="6" t="s">
        <v>8</v>
      </c>
      <c r="B157" s="6">
        <v>1999</v>
      </c>
      <c r="C157" s="6" t="s">
        <v>43</v>
      </c>
      <c r="D157" s="7">
        <v>290.3</v>
      </c>
    </row>
    <row r="158" spans="1:4" x14ac:dyDescent="0.2">
      <c r="A158" s="6" t="s">
        <v>9</v>
      </c>
      <c r="B158" s="6">
        <v>1999</v>
      </c>
      <c r="C158" s="6" t="s">
        <v>43</v>
      </c>
      <c r="D158" s="7">
        <v>474.8</v>
      </c>
    </row>
    <row r="159" spans="1:4" x14ac:dyDescent="0.2">
      <c r="A159" s="6" t="s">
        <v>10</v>
      </c>
      <c r="B159" s="6">
        <v>1999</v>
      </c>
      <c r="C159" s="6" t="s">
        <v>43</v>
      </c>
      <c r="D159" s="7">
        <v>167.7</v>
      </c>
    </row>
    <row r="160" spans="1:4" x14ac:dyDescent="0.2">
      <c r="A160" s="6" t="s">
        <v>11</v>
      </c>
      <c r="B160" s="6">
        <v>1999</v>
      </c>
      <c r="C160" s="6" t="s">
        <v>43</v>
      </c>
      <c r="D160" s="7">
        <v>146.6</v>
      </c>
    </row>
    <row r="161" spans="1:4" x14ac:dyDescent="0.2">
      <c r="A161" s="6" t="s">
        <v>12</v>
      </c>
      <c r="B161" s="6">
        <v>1999</v>
      </c>
      <c r="C161" s="6" t="s">
        <v>43</v>
      </c>
      <c r="D161" s="7">
        <v>157.5</v>
      </c>
    </row>
    <row r="162" spans="1:4" x14ac:dyDescent="0.2">
      <c r="A162" s="6" t="s">
        <v>13</v>
      </c>
      <c r="B162" s="6">
        <v>1999</v>
      </c>
      <c r="C162" s="6" t="s">
        <v>43</v>
      </c>
      <c r="D162" s="7">
        <v>234.3</v>
      </c>
    </row>
    <row r="163" spans="1:4" x14ac:dyDescent="0.2">
      <c r="A163" s="6" t="s">
        <v>14</v>
      </c>
      <c r="B163" s="6">
        <v>1999</v>
      </c>
      <c r="C163" s="6" t="s">
        <v>43</v>
      </c>
      <c r="D163" s="7">
        <v>184.5</v>
      </c>
    </row>
    <row r="164" spans="1:4" x14ac:dyDescent="0.2">
      <c r="A164" s="6" t="s">
        <v>15</v>
      </c>
      <c r="B164" s="6">
        <v>1999</v>
      </c>
      <c r="C164" s="6" t="s">
        <v>43</v>
      </c>
      <c r="D164" s="7">
        <v>254</v>
      </c>
    </row>
    <row r="165" spans="1:4" x14ac:dyDescent="0.2">
      <c r="A165" s="6" t="s">
        <v>16</v>
      </c>
      <c r="B165" s="6">
        <v>1999</v>
      </c>
      <c r="C165" s="6" t="s">
        <v>43</v>
      </c>
      <c r="D165" s="7">
        <v>205.8</v>
      </c>
    </row>
    <row r="166" spans="1:4" x14ac:dyDescent="0.2">
      <c r="A166" s="6" t="s">
        <v>17</v>
      </c>
      <c r="B166" s="6">
        <v>1999</v>
      </c>
      <c r="C166" s="6" t="s">
        <v>43</v>
      </c>
      <c r="D166" s="7">
        <v>171.9</v>
      </c>
    </row>
    <row r="167" spans="1:4" x14ac:dyDescent="0.2">
      <c r="A167" s="6" t="s">
        <v>18</v>
      </c>
      <c r="B167" s="6">
        <v>1999</v>
      </c>
      <c r="C167" s="6" t="s">
        <v>43</v>
      </c>
      <c r="D167" s="7">
        <v>55.6</v>
      </c>
    </row>
    <row r="168" spans="1:4" x14ac:dyDescent="0.2">
      <c r="A168" s="6" t="s">
        <v>19</v>
      </c>
      <c r="B168" s="6">
        <v>1999</v>
      </c>
      <c r="C168" s="6" t="s">
        <v>43</v>
      </c>
      <c r="D168" s="7">
        <v>127.1</v>
      </c>
    </row>
    <row r="169" spans="1:4" x14ac:dyDescent="0.2">
      <c r="A169" s="6" t="s">
        <v>20</v>
      </c>
      <c r="B169" s="6">
        <v>1999</v>
      </c>
      <c r="C169" s="6" t="s">
        <v>43</v>
      </c>
      <c r="D169" s="7">
        <v>392.2</v>
      </c>
    </row>
    <row r="170" spans="1:4" x14ac:dyDescent="0.2">
      <c r="A170" s="6" t="s">
        <v>21</v>
      </c>
      <c r="B170" s="6">
        <v>1999</v>
      </c>
      <c r="C170" s="6" t="s">
        <v>43</v>
      </c>
      <c r="D170" s="7">
        <v>127.2</v>
      </c>
    </row>
    <row r="171" spans="1:4" x14ac:dyDescent="0.2">
      <c r="A171" s="6" t="s">
        <v>22</v>
      </c>
      <c r="B171" s="6">
        <v>1999</v>
      </c>
      <c r="C171" s="6" t="s">
        <v>43</v>
      </c>
      <c r="D171" s="7">
        <v>143.19999999999999</v>
      </c>
    </row>
    <row r="172" spans="1:4" x14ac:dyDescent="0.2">
      <c r="A172" s="6" t="s">
        <v>23</v>
      </c>
      <c r="B172" s="6">
        <v>1999</v>
      </c>
      <c r="C172" s="6" t="s">
        <v>43</v>
      </c>
      <c r="D172" s="7">
        <v>80.7</v>
      </c>
    </row>
    <row r="173" spans="1:4" x14ac:dyDescent="0.2">
      <c r="A173" s="6" t="s">
        <v>24</v>
      </c>
      <c r="B173" s="6">
        <v>1999</v>
      </c>
      <c r="C173" s="6" t="s">
        <v>43</v>
      </c>
      <c r="D173" s="7">
        <v>220.7</v>
      </c>
    </row>
    <row r="174" spans="1:4" x14ac:dyDescent="0.2">
      <c r="A174" s="6" t="s">
        <v>25</v>
      </c>
      <c r="B174" s="6">
        <v>1999</v>
      </c>
      <c r="C174" s="6" t="s">
        <v>43</v>
      </c>
      <c r="D174" s="7">
        <v>217.2</v>
      </c>
    </row>
    <row r="175" spans="1:4" x14ac:dyDescent="0.2">
      <c r="A175" s="6" t="s">
        <v>26</v>
      </c>
      <c r="B175" s="6">
        <v>1999</v>
      </c>
      <c r="C175" s="6" t="s">
        <v>43</v>
      </c>
      <c r="D175" s="7">
        <v>138.5</v>
      </c>
    </row>
    <row r="176" spans="1:4" x14ac:dyDescent="0.2">
      <c r="A176" s="6" t="s">
        <v>27</v>
      </c>
      <c r="B176" s="6">
        <v>1999</v>
      </c>
      <c r="C176" s="6" t="s">
        <v>43</v>
      </c>
      <c r="D176" s="7">
        <v>242.5</v>
      </c>
    </row>
    <row r="177" spans="1:4" x14ac:dyDescent="0.2">
      <c r="A177" s="6" t="s">
        <v>28</v>
      </c>
      <c r="B177" s="6">
        <v>1999</v>
      </c>
      <c r="C177" s="6" t="s">
        <v>43</v>
      </c>
      <c r="D177" s="7">
        <v>567.79999999999995</v>
      </c>
    </row>
    <row r="178" spans="1:4" x14ac:dyDescent="0.2">
      <c r="A178" s="6" t="s">
        <v>29</v>
      </c>
      <c r="B178" s="6">
        <v>1999</v>
      </c>
      <c r="C178" s="6" t="s">
        <v>43</v>
      </c>
      <c r="D178" s="7">
        <v>430.7</v>
      </c>
    </row>
    <row r="179" spans="1:4" x14ac:dyDescent="0.2">
      <c r="A179" s="6" t="s">
        <v>30</v>
      </c>
      <c r="B179" s="6">
        <v>1999</v>
      </c>
      <c r="C179" s="6" t="s">
        <v>43</v>
      </c>
      <c r="D179" s="7">
        <v>286.5</v>
      </c>
    </row>
    <row r="180" spans="1:4" x14ac:dyDescent="0.2">
      <c r="A180" s="6" t="s">
        <v>31</v>
      </c>
      <c r="B180" s="6">
        <v>1999</v>
      </c>
      <c r="C180" s="6" t="s">
        <v>43</v>
      </c>
      <c r="D180" s="7">
        <v>290.2</v>
      </c>
    </row>
    <row r="181" spans="1:4" x14ac:dyDescent="0.2">
      <c r="A181" s="6" t="s">
        <v>32</v>
      </c>
      <c r="B181" s="6">
        <v>1999</v>
      </c>
      <c r="C181" s="6" t="s">
        <v>43</v>
      </c>
      <c r="D181" s="7">
        <v>469.2</v>
      </c>
    </row>
    <row r="182" spans="1:4" x14ac:dyDescent="0.2">
      <c r="A182" s="6" t="s">
        <v>33</v>
      </c>
      <c r="B182" s="6">
        <v>1999</v>
      </c>
      <c r="C182" s="6" t="s">
        <v>43</v>
      </c>
      <c r="D182" s="7">
        <v>175</v>
      </c>
    </row>
    <row r="183" spans="1:4" x14ac:dyDescent="0.2">
      <c r="A183" s="6" t="s">
        <v>34</v>
      </c>
      <c r="B183" s="6">
        <v>1999</v>
      </c>
      <c r="C183" s="6" t="s">
        <v>43</v>
      </c>
      <c r="D183" s="7">
        <v>46.4</v>
      </c>
    </row>
    <row r="184" spans="1:4" x14ac:dyDescent="0.2">
      <c r="A184" s="6" t="s">
        <v>35</v>
      </c>
      <c r="B184" s="6">
        <v>1999</v>
      </c>
      <c r="C184" s="6" t="s">
        <v>43</v>
      </c>
      <c r="D184" s="7">
        <v>265.10000000000002</v>
      </c>
    </row>
    <row r="185" spans="1:4" x14ac:dyDescent="0.2">
      <c r="A185" s="6" t="s">
        <v>36</v>
      </c>
      <c r="B185" s="6">
        <v>1999</v>
      </c>
      <c r="C185" s="6" t="s">
        <v>43</v>
      </c>
      <c r="D185" s="7">
        <v>119.1</v>
      </c>
    </row>
    <row r="186" spans="1:4" x14ac:dyDescent="0.2">
      <c r="A186" s="6" t="s">
        <v>37</v>
      </c>
      <c r="B186" s="6">
        <v>1999</v>
      </c>
      <c r="C186" s="6" t="s">
        <v>43</v>
      </c>
      <c r="D186" s="7">
        <v>0</v>
      </c>
    </row>
    <row r="187" spans="1:4" x14ac:dyDescent="0.2">
      <c r="A187" s="6" t="s">
        <v>38</v>
      </c>
      <c r="B187" s="6">
        <v>1999</v>
      </c>
      <c r="C187" s="6" t="s">
        <v>43</v>
      </c>
      <c r="D187" s="7">
        <v>0</v>
      </c>
    </row>
    <row r="188" spans="1:4" x14ac:dyDescent="0.2">
      <c r="A188" s="6" t="s">
        <v>39</v>
      </c>
      <c r="B188" s="6">
        <v>1999</v>
      </c>
      <c r="C188" s="6" t="s">
        <v>43</v>
      </c>
      <c r="D188" s="7">
        <v>0</v>
      </c>
    </row>
    <row r="189" spans="1:4" x14ac:dyDescent="0.2">
      <c r="A189" s="6" t="s">
        <v>40</v>
      </c>
      <c r="B189" s="6">
        <v>1999</v>
      </c>
      <c r="C189" s="6" t="s">
        <v>43</v>
      </c>
      <c r="D189" s="7">
        <v>173.5</v>
      </c>
    </row>
    <row r="190" spans="1:4" x14ac:dyDescent="0.2">
      <c r="A190" s="6" t="s">
        <v>41</v>
      </c>
      <c r="B190" s="6">
        <v>1999</v>
      </c>
      <c r="C190" s="6" t="s">
        <v>43</v>
      </c>
      <c r="D190" s="7">
        <v>205.3</v>
      </c>
    </row>
    <row r="191" spans="1:4" x14ac:dyDescent="0.2">
      <c r="A191" s="6" t="s">
        <v>42</v>
      </c>
      <c r="B191" s="6">
        <v>1999</v>
      </c>
      <c r="C191" s="6" t="s">
        <v>43</v>
      </c>
      <c r="D191" s="7">
        <v>209.7</v>
      </c>
    </row>
    <row r="192" spans="1:4" x14ac:dyDescent="0.2">
      <c r="A192" s="6" t="s">
        <v>4</v>
      </c>
      <c r="B192" s="6">
        <v>2011</v>
      </c>
      <c r="C192" s="6" t="s">
        <v>43</v>
      </c>
      <c r="D192" s="7">
        <v>585.6</v>
      </c>
    </row>
    <row r="193" spans="1:4" x14ac:dyDescent="0.2">
      <c r="A193" s="6" t="s">
        <v>6</v>
      </c>
      <c r="B193" s="6">
        <v>2011</v>
      </c>
      <c r="C193" s="6" t="s">
        <v>43</v>
      </c>
      <c r="D193" s="7">
        <v>348.2</v>
      </c>
    </row>
    <row r="194" spans="1:4" x14ac:dyDescent="0.2">
      <c r="A194" s="6" t="s">
        <v>7</v>
      </c>
      <c r="B194" s="6">
        <v>2011</v>
      </c>
      <c r="C194" s="6" t="s">
        <v>43</v>
      </c>
      <c r="D194" s="7">
        <v>306.39999999999998</v>
      </c>
    </row>
    <row r="195" spans="1:4" x14ac:dyDescent="0.2">
      <c r="A195" s="6" t="s">
        <v>8</v>
      </c>
      <c r="B195" s="6">
        <v>2011</v>
      </c>
      <c r="C195" s="6" t="s">
        <v>43</v>
      </c>
      <c r="D195" s="7">
        <v>284.10000000000002</v>
      </c>
    </row>
    <row r="196" spans="1:4" x14ac:dyDescent="0.2">
      <c r="A196" s="6" t="s">
        <v>9</v>
      </c>
      <c r="B196" s="6">
        <v>2011</v>
      </c>
      <c r="C196" s="6" t="s">
        <v>43</v>
      </c>
      <c r="D196" s="7">
        <v>439.9</v>
      </c>
    </row>
    <row r="197" spans="1:4" x14ac:dyDescent="0.2">
      <c r="A197" s="6" t="s">
        <v>10</v>
      </c>
      <c r="B197" s="6">
        <v>2011</v>
      </c>
      <c r="C197" s="6" t="s">
        <v>43</v>
      </c>
      <c r="D197" s="7">
        <v>167.1</v>
      </c>
    </row>
    <row r="198" spans="1:4" x14ac:dyDescent="0.2">
      <c r="A198" s="6" t="s">
        <v>11</v>
      </c>
      <c r="B198" s="6">
        <v>2011</v>
      </c>
      <c r="C198" s="6" t="s">
        <v>43</v>
      </c>
      <c r="D198" s="7">
        <v>158.80000000000001</v>
      </c>
    </row>
    <row r="199" spans="1:4" x14ac:dyDescent="0.2">
      <c r="A199" s="6" t="s">
        <v>12</v>
      </c>
      <c r="B199" s="6">
        <v>2011</v>
      </c>
      <c r="C199" s="6" t="s">
        <v>43</v>
      </c>
      <c r="D199" s="7">
        <v>150.69999999999999</v>
      </c>
    </row>
    <row r="200" spans="1:4" x14ac:dyDescent="0.2">
      <c r="A200" s="6" t="s">
        <v>13</v>
      </c>
      <c r="B200" s="6">
        <v>2011</v>
      </c>
      <c r="C200" s="6" t="s">
        <v>43</v>
      </c>
      <c r="D200" s="7">
        <v>225.4</v>
      </c>
    </row>
    <row r="201" spans="1:4" x14ac:dyDescent="0.2">
      <c r="A201" s="6" t="s">
        <v>14</v>
      </c>
      <c r="B201" s="6">
        <v>2011</v>
      </c>
      <c r="C201" s="6" t="s">
        <v>43</v>
      </c>
      <c r="D201" s="7">
        <v>170.8</v>
      </c>
    </row>
    <row r="202" spans="1:4" x14ac:dyDescent="0.2">
      <c r="A202" s="6" t="s">
        <v>15</v>
      </c>
      <c r="B202" s="6">
        <v>2011</v>
      </c>
      <c r="C202" s="6" t="s">
        <v>43</v>
      </c>
      <c r="D202" s="7">
        <v>246.8</v>
      </c>
    </row>
    <row r="203" spans="1:4" x14ac:dyDescent="0.2">
      <c r="A203" s="6" t="s">
        <v>16</v>
      </c>
      <c r="B203" s="6">
        <v>2011</v>
      </c>
      <c r="C203" s="6" t="s">
        <v>43</v>
      </c>
      <c r="D203" s="7">
        <v>146.19999999999999</v>
      </c>
    </row>
    <row r="204" spans="1:4" x14ac:dyDescent="0.2">
      <c r="A204" s="6" t="s">
        <v>17</v>
      </c>
      <c r="B204" s="6">
        <v>2011</v>
      </c>
      <c r="C204" s="6" t="s">
        <v>43</v>
      </c>
      <c r="D204" s="7">
        <v>181.6</v>
      </c>
    </row>
    <row r="205" spans="1:4" x14ac:dyDescent="0.2">
      <c r="A205" s="6" t="s">
        <v>18</v>
      </c>
      <c r="B205" s="6">
        <v>2011</v>
      </c>
      <c r="C205" s="6" t="s">
        <v>43</v>
      </c>
      <c r="D205" s="7">
        <v>45.4</v>
      </c>
    </row>
    <row r="206" spans="1:4" x14ac:dyDescent="0.2">
      <c r="A206" s="6" t="s">
        <v>19</v>
      </c>
      <c r="B206" s="6">
        <v>2011</v>
      </c>
      <c r="C206" s="6" t="s">
        <v>43</v>
      </c>
      <c r="D206" s="7">
        <v>106.9</v>
      </c>
    </row>
    <row r="207" spans="1:4" x14ac:dyDescent="0.2">
      <c r="A207" s="6" t="s">
        <v>20</v>
      </c>
      <c r="B207" s="6">
        <v>2011</v>
      </c>
      <c r="C207" s="6" t="s">
        <v>43</v>
      </c>
      <c r="D207" s="7">
        <v>307.10000000000002</v>
      </c>
    </row>
    <row r="208" spans="1:4" x14ac:dyDescent="0.2">
      <c r="A208" s="6" t="s">
        <v>21</v>
      </c>
      <c r="B208" s="6">
        <v>2011</v>
      </c>
      <c r="C208" s="6" t="s">
        <v>43</v>
      </c>
      <c r="D208" s="7">
        <v>117.6</v>
      </c>
    </row>
    <row r="209" spans="1:4" x14ac:dyDescent="0.2">
      <c r="A209" s="6" t="s">
        <v>22</v>
      </c>
      <c r="B209" s="6">
        <v>2011</v>
      </c>
      <c r="C209" s="6" t="s">
        <v>43</v>
      </c>
      <c r="D209" s="7">
        <v>130.80000000000001</v>
      </c>
    </row>
    <row r="210" spans="1:4" x14ac:dyDescent="0.2">
      <c r="A210" s="6" t="s">
        <v>23</v>
      </c>
      <c r="B210" s="6">
        <v>2011</v>
      </c>
      <c r="C210" s="6" t="s">
        <v>43</v>
      </c>
      <c r="D210" s="7">
        <v>104.9</v>
      </c>
    </row>
    <row r="211" spans="1:4" x14ac:dyDescent="0.2">
      <c r="A211" s="6" t="s">
        <v>24</v>
      </c>
      <c r="B211" s="6">
        <v>2011</v>
      </c>
      <c r="C211" s="6" t="s">
        <v>43</v>
      </c>
      <c r="D211" s="7">
        <v>189.1</v>
      </c>
    </row>
    <row r="212" spans="1:4" x14ac:dyDescent="0.2">
      <c r="A212" s="6" t="s">
        <v>25</v>
      </c>
      <c r="B212" s="6">
        <v>2011</v>
      </c>
      <c r="C212" s="6" t="s">
        <v>43</v>
      </c>
      <c r="D212" s="7">
        <v>174.5</v>
      </c>
    </row>
    <row r="213" spans="1:4" x14ac:dyDescent="0.2">
      <c r="A213" s="6" t="s">
        <v>26</v>
      </c>
      <c r="B213" s="6">
        <v>2011</v>
      </c>
      <c r="C213" s="6" t="s">
        <v>43</v>
      </c>
      <c r="D213" s="7">
        <v>141.1</v>
      </c>
    </row>
    <row r="214" spans="1:4" x14ac:dyDescent="0.2">
      <c r="A214" s="6" t="s">
        <v>27</v>
      </c>
      <c r="B214" s="6">
        <v>2011</v>
      </c>
      <c r="C214" s="6" t="s">
        <v>43</v>
      </c>
      <c r="D214" s="7">
        <v>243.2</v>
      </c>
    </row>
    <row r="215" spans="1:4" x14ac:dyDescent="0.2">
      <c r="A215" s="6" t="s">
        <v>28</v>
      </c>
      <c r="B215" s="6">
        <v>2011</v>
      </c>
      <c r="C215" s="6" t="s">
        <v>43</v>
      </c>
      <c r="D215" s="7">
        <v>469.3</v>
      </c>
    </row>
    <row r="216" spans="1:4" x14ac:dyDescent="0.2">
      <c r="A216" s="6" t="s">
        <v>29</v>
      </c>
      <c r="B216" s="6">
        <v>2011</v>
      </c>
      <c r="C216" s="6" t="s">
        <v>43</v>
      </c>
      <c r="D216" s="7">
        <v>359.7</v>
      </c>
    </row>
    <row r="217" spans="1:4" x14ac:dyDescent="0.2">
      <c r="A217" s="6" t="s">
        <v>30</v>
      </c>
      <c r="B217" s="6">
        <v>2011</v>
      </c>
      <c r="C217" s="6" t="s">
        <v>43</v>
      </c>
      <c r="D217" s="7">
        <v>258.2</v>
      </c>
    </row>
    <row r="218" spans="1:4" x14ac:dyDescent="0.2">
      <c r="A218" s="6" t="s">
        <v>31</v>
      </c>
      <c r="B218" s="6">
        <v>2011</v>
      </c>
      <c r="C218" s="6" t="s">
        <v>43</v>
      </c>
      <c r="D218" s="7">
        <v>247.7</v>
      </c>
    </row>
    <row r="219" spans="1:4" x14ac:dyDescent="0.2">
      <c r="A219" s="6" t="s">
        <v>32</v>
      </c>
      <c r="B219" s="6">
        <v>2011</v>
      </c>
      <c r="C219" s="6" t="s">
        <v>43</v>
      </c>
      <c r="D219" s="7">
        <v>432.9</v>
      </c>
    </row>
    <row r="220" spans="1:4" x14ac:dyDescent="0.2">
      <c r="A220" s="6" t="s">
        <v>33</v>
      </c>
      <c r="B220" s="6">
        <v>2011</v>
      </c>
      <c r="C220" s="6" t="s">
        <v>43</v>
      </c>
      <c r="D220" s="7">
        <v>142.5</v>
      </c>
    </row>
    <row r="221" spans="1:4" x14ac:dyDescent="0.2">
      <c r="A221" s="6" t="s">
        <v>34</v>
      </c>
      <c r="B221" s="6">
        <v>2011</v>
      </c>
      <c r="C221" s="6" t="s">
        <v>43</v>
      </c>
      <c r="D221" s="7">
        <v>46.4</v>
      </c>
    </row>
    <row r="222" spans="1:4" x14ac:dyDescent="0.2">
      <c r="A222" s="6" t="s">
        <v>35</v>
      </c>
      <c r="B222" s="6">
        <v>2011</v>
      </c>
      <c r="C222" s="6" t="s">
        <v>43</v>
      </c>
      <c r="D222" s="7">
        <v>214.8</v>
      </c>
    </row>
    <row r="223" spans="1:4" x14ac:dyDescent="0.2">
      <c r="A223" s="6" t="s">
        <v>36</v>
      </c>
      <c r="B223" s="6">
        <v>2011</v>
      </c>
      <c r="C223" s="6" t="s">
        <v>43</v>
      </c>
      <c r="D223" s="7">
        <v>100.9</v>
      </c>
    </row>
    <row r="224" spans="1:4" x14ac:dyDescent="0.2">
      <c r="A224" s="6" t="s">
        <v>37</v>
      </c>
      <c r="B224" s="6">
        <v>2011</v>
      </c>
      <c r="C224" s="6" t="s">
        <v>43</v>
      </c>
      <c r="D224" s="7">
        <v>156.30000000000001</v>
      </c>
    </row>
    <row r="225" spans="1:4" x14ac:dyDescent="0.2">
      <c r="A225" s="6" t="s">
        <v>38</v>
      </c>
      <c r="B225" s="6">
        <v>2011</v>
      </c>
      <c r="C225" s="6" t="s">
        <v>43</v>
      </c>
      <c r="D225" s="7">
        <v>171.9</v>
      </c>
    </row>
    <row r="226" spans="1:4" x14ac:dyDescent="0.2">
      <c r="A226" s="6" t="s">
        <v>39</v>
      </c>
      <c r="B226" s="6">
        <v>2011</v>
      </c>
      <c r="C226" s="6" t="s">
        <v>43</v>
      </c>
      <c r="D226" s="7">
        <v>68.7</v>
      </c>
    </row>
    <row r="227" spans="1:4" x14ac:dyDescent="0.2">
      <c r="A227" s="6" t="s">
        <v>40</v>
      </c>
      <c r="B227" s="6">
        <v>2011</v>
      </c>
      <c r="C227" s="6" t="s">
        <v>43</v>
      </c>
      <c r="D227" s="7">
        <v>199.9</v>
      </c>
    </row>
    <row r="228" spans="1:4" x14ac:dyDescent="0.2">
      <c r="A228" s="6" t="s">
        <v>41</v>
      </c>
      <c r="B228" s="6">
        <v>2011</v>
      </c>
      <c r="C228" s="6" t="s">
        <v>43</v>
      </c>
      <c r="D228" s="7">
        <v>199.4</v>
      </c>
    </row>
    <row r="229" spans="1:4" x14ac:dyDescent="0.2">
      <c r="A229" s="6" t="s">
        <v>42</v>
      </c>
      <c r="B229" s="6">
        <v>2011</v>
      </c>
      <c r="C229" s="6" t="s">
        <v>43</v>
      </c>
      <c r="D229" s="7">
        <v>245.3</v>
      </c>
    </row>
    <row r="230" spans="1:4" x14ac:dyDescent="0.2">
      <c r="A230" s="6" t="s">
        <v>4</v>
      </c>
      <c r="B230" s="6">
        <v>2012</v>
      </c>
      <c r="C230" s="6" t="s">
        <v>43</v>
      </c>
      <c r="D230" s="7">
        <v>595.6</v>
      </c>
    </row>
    <row r="231" spans="1:4" x14ac:dyDescent="0.2">
      <c r="A231" s="6" t="s">
        <v>6</v>
      </c>
      <c r="B231" s="6">
        <v>2012</v>
      </c>
      <c r="C231" s="6" t="s">
        <v>43</v>
      </c>
      <c r="D231" s="7">
        <v>353.1</v>
      </c>
    </row>
    <row r="232" spans="1:4" x14ac:dyDescent="0.2">
      <c r="A232" s="6" t="s">
        <v>7</v>
      </c>
      <c r="B232" s="6">
        <v>2012</v>
      </c>
      <c r="C232" s="6" t="s">
        <v>43</v>
      </c>
      <c r="D232" s="7">
        <v>315.2</v>
      </c>
    </row>
    <row r="233" spans="1:4" x14ac:dyDescent="0.2">
      <c r="A233" s="6" t="s">
        <v>8</v>
      </c>
      <c r="B233" s="6">
        <v>2012</v>
      </c>
      <c r="C233" s="6" t="s">
        <v>43</v>
      </c>
      <c r="D233" s="7">
        <v>288.39999999999998</v>
      </c>
    </row>
    <row r="234" spans="1:4" x14ac:dyDescent="0.2">
      <c r="A234" s="6" t="s">
        <v>9</v>
      </c>
      <c r="B234" s="6">
        <v>2012</v>
      </c>
      <c r="C234" s="6" t="s">
        <v>43</v>
      </c>
      <c r="D234" s="7">
        <v>450.8</v>
      </c>
    </row>
    <row r="235" spans="1:4" x14ac:dyDescent="0.2">
      <c r="A235" s="6" t="s">
        <v>10</v>
      </c>
      <c r="B235" s="6">
        <v>2012</v>
      </c>
      <c r="C235" s="6" t="s">
        <v>43</v>
      </c>
      <c r="D235" s="7">
        <v>163.1</v>
      </c>
    </row>
    <row r="236" spans="1:4" x14ac:dyDescent="0.2">
      <c r="A236" s="6" t="s">
        <v>11</v>
      </c>
      <c r="B236" s="6">
        <v>2012</v>
      </c>
      <c r="C236" s="6" t="s">
        <v>43</v>
      </c>
      <c r="D236" s="7">
        <v>155</v>
      </c>
    </row>
    <row r="237" spans="1:4" x14ac:dyDescent="0.2">
      <c r="A237" s="6" t="s">
        <v>12</v>
      </c>
      <c r="B237" s="6">
        <v>2012</v>
      </c>
      <c r="C237" s="6" t="s">
        <v>43</v>
      </c>
      <c r="D237" s="7">
        <v>152.5</v>
      </c>
    </row>
    <row r="238" spans="1:4" x14ac:dyDescent="0.2">
      <c r="A238" s="6" t="s">
        <v>13</v>
      </c>
      <c r="B238" s="6">
        <v>2012</v>
      </c>
      <c r="C238" s="6" t="s">
        <v>43</v>
      </c>
      <c r="D238" s="7">
        <v>222.9</v>
      </c>
    </row>
    <row r="239" spans="1:4" x14ac:dyDescent="0.2">
      <c r="A239" s="6" t="s">
        <v>14</v>
      </c>
      <c r="B239" s="6">
        <v>2012</v>
      </c>
      <c r="C239" s="6" t="s">
        <v>43</v>
      </c>
      <c r="D239" s="7">
        <v>175.8</v>
      </c>
    </row>
    <row r="240" spans="1:4" x14ac:dyDescent="0.2">
      <c r="A240" s="6" t="s">
        <v>15</v>
      </c>
      <c r="B240" s="6">
        <v>2012</v>
      </c>
      <c r="C240" s="6" t="s">
        <v>43</v>
      </c>
      <c r="D240" s="7">
        <v>250.3</v>
      </c>
    </row>
    <row r="241" spans="1:4" x14ac:dyDescent="0.2">
      <c r="A241" s="6" t="s">
        <v>16</v>
      </c>
      <c r="B241" s="6">
        <v>2012</v>
      </c>
      <c r="C241" s="6" t="s">
        <v>43</v>
      </c>
      <c r="D241" s="7">
        <v>144.19999999999999</v>
      </c>
    </row>
    <row r="242" spans="1:4" x14ac:dyDescent="0.2">
      <c r="A242" s="6" t="s">
        <v>17</v>
      </c>
      <c r="B242" s="6">
        <v>2012</v>
      </c>
      <c r="C242" s="6" t="s">
        <v>43</v>
      </c>
      <c r="D242" s="7">
        <v>179.5</v>
      </c>
    </row>
    <row r="243" spans="1:4" x14ac:dyDescent="0.2">
      <c r="A243" s="6" t="s">
        <v>18</v>
      </c>
      <c r="B243" s="6">
        <v>2012</v>
      </c>
      <c r="C243" s="6" t="s">
        <v>43</v>
      </c>
      <c r="D243" s="7">
        <v>44.1</v>
      </c>
    </row>
    <row r="244" spans="1:4" x14ac:dyDescent="0.2">
      <c r="A244" s="6" t="s">
        <v>19</v>
      </c>
      <c r="B244" s="6">
        <v>2012</v>
      </c>
      <c r="C244" s="6" t="s">
        <v>43</v>
      </c>
      <c r="D244" s="7">
        <v>96.4</v>
      </c>
    </row>
    <row r="245" spans="1:4" x14ac:dyDescent="0.2">
      <c r="A245" s="6" t="s">
        <v>20</v>
      </c>
      <c r="B245" s="6">
        <v>2012</v>
      </c>
      <c r="C245" s="6" t="s">
        <v>43</v>
      </c>
      <c r="D245" s="7">
        <v>331.2</v>
      </c>
    </row>
    <row r="246" spans="1:4" x14ac:dyDescent="0.2">
      <c r="A246" s="6" t="s">
        <v>21</v>
      </c>
      <c r="B246" s="6">
        <v>2012</v>
      </c>
      <c r="C246" s="6" t="s">
        <v>43</v>
      </c>
      <c r="D246" s="7">
        <v>120.8</v>
      </c>
    </row>
    <row r="247" spans="1:4" x14ac:dyDescent="0.2">
      <c r="A247" s="6" t="s">
        <v>22</v>
      </c>
      <c r="B247" s="6">
        <v>2012</v>
      </c>
      <c r="C247" s="6" t="s">
        <v>43</v>
      </c>
      <c r="D247" s="7">
        <v>132.1</v>
      </c>
    </row>
    <row r="248" spans="1:4" x14ac:dyDescent="0.2">
      <c r="A248" s="6" t="s">
        <v>23</v>
      </c>
      <c r="B248" s="6">
        <v>2012</v>
      </c>
      <c r="C248" s="6" t="s">
        <v>43</v>
      </c>
      <c r="D248" s="7">
        <v>104.3</v>
      </c>
    </row>
    <row r="249" spans="1:4" x14ac:dyDescent="0.2">
      <c r="A249" s="6" t="s">
        <v>24</v>
      </c>
      <c r="B249" s="6">
        <v>2012</v>
      </c>
      <c r="C249" s="6" t="s">
        <v>43</v>
      </c>
      <c r="D249" s="7">
        <v>187.6</v>
      </c>
    </row>
    <row r="250" spans="1:4" x14ac:dyDescent="0.2">
      <c r="A250" s="6" t="s">
        <v>25</v>
      </c>
      <c r="B250" s="6">
        <v>2012</v>
      </c>
      <c r="C250" s="6" t="s">
        <v>43</v>
      </c>
      <c r="D250" s="7">
        <v>178.8</v>
      </c>
    </row>
    <row r="251" spans="1:4" x14ac:dyDescent="0.2">
      <c r="A251" s="6" t="s">
        <v>26</v>
      </c>
      <c r="B251" s="6">
        <v>2012</v>
      </c>
      <c r="C251" s="6" t="s">
        <v>43</v>
      </c>
      <c r="D251" s="7">
        <v>131.19999999999999</v>
      </c>
    </row>
    <row r="252" spans="1:4" x14ac:dyDescent="0.2">
      <c r="A252" s="6" t="s">
        <v>27</v>
      </c>
      <c r="B252" s="6">
        <v>2012</v>
      </c>
      <c r="C252" s="6" t="s">
        <v>43</v>
      </c>
      <c r="D252" s="7">
        <v>243.6</v>
      </c>
    </row>
    <row r="253" spans="1:4" x14ac:dyDescent="0.2">
      <c r="A253" s="6" t="s">
        <v>28</v>
      </c>
      <c r="B253" s="6">
        <v>2012</v>
      </c>
      <c r="C253" s="6" t="s">
        <v>43</v>
      </c>
      <c r="D253" s="7">
        <v>467.4</v>
      </c>
    </row>
    <row r="254" spans="1:4" x14ac:dyDescent="0.2">
      <c r="A254" s="6" t="s">
        <v>29</v>
      </c>
      <c r="B254" s="6">
        <v>2012</v>
      </c>
      <c r="C254" s="6" t="s">
        <v>43</v>
      </c>
      <c r="D254" s="7">
        <v>366.3</v>
      </c>
    </row>
    <row r="255" spans="1:4" x14ac:dyDescent="0.2">
      <c r="A255" s="6" t="s">
        <v>30</v>
      </c>
      <c r="B255" s="6">
        <v>2012</v>
      </c>
      <c r="C255" s="6" t="s">
        <v>43</v>
      </c>
      <c r="D255" s="7">
        <v>247.3</v>
      </c>
    </row>
    <row r="256" spans="1:4" x14ac:dyDescent="0.2">
      <c r="A256" s="6" t="s">
        <v>31</v>
      </c>
      <c r="B256" s="6">
        <v>2012</v>
      </c>
      <c r="C256" s="6" t="s">
        <v>43</v>
      </c>
      <c r="D256" s="7">
        <v>254.2</v>
      </c>
    </row>
    <row r="257" spans="1:4" x14ac:dyDescent="0.2">
      <c r="A257" s="6" t="s">
        <v>32</v>
      </c>
      <c r="B257" s="6">
        <v>2012</v>
      </c>
      <c r="C257" s="6" t="s">
        <v>43</v>
      </c>
      <c r="D257" s="7">
        <v>418.8</v>
      </c>
    </row>
    <row r="258" spans="1:4" x14ac:dyDescent="0.2">
      <c r="A258" s="6" t="s">
        <v>33</v>
      </c>
      <c r="B258" s="6">
        <v>2012</v>
      </c>
      <c r="C258" s="6" t="s">
        <v>43</v>
      </c>
      <c r="D258" s="7">
        <v>145.4</v>
      </c>
    </row>
    <row r="259" spans="1:4" x14ac:dyDescent="0.2">
      <c r="A259" s="6" t="s">
        <v>34</v>
      </c>
      <c r="B259" s="6">
        <v>2012</v>
      </c>
      <c r="C259" s="6" t="s">
        <v>43</v>
      </c>
      <c r="D259" s="7">
        <v>46.4</v>
      </c>
    </row>
    <row r="260" spans="1:4" x14ac:dyDescent="0.2">
      <c r="A260" s="6" t="s">
        <v>35</v>
      </c>
      <c r="B260" s="6">
        <v>2012</v>
      </c>
      <c r="C260" s="6" t="s">
        <v>43</v>
      </c>
      <c r="D260" s="7">
        <v>222.9</v>
      </c>
    </row>
    <row r="261" spans="1:4" x14ac:dyDescent="0.2">
      <c r="A261" s="6" t="s">
        <v>36</v>
      </c>
      <c r="B261" s="6">
        <v>2012</v>
      </c>
      <c r="C261" s="6" t="s">
        <v>43</v>
      </c>
      <c r="D261" s="7">
        <v>108.3</v>
      </c>
    </row>
    <row r="262" spans="1:4" x14ac:dyDescent="0.2">
      <c r="A262" s="6" t="s">
        <v>37</v>
      </c>
      <c r="B262" s="6">
        <v>2012</v>
      </c>
      <c r="C262" s="6" t="s">
        <v>43</v>
      </c>
      <c r="D262" s="7">
        <v>151.4</v>
      </c>
    </row>
    <row r="263" spans="1:4" x14ac:dyDescent="0.2">
      <c r="A263" s="6" t="s">
        <v>38</v>
      </c>
      <c r="B263" s="6">
        <v>2012</v>
      </c>
      <c r="C263" s="6" t="s">
        <v>43</v>
      </c>
      <c r="D263" s="7">
        <v>169.3</v>
      </c>
    </row>
    <row r="264" spans="1:4" x14ac:dyDescent="0.2">
      <c r="A264" s="6" t="s">
        <v>39</v>
      </c>
      <c r="B264" s="6">
        <v>2012</v>
      </c>
      <c r="C264" s="6" t="s">
        <v>43</v>
      </c>
      <c r="D264" s="7">
        <v>66</v>
      </c>
    </row>
    <row r="265" spans="1:4" x14ac:dyDescent="0.2">
      <c r="A265" s="6" t="s">
        <v>40</v>
      </c>
      <c r="B265" s="6">
        <v>2012</v>
      </c>
      <c r="C265" s="6" t="s">
        <v>43</v>
      </c>
      <c r="D265" s="7">
        <v>188.5</v>
      </c>
    </row>
    <row r="266" spans="1:4" x14ac:dyDescent="0.2">
      <c r="A266" s="6" t="s">
        <v>41</v>
      </c>
      <c r="B266" s="6">
        <v>2012</v>
      </c>
      <c r="C266" s="6" t="s">
        <v>43</v>
      </c>
      <c r="D266" s="7">
        <v>194.2</v>
      </c>
    </row>
    <row r="267" spans="1:4" x14ac:dyDescent="0.2">
      <c r="A267" s="6" t="s">
        <v>42</v>
      </c>
      <c r="B267" s="6">
        <v>2012</v>
      </c>
      <c r="C267" s="6" t="s">
        <v>43</v>
      </c>
      <c r="D267" s="7">
        <v>248.2</v>
      </c>
    </row>
    <row r="268" spans="1:4" x14ac:dyDescent="0.2">
      <c r="A268" s="6" t="s">
        <v>4</v>
      </c>
      <c r="B268" s="6">
        <v>2019</v>
      </c>
      <c r="C268" s="6" t="s">
        <v>43</v>
      </c>
      <c r="D268" s="7">
        <v>670.1</v>
      </c>
    </row>
    <row r="269" spans="1:4" x14ac:dyDescent="0.2">
      <c r="A269" s="6" t="s">
        <v>6</v>
      </c>
      <c r="B269" s="6">
        <v>2019</v>
      </c>
      <c r="C269" s="6" t="s">
        <v>43</v>
      </c>
      <c r="D269" s="7">
        <v>371.9</v>
      </c>
    </row>
    <row r="270" spans="1:4" x14ac:dyDescent="0.2">
      <c r="A270" s="6" t="s">
        <v>7</v>
      </c>
      <c r="B270" s="6">
        <v>2019</v>
      </c>
      <c r="C270" s="6" t="s">
        <v>43</v>
      </c>
      <c r="D270" s="7">
        <v>331.5</v>
      </c>
    </row>
    <row r="271" spans="1:4" x14ac:dyDescent="0.2">
      <c r="A271" s="6" t="s">
        <v>8</v>
      </c>
      <c r="B271" s="6">
        <v>2019</v>
      </c>
      <c r="C271" s="6" t="s">
        <v>43</v>
      </c>
      <c r="D271" s="7">
        <v>308.60000000000002</v>
      </c>
    </row>
    <row r="272" spans="1:4" x14ac:dyDescent="0.2">
      <c r="A272" s="6" t="s">
        <v>9</v>
      </c>
      <c r="B272" s="6">
        <v>2019</v>
      </c>
      <c r="C272" s="6" t="s">
        <v>43</v>
      </c>
      <c r="D272" s="7">
        <v>516</v>
      </c>
    </row>
    <row r="273" spans="1:4" x14ac:dyDescent="0.2">
      <c r="A273" s="6" t="s">
        <v>10</v>
      </c>
      <c r="B273" s="6">
        <v>2019</v>
      </c>
      <c r="C273" s="6" t="s">
        <v>43</v>
      </c>
      <c r="D273" s="7">
        <v>179.1</v>
      </c>
    </row>
    <row r="274" spans="1:4" x14ac:dyDescent="0.2">
      <c r="A274" s="6" t="s">
        <v>11</v>
      </c>
      <c r="B274" s="6">
        <v>2019</v>
      </c>
      <c r="C274" s="6" t="s">
        <v>43</v>
      </c>
      <c r="D274" s="7">
        <v>170.6</v>
      </c>
    </row>
    <row r="275" spans="1:4" x14ac:dyDescent="0.2">
      <c r="A275" s="6" t="s">
        <v>12</v>
      </c>
      <c r="B275" s="6">
        <v>2019</v>
      </c>
      <c r="C275" s="6" t="s">
        <v>43</v>
      </c>
      <c r="D275" s="7">
        <v>160.19999999999999</v>
      </c>
    </row>
    <row r="276" spans="1:4" x14ac:dyDescent="0.2">
      <c r="A276" s="6" t="s">
        <v>13</v>
      </c>
      <c r="B276" s="6">
        <v>2019</v>
      </c>
      <c r="C276" s="6" t="s">
        <v>43</v>
      </c>
      <c r="D276" s="7">
        <v>210.1</v>
      </c>
    </row>
    <row r="277" spans="1:4" x14ac:dyDescent="0.2">
      <c r="A277" s="6" t="s">
        <v>14</v>
      </c>
      <c r="B277" s="6">
        <v>2019</v>
      </c>
      <c r="C277" s="6" t="s">
        <v>43</v>
      </c>
      <c r="D277" s="7">
        <v>178.5</v>
      </c>
    </row>
    <row r="278" spans="1:4" x14ac:dyDescent="0.2">
      <c r="A278" s="6" t="s">
        <v>15</v>
      </c>
      <c r="B278" s="6">
        <v>2019</v>
      </c>
      <c r="C278" s="6" t="s">
        <v>43</v>
      </c>
      <c r="D278" s="7">
        <v>274.8</v>
      </c>
    </row>
    <row r="279" spans="1:4" x14ac:dyDescent="0.2">
      <c r="A279" s="6" t="s">
        <v>16</v>
      </c>
      <c r="B279" s="6">
        <v>2019</v>
      </c>
      <c r="C279" s="6" t="s">
        <v>43</v>
      </c>
      <c r="D279" s="7">
        <v>155.6</v>
      </c>
    </row>
    <row r="280" spans="1:4" x14ac:dyDescent="0.2">
      <c r="A280" s="6" t="s">
        <v>17</v>
      </c>
      <c r="B280" s="6">
        <v>2019</v>
      </c>
      <c r="C280" s="6" t="s">
        <v>43</v>
      </c>
      <c r="D280" s="7">
        <v>159.4</v>
      </c>
    </row>
    <row r="281" spans="1:4" x14ac:dyDescent="0.2">
      <c r="A281" s="6" t="s">
        <v>18</v>
      </c>
      <c r="B281" s="6">
        <v>2019</v>
      </c>
      <c r="C281" s="6" t="s">
        <v>43</v>
      </c>
      <c r="D281" s="7">
        <v>51.4</v>
      </c>
    </row>
    <row r="282" spans="1:4" x14ac:dyDescent="0.2">
      <c r="A282" s="6" t="s">
        <v>19</v>
      </c>
      <c r="B282" s="6">
        <v>2019</v>
      </c>
      <c r="C282" s="6" t="s">
        <v>43</v>
      </c>
      <c r="D282" s="7">
        <v>118.2</v>
      </c>
    </row>
    <row r="283" spans="1:4" x14ac:dyDescent="0.2">
      <c r="A283" s="6" t="s">
        <v>20</v>
      </c>
      <c r="B283" s="6">
        <v>2019</v>
      </c>
      <c r="C283" s="6" t="s">
        <v>43</v>
      </c>
      <c r="D283" s="7">
        <v>298.10000000000002</v>
      </c>
    </row>
    <row r="284" spans="1:4" x14ac:dyDescent="0.2">
      <c r="A284" s="6" t="s">
        <v>21</v>
      </c>
      <c r="B284" s="6">
        <v>2019</v>
      </c>
      <c r="C284" s="6" t="s">
        <v>43</v>
      </c>
      <c r="D284" s="7">
        <v>108.2</v>
      </c>
    </row>
    <row r="285" spans="1:4" x14ac:dyDescent="0.2">
      <c r="A285" s="6" t="s">
        <v>22</v>
      </c>
      <c r="B285" s="6">
        <v>2019</v>
      </c>
      <c r="C285" s="6" t="s">
        <v>43</v>
      </c>
      <c r="D285" s="7">
        <v>137.5</v>
      </c>
    </row>
    <row r="286" spans="1:4" x14ac:dyDescent="0.2">
      <c r="A286" s="6" t="s">
        <v>23</v>
      </c>
      <c r="B286" s="6">
        <v>2019</v>
      </c>
      <c r="C286" s="6" t="s">
        <v>43</v>
      </c>
      <c r="D286" s="7">
        <v>94</v>
      </c>
    </row>
    <row r="287" spans="1:4" x14ac:dyDescent="0.2">
      <c r="A287" s="6" t="s">
        <v>24</v>
      </c>
      <c r="B287" s="6">
        <v>2019</v>
      </c>
      <c r="C287" s="6" t="s">
        <v>43</v>
      </c>
      <c r="D287" s="7">
        <v>191.9</v>
      </c>
    </row>
    <row r="288" spans="1:4" x14ac:dyDescent="0.2">
      <c r="A288" s="6" t="s">
        <v>25</v>
      </c>
      <c r="B288" s="6">
        <v>2019</v>
      </c>
      <c r="C288" s="6" t="s">
        <v>43</v>
      </c>
      <c r="D288" s="7">
        <v>200</v>
      </c>
    </row>
    <row r="289" spans="1:4" x14ac:dyDescent="0.2">
      <c r="A289" s="6" t="s">
        <v>26</v>
      </c>
      <c r="B289" s="6">
        <v>2019</v>
      </c>
      <c r="C289" s="6" t="s">
        <v>43</v>
      </c>
      <c r="D289" s="7">
        <v>142.30000000000001</v>
      </c>
    </row>
    <row r="290" spans="1:4" x14ac:dyDescent="0.2">
      <c r="A290" s="6" t="s">
        <v>27</v>
      </c>
      <c r="B290" s="6">
        <v>2019</v>
      </c>
      <c r="C290" s="6" t="s">
        <v>43</v>
      </c>
      <c r="D290" s="7">
        <v>265.7</v>
      </c>
    </row>
    <row r="291" spans="1:4" x14ac:dyDescent="0.2">
      <c r="A291" s="6" t="s">
        <v>28</v>
      </c>
      <c r="B291" s="6">
        <v>2019</v>
      </c>
      <c r="C291" s="6" t="s">
        <v>43</v>
      </c>
      <c r="D291" s="7">
        <v>432.2</v>
      </c>
    </row>
    <row r="292" spans="1:4" x14ac:dyDescent="0.2">
      <c r="A292" s="6" t="s">
        <v>29</v>
      </c>
      <c r="B292" s="6">
        <v>2019</v>
      </c>
      <c r="C292" s="6" t="s">
        <v>43</v>
      </c>
      <c r="D292" s="7">
        <v>346.4</v>
      </c>
    </row>
    <row r="293" spans="1:4" x14ac:dyDescent="0.2">
      <c r="A293" s="6" t="s">
        <v>30</v>
      </c>
      <c r="B293" s="6">
        <v>2019</v>
      </c>
      <c r="C293" s="6" t="s">
        <v>43</v>
      </c>
      <c r="D293" s="7">
        <v>239.2</v>
      </c>
    </row>
    <row r="294" spans="1:4" x14ac:dyDescent="0.2">
      <c r="A294" s="6" t="s">
        <v>31</v>
      </c>
      <c r="B294" s="6">
        <v>2019</v>
      </c>
      <c r="C294" s="6" t="s">
        <v>43</v>
      </c>
      <c r="D294" s="7">
        <v>251.1</v>
      </c>
    </row>
    <row r="295" spans="1:4" x14ac:dyDescent="0.2">
      <c r="A295" s="6" t="s">
        <v>32</v>
      </c>
      <c r="B295" s="6">
        <v>2019</v>
      </c>
      <c r="C295" s="6" t="s">
        <v>43</v>
      </c>
      <c r="D295" s="7">
        <v>388</v>
      </c>
    </row>
    <row r="296" spans="1:4" x14ac:dyDescent="0.2">
      <c r="A296" s="6" t="s">
        <v>33</v>
      </c>
      <c r="B296" s="6">
        <v>2019</v>
      </c>
      <c r="C296" s="6" t="s">
        <v>43</v>
      </c>
      <c r="D296" s="7">
        <v>158.19999999999999</v>
      </c>
    </row>
    <row r="297" spans="1:4" x14ac:dyDescent="0.2">
      <c r="A297" s="6" t="s">
        <v>34</v>
      </c>
      <c r="B297" s="6">
        <v>2019</v>
      </c>
      <c r="C297" s="6" t="s">
        <v>43</v>
      </c>
      <c r="D297" s="7">
        <v>53.5</v>
      </c>
    </row>
    <row r="298" spans="1:4" x14ac:dyDescent="0.2">
      <c r="A298" s="6" t="s">
        <v>35</v>
      </c>
      <c r="B298" s="6">
        <v>2019</v>
      </c>
      <c r="C298" s="6" t="s">
        <v>43</v>
      </c>
      <c r="D298" s="7">
        <v>216.7</v>
      </c>
    </row>
    <row r="299" spans="1:4" x14ac:dyDescent="0.2">
      <c r="A299" s="6" t="s">
        <v>36</v>
      </c>
      <c r="B299" s="6">
        <v>2019</v>
      </c>
      <c r="C299" s="6" t="s">
        <v>43</v>
      </c>
      <c r="D299" s="7">
        <v>101</v>
      </c>
    </row>
    <row r="300" spans="1:4" x14ac:dyDescent="0.2">
      <c r="A300" s="6" t="s">
        <v>37</v>
      </c>
      <c r="B300" s="6">
        <v>2019</v>
      </c>
      <c r="C300" s="6" t="s">
        <v>43</v>
      </c>
      <c r="D300" s="7">
        <v>156.6</v>
      </c>
    </row>
    <row r="301" spans="1:4" x14ac:dyDescent="0.2">
      <c r="A301" s="6" t="s">
        <v>38</v>
      </c>
      <c r="B301" s="6">
        <v>2019</v>
      </c>
      <c r="C301" s="6" t="s">
        <v>43</v>
      </c>
      <c r="D301" s="7">
        <v>170.1</v>
      </c>
    </row>
    <row r="302" spans="1:4" x14ac:dyDescent="0.2">
      <c r="A302" s="6" t="s">
        <v>39</v>
      </c>
      <c r="B302" s="6">
        <v>2019</v>
      </c>
      <c r="C302" s="6" t="s">
        <v>43</v>
      </c>
      <c r="D302" s="7">
        <v>71.599999999999994</v>
      </c>
    </row>
    <row r="303" spans="1:4" x14ac:dyDescent="0.2">
      <c r="A303" s="6" t="s">
        <v>40</v>
      </c>
      <c r="B303" s="6">
        <v>2019</v>
      </c>
      <c r="C303" s="6" t="s">
        <v>43</v>
      </c>
      <c r="D303" s="7">
        <v>179.4</v>
      </c>
    </row>
    <row r="304" spans="1:4" x14ac:dyDescent="0.2">
      <c r="A304" s="6" t="s">
        <v>41</v>
      </c>
      <c r="B304" s="6">
        <v>2019</v>
      </c>
      <c r="C304" s="6" t="s">
        <v>43</v>
      </c>
      <c r="D304" s="7">
        <v>207</v>
      </c>
    </row>
    <row r="305" spans="1:4" x14ac:dyDescent="0.2">
      <c r="A305" s="6" t="s">
        <v>42</v>
      </c>
      <c r="B305" s="6">
        <v>2019</v>
      </c>
      <c r="C305" s="6" t="s">
        <v>43</v>
      </c>
      <c r="D305" s="7">
        <v>243.7</v>
      </c>
    </row>
    <row r="306" spans="1:4" x14ac:dyDescent="0.2">
      <c r="A306" s="6" t="s">
        <v>4</v>
      </c>
      <c r="B306" s="6">
        <v>1999</v>
      </c>
      <c r="C306" s="6" t="s">
        <v>44</v>
      </c>
      <c r="D306" s="7">
        <v>125.3</v>
      </c>
    </row>
    <row r="307" spans="1:4" x14ac:dyDescent="0.2">
      <c r="A307" s="6" t="s">
        <v>6</v>
      </c>
      <c r="B307" s="6">
        <v>1999</v>
      </c>
      <c r="C307" s="6" t="s">
        <v>44</v>
      </c>
      <c r="D307" s="7">
        <v>67.3</v>
      </c>
    </row>
    <row r="308" spans="1:4" x14ac:dyDescent="0.2">
      <c r="A308" s="6" t="s">
        <v>7</v>
      </c>
      <c r="B308" s="6">
        <v>1999</v>
      </c>
      <c r="C308" s="6" t="s">
        <v>44</v>
      </c>
      <c r="D308" s="7">
        <v>69.400000000000006</v>
      </c>
    </row>
    <row r="309" spans="1:4" x14ac:dyDescent="0.2">
      <c r="A309" s="6" t="s">
        <v>8</v>
      </c>
      <c r="B309" s="6">
        <v>1999</v>
      </c>
      <c r="C309" s="6" t="s">
        <v>44</v>
      </c>
      <c r="D309" s="7">
        <v>57.6</v>
      </c>
    </row>
    <row r="310" spans="1:4" x14ac:dyDescent="0.2">
      <c r="A310" s="6" t="s">
        <v>9</v>
      </c>
      <c r="B310" s="6">
        <v>1999</v>
      </c>
      <c r="C310" s="6" t="s">
        <v>44</v>
      </c>
      <c r="D310" s="7">
        <v>125.1</v>
      </c>
    </row>
    <row r="311" spans="1:4" x14ac:dyDescent="0.2">
      <c r="A311" s="6" t="s">
        <v>10</v>
      </c>
      <c r="B311" s="6">
        <v>1999</v>
      </c>
      <c r="C311" s="6" t="s">
        <v>44</v>
      </c>
      <c r="D311" s="7">
        <v>56.3</v>
      </c>
    </row>
    <row r="312" spans="1:4" x14ac:dyDescent="0.2">
      <c r="A312" s="6" t="s">
        <v>11</v>
      </c>
      <c r="B312" s="6">
        <v>1999</v>
      </c>
      <c r="C312" s="6" t="s">
        <v>44</v>
      </c>
      <c r="D312" s="7">
        <v>45.9</v>
      </c>
    </row>
    <row r="313" spans="1:4" x14ac:dyDescent="0.2">
      <c r="A313" s="6" t="s">
        <v>12</v>
      </c>
      <c r="B313" s="6">
        <v>1999</v>
      </c>
      <c r="C313" s="6" t="s">
        <v>44</v>
      </c>
      <c r="D313" s="7">
        <v>35.5</v>
      </c>
    </row>
    <row r="314" spans="1:4" x14ac:dyDescent="0.2">
      <c r="A314" s="6" t="s">
        <v>13</v>
      </c>
      <c r="B314" s="6">
        <v>1999</v>
      </c>
      <c r="C314" s="6" t="s">
        <v>44</v>
      </c>
      <c r="D314" s="7">
        <v>56</v>
      </c>
    </row>
    <row r="315" spans="1:4" x14ac:dyDescent="0.2">
      <c r="A315" s="6" t="s">
        <v>14</v>
      </c>
      <c r="B315" s="6">
        <v>1999</v>
      </c>
      <c r="C315" s="6" t="s">
        <v>44</v>
      </c>
      <c r="D315" s="7">
        <v>51.6</v>
      </c>
    </row>
    <row r="316" spans="1:4" x14ac:dyDescent="0.2">
      <c r="A316" s="6" t="s">
        <v>15</v>
      </c>
      <c r="B316" s="6">
        <v>1999</v>
      </c>
      <c r="C316" s="6" t="s">
        <v>44</v>
      </c>
      <c r="D316" s="7">
        <v>56.3</v>
      </c>
    </row>
    <row r="317" spans="1:4" x14ac:dyDescent="0.2">
      <c r="A317" s="6" t="s">
        <v>16</v>
      </c>
      <c r="B317" s="6">
        <v>1999</v>
      </c>
      <c r="C317" s="6" t="s">
        <v>44</v>
      </c>
      <c r="D317" s="7">
        <v>132.80000000000001</v>
      </c>
    </row>
    <row r="318" spans="1:4" x14ac:dyDescent="0.2">
      <c r="A318" s="6" t="s">
        <v>17</v>
      </c>
      <c r="B318" s="6">
        <v>1999</v>
      </c>
      <c r="C318" s="6" t="s">
        <v>44</v>
      </c>
      <c r="D318" s="7">
        <v>196.5</v>
      </c>
    </row>
    <row r="319" spans="1:4" x14ac:dyDescent="0.2">
      <c r="A319" s="6" t="s">
        <v>18</v>
      </c>
      <c r="B319" s="6">
        <v>1999</v>
      </c>
      <c r="C319" s="6" t="s">
        <v>44</v>
      </c>
      <c r="D319" s="7">
        <v>16.2</v>
      </c>
    </row>
    <row r="320" spans="1:4" x14ac:dyDescent="0.2">
      <c r="A320" s="6" t="s">
        <v>19</v>
      </c>
      <c r="B320" s="6">
        <v>1999</v>
      </c>
      <c r="C320" s="6" t="s">
        <v>44</v>
      </c>
      <c r="D320" s="7">
        <v>47.7</v>
      </c>
    </row>
    <row r="321" spans="1:4" x14ac:dyDescent="0.2">
      <c r="A321" s="6" t="s">
        <v>20</v>
      </c>
      <c r="B321" s="6">
        <v>1999</v>
      </c>
      <c r="C321" s="6" t="s">
        <v>44</v>
      </c>
      <c r="D321" s="7">
        <v>104.1</v>
      </c>
    </row>
    <row r="322" spans="1:4" x14ac:dyDescent="0.2">
      <c r="A322" s="6" t="s">
        <v>21</v>
      </c>
      <c r="B322" s="6">
        <v>1999</v>
      </c>
      <c r="C322" s="6" t="s">
        <v>44</v>
      </c>
      <c r="D322" s="7">
        <v>33</v>
      </c>
    </row>
    <row r="323" spans="1:4" x14ac:dyDescent="0.2">
      <c r="A323" s="6" t="s">
        <v>22</v>
      </c>
      <c r="B323" s="6">
        <v>1999</v>
      </c>
      <c r="C323" s="6" t="s">
        <v>44</v>
      </c>
      <c r="D323" s="7">
        <v>45.2</v>
      </c>
    </row>
    <row r="324" spans="1:4" x14ac:dyDescent="0.2">
      <c r="A324" s="6" t="s">
        <v>23</v>
      </c>
      <c r="B324" s="6">
        <v>1999</v>
      </c>
      <c r="C324" s="6" t="s">
        <v>44</v>
      </c>
      <c r="D324" s="7">
        <v>122.4</v>
      </c>
    </row>
    <row r="325" spans="1:4" x14ac:dyDescent="0.2">
      <c r="A325" s="6" t="s">
        <v>24</v>
      </c>
      <c r="B325" s="6">
        <v>1999</v>
      </c>
      <c r="C325" s="6" t="s">
        <v>44</v>
      </c>
      <c r="D325" s="7">
        <v>42.6</v>
      </c>
    </row>
    <row r="326" spans="1:4" x14ac:dyDescent="0.2">
      <c r="A326" s="6" t="s">
        <v>25</v>
      </c>
      <c r="B326" s="6">
        <v>1999</v>
      </c>
      <c r="C326" s="6" t="s">
        <v>44</v>
      </c>
      <c r="D326" s="7">
        <v>77</v>
      </c>
    </row>
    <row r="327" spans="1:4" x14ac:dyDescent="0.2">
      <c r="A327" s="6" t="s">
        <v>26</v>
      </c>
      <c r="B327" s="6">
        <v>1999</v>
      </c>
      <c r="C327" s="6" t="s">
        <v>44</v>
      </c>
      <c r="D327" s="7">
        <v>64.5</v>
      </c>
    </row>
    <row r="328" spans="1:4" x14ac:dyDescent="0.2">
      <c r="A328" s="6" t="s">
        <v>27</v>
      </c>
      <c r="B328" s="6">
        <v>1999</v>
      </c>
      <c r="C328" s="6" t="s">
        <v>44</v>
      </c>
      <c r="D328" s="7">
        <v>86.8</v>
      </c>
    </row>
    <row r="329" spans="1:4" x14ac:dyDescent="0.2">
      <c r="A329" s="6" t="s">
        <v>28</v>
      </c>
      <c r="B329" s="6">
        <v>1999</v>
      </c>
      <c r="C329" s="6" t="s">
        <v>44</v>
      </c>
      <c r="D329" s="7">
        <v>138</v>
      </c>
    </row>
    <row r="330" spans="1:4" x14ac:dyDescent="0.2">
      <c r="A330" s="6" t="s">
        <v>29</v>
      </c>
      <c r="B330" s="6">
        <v>1999</v>
      </c>
      <c r="C330" s="6" t="s">
        <v>44</v>
      </c>
      <c r="D330" s="7">
        <v>119.4</v>
      </c>
    </row>
    <row r="331" spans="1:4" x14ac:dyDescent="0.2">
      <c r="A331" s="6" t="s">
        <v>30</v>
      </c>
      <c r="B331" s="6">
        <v>1999</v>
      </c>
      <c r="C331" s="6" t="s">
        <v>44</v>
      </c>
      <c r="D331" s="7">
        <v>86.4</v>
      </c>
    </row>
    <row r="332" spans="1:4" x14ac:dyDescent="0.2">
      <c r="A332" s="6" t="s">
        <v>31</v>
      </c>
      <c r="B332" s="6">
        <v>1999</v>
      </c>
      <c r="C332" s="6" t="s">
        <v>44</v>
      </c>
      <c r="D332" s="7">
        <v>64.400000000000006</v>
      </c>
    </row>
    <row r="333" spans="1:4" x14ac:dyDescent="0.2">
      <c r="A333" s="6" t="s">
        <v>32</v>
      </c>
      <c r="B333" s="6">
        <v>1999</v>
      </c>
      <c r="C333" s="6" t="s">
        <v>44</v>
      </c>
      <c r="D333" s="7">
        <v>104.8</v>
      </c>
    </row>
    <row r="334" spans="1:4" x14ac:dyDescent="0.2">
      <c r="A334" s="6" t="s">
        <v>33</v>
      </c>
      <c r="B334" s="6">
        <v>1999</v>
      </c>
      <c r="C334" s="6" t="s">
        <v>44</v>
      </c>
      <c r="D334" s="7">
        <v>60.7</v>
      </c>
    </row>
    <row r="335" spans="1:4" x14ac:dyDescent="0.2">
      <c r="A335" s="6" t="s">
        <v>34</v>
      </c>
      <c r="B335" s="6">
        <v>1999</v>
      </c>
      <c r="C335" s="6" t="s">
        <v>44</v>
      </c>
      <c r="D335" s="7">
        <v>20.6</v>
      </c>
    </row>
    <row r="336" spans="1:4" x14ac:dyDescent="0.2">
      <c r="A336" s="6" t="s">
        <v>35</v>
      </c>
      <c r="B336" s="6">
        <v>1999</v>
      </c>
      <c r="C336" s="6" t="s">
        <v>44</v>
      </c>
      <c r="D336" s="7">
        <v>67.400000000000006</v>
      </c>
    </row>
    <row r="337" spans="1:4" x14ac:dyDescent="0.2">
      <c r="A337" s="6" t="s">
        <v>36</v>
      </c>
      <c r="B337" s="6">
        <v>1999</v>
      </c>
      <c r="C337" s="6" t="s">
        <v>44</v>
      </c>
      <c r="D337" s="7">
        <v>31.5</v>
      </c>
    </row>
    <row r="338" spans="1:4" x14ac:dyDescent="0.2">
      <c r="A338" s="6" t="s">
        <v>37</v>
      </c>
      <c r="B338" s="6">
        <v>1999</v>
      </c>
      <c r="C338" s="6" t="s">
        <v>44</v>
      </c>
      <c r="D338" s="7">
        <v>0</v>
      </c>
    </row>
    <row r="339" spans="1:4" x14ac:dyDescent="0.2">
      <c r="A339" s="6" t="s">
        <v>38</v>
      </c>
      <c r="B339" s="6">
        <v>1999</v>
      </c>
      <c r="C339" s="6" t="s">
        <v>44</v>
      </c>
      <c r="D339" s="7">
        <v>0</v>
      </c>
    </row>
    <row r="340" spans="1:4" x14ac:dyDescent="0.2">
      <c r="A340" s="6" t="s">
        <v>39</v>
      </c>
      <c r="B340" s="6">
        <v>1999</v>
      </c>
      <c r="C340" s="6" t="s">
        <v>44</v>
      </c>
      <c r="D340" s="7">
        <v>0</v>
      </c>
    </row>
    <row r="341" spans="1:4" x14ac:dyDescent="0.2">
      <c r="A341" s="6" t="s">
        <v>40</v>
      </c>
      <c r="B341" s="6">
        <v>1999</v>
      </c>
      <c r="C341" s="6" t="s">
        <v>44</v>
      </c>
      <c r="D341" s="7">
        <v>168.4</v>
      </c>
    </row>
    <row r="342" spans="1:4" x14ac:dyDescent="0.2">
      <c r="A342" s="6" t="s">
        <v>41</v>
      </c>
      <c r="B342" s="6">
        <v>1999</v>
      </c>
      <c r="C342" s="6" t="s">
        <v>44</v>
      </c>
      <c r="D342" s="7">
        <v>94.2</v>
      </c>
    </row>
    <row r="343" spans="1:4" x14ac:dyDescent="0.2">
      <c r="A343" s="6" t="s">
        <v>42</v>
      </c>
      <c r="B343" s="6">
        <v>1999</v>
      </c>
      <c r="C343" s="6" t="s">
        <v>44</v>
      </c>
      <c r="D343" s="7">
        <v>159.5</v>
      </c>
    </row>
    <row r="344" spans="1:4" x14ac:dyDescent="0.2">
      <c r="A344" s="6" t="s">
        <v>4</v>
      </c>
      <c r="B344" s="6">
        <v>2011</v>
      </c>
      <c r="C344" s="6" t="s">
        <v>44</v>
      </c>
      <c r="D344" s="7">
        <v>104</v>
      </c>
    </row>
    <row r="345" spans="1:4" x14ac:dyDescent="0.2">
      <c r="A345" s="6" t="s">
        <v>6</v>
      </c>
      <c r="B345" s="6">
        <v>2011</v>
      </c>
      <c r="C345" s="6" t="s">
        <v>44</v>
      </c>
      <c r="D345" s="7">
        <v>68.099999999999994</v>
      </c>
    </row>
    <row r="346" spans="1:4" x14ac:dyDescent="0.2">
      <c r="A346" s="6" t="s">
        <v>7</v>
      </c>
      <c r="B346" s="6">
        <v>2011</v>
      </c>
      <c r="C346" s="6" t="s">
        <v>44</v>
      </c>
      <c r="D346" s="7">
        <v>64.900000000000006</v>
      </c>
    </row>
    <row r="347" spans="1:4" x14ac:dyDescent="0.2">
      <c r="A347" s="6" t="s">
        <v>8</v>
      </c>
      <c r="B347" s="6">
        <v>2011</v>
      </c>
      <c r="C347" s="6" t="s">
        <v>44</v>
      </c>
      <c r="D347" s="7">
        <v>54.3</v>
      </c>
    </row>
    <row r="348" spans="1:4" x14ac:dyDescent="0.2">
      <c r="A348" s="6" t="s">
        <v>9</v>
      </c>
      <c r="B348" s="6">
        <v>2011</v>
      </c>
      <c r="C348" s="6" t="s">
        <v>44</v>
      </c>
      <c r="D348" s="7">
        <v>122.4</v>
      </c>
    </row>
    <row r="349" spans="1:4" x14ac:dyDescent="0.2">
      <c r="A349" s="6" t="s">
        <v>10</v>
      </c>
      <c r="B349" s="6">
        <v>2011</v>
      </c>
      <c r="C349" s="6" t="s">
        <v>44</v>
      </c>
      <c r="D349" s="7">
        <v>54.9</v>
      </c>
    </row>
    <row r="350" spans="1:4" x14ac:dyDescent="0.2">
      <c r="A350" s="6" t="s">
        <v>11</v>
      </c>
      <c r="B350" s="6">
        <v>2011</v>
      </c>
      <c r="C350" s="6" t="s">
        <v>44</v>
      </c>
      <c r="D350" s="7">
        <v>37.6</v>
      </c>
    </row>
    <row r="351" spans="1:4" x14ac:dyDescent="0.2">
      <c r="A351" s="6" t="s">
        <v>12</v>
      </c>
      <c r="B351" s="6">
        <v>2011</v>
      </c>
      <c r="C351" s="6" t="s">
        <v>44</v>
      </c>
      <c r="D351" s="7">
        <v>37.299999999999997</v>
      </c>
    </row>
    <row r="352" spans="1:4" x14ac:dyDescent="0.2">
      <c r="A352" s="6" t="s">
        <v>13</v>
      </c>
      <c r="B352" s="6">
        <v>2011</v>
      </c>
      <c r="C352" s="6" t="s">
        <v>44</v>
      </c>
      <c r="D352" s="7">
        <v>45.8</v>
      </c>
    </row>
    <row r="353" spans="1:4" x14ac:dyDescent="0.2">
      <c r="A353" s="6" t="s">
        <v>14</v>
      </c>
      <c r="B353" s="6">
        <v>2011</v>
      </c>
      <c r="C353" s="6" t="s">
        <v>44</v>
      </c>
      <c r="D353" s="7">
        <v>43.3</v>
      </c>
    </row>
    <row r="354" spans="1:4" x14ac:dyDescent="0.2">
      <c r="A354" s="6" t="s">
        <v>15</v>
      </c>
      <c r="B354" s="6">
        <v>2011</v>
      </c>
      <c r="C354" s="6" t="s">
        <v>44</v>
      </c>
      <c r="D354" s="7">
        <v>63</v>
      </c>
    </row>
    <row r="355" spans="1:4" x14ac:dyDescent="0.2">
      <c r="A355" s="6" t="s">
        <v>16</v>
      </c>
      <c r="B355" s="6">
        <v>2011</v>
      </c>
      <c r="C355" s="6" t="s">
        <v>44</v>
      </c>
      <c r="D355" s="7">
        <v>81.5</v>
      </c>
    </row>
    <row r="356" spans="1:4" x14ac:dyDescent="0.2">
      <c r="A356" s="6" t="s">
        <v>17</v>
      </c>
      <c r="B356" s="6">
        <v>2011</v>
      </c>
      <c r="C356" s="6" t="s">
        <v>44</v>
      </c>
      <c r="D356" s="7">
        <v>116.6</v>
      </c>
    </row>
    <row r="357" spans="1:4" x14ac:dyDescent="0.2">
      <c r="A357" s="6" t="s">
        <v>18</v>
      </c>
      <c r="B357" s="6">
        <v>2011</v>
      </c>
      <c r="C357" s="6" t="s">
        <v>44</v>
      </c>
      <c r="D357" s="7">
        <v>13</v>
      </c>
    </row>
    <row r="358" spans="1:4" x14ac:dyDescent="0.2">
      <c r="A358" s="6" t="s">
        <v>19</v>
      </c>
      <c r="B358" s="6">
        <v>2011</v>
      </c>
      <c r="C358" s="6" t="s">
        <v>44</v>
      </c>
      <c r="D358" s="7">
        <v>37.299999999999997</v>
      </c>
    </row>
    <row r="359" spans="1:4" x14ac:dyDescent="0.2">
      <c r="A359" s="6" t="s">
        <v>20</v>
      </c>
      <c r="B359" s="6">
        <v>2011</v>
      </c>
      <c r="C359" s="6" t="s">
        <v>44</v>
      </c>
      <c r="D359" s="7">
        <v>94.1</v>
      </c>
    </row>
    <row r="360" spans="1:4" x14ac:dyDescent="0.2">
      <c r="A360" s="6" t="s">
        <v>21</v>
      </c>
      <c r="B360" s="6">
        <v>2011</v>
      </c>
      <c r="C360" s="6" t="s">
        <v>44</v>
      </c>
      <c r="D360" s="7">
        <v>28.3</v>
      </c>
    </row>
    <row r="361" spans="1:4" x14ac:dyDescent="0.2">
      <c r="A361" s="6" t="s">
        <v>22</v>
      </c>
      <c r="B361" s="6">
        <v>2011</v>
      </c>
      <c r="C361" s="6" t="s">
        <v>44</v>
      </c>
      <c r="D361" s="7">
        <v>31.5</v>
      </c>
    </row>
    <row r="362" spans="1:4" x14ac:dyDescent="0.2">
      <c r="A362" s="6" t="s">
        <v>23</v>
      </c>
      <c r="B362" s="6">
        <v>2011</v>
      </c>
      <c r="C362" s="6" t="s">
        <v>44</v>
      </c>
      <c r="D362" s="7">
        <v>76.400000000000006</v>
      </c>
    </row>
    <row r="363" spans="1:4" x14ac:dyDescent="0.2">
      <c r="A363" s="6" t="s">
        <v>24</v>
      </c>
      <c r="B363" s="6">
        <v>2011</v>
      </c>
      <c r="C363" s="6" t="s">
        <v>44</v>
      </c>
      <c r="D363" s="7">
        <v>39.5</v>
      </c>
    </row>
    <row r="364" spans="1:4" x14ac:dyDescent="0.2">
      <c r="A364" s="6" t="s">
        <v>25</v>
      </c>
      <c r="B364" s="6">
        <v>2011</v>
      </c>
      <c r="C364" s="6" t="s">
        <v>44</v>
      </c>
      <c r="D364" s="7">
        <v>51.2</v>
      </c>
    </row>
    <row r="365" spans="1:4" x14ac:dyDescent="0.2">
      <c r="A365" s="6" t="s">
        <v>26</v>
      </c>
      <c r="B365" s="6">
        <v>2011</v>
      </c>
      <c r="C365" s="6" t="s">
        <v>44</v>
      </c>
      <c r="D365" s="7">
        <v>48.7</v>
      </c>
    </row>
    <row r="366" spans="1:4" x14ac:dyDescent="0.2">
      <c r="A366" s="6" t="s">
        <v>27</v>
      </c>
      <c r="B366" s="6">
        <v>2011</v>
      </c>
      <c r="C366" s="6" t="s">
        <v>44</v>
      </c>
      <c r="D366" s="7">
        <v>88.2</v>
      </c>
    </row>
    <row r="367" spans="1:4" x14ac:dyDescent="0.2">
      <c r="A367" s="6" t="s">
        <v>28</v>
      </c>
      <c r="B367" s="6">
        <v>2011</v>
      </c>
      <c r="C367" s="6" t="s">
        <v>44</v>
      </c>
      <c r="D367" s="7">
        <v>139</v>
      </c>
    </row>
    <row r="368" spans="1:4" x14ac:dyDescent="0.2">
      <c r="A368" s="6" t="s">
        <v>29</v>
      </c>
      <c r="B368" s="6">
        <v>2011</v>
      </c>
      <c r="C368" s="6" t="s">
        <v>44</v>
      </c>
      <c r="D368" s="7">
        <v>104.9</v>
      </c>
    </row>
    <row r="369" spans="1:4" x14ac:dyDescent="0.2">
      <c r="A369" s="6" t="s">
        <v>30</v>
      </c>
      <c r="B369" s="6">
        <v>2011</v>
      </c>
      <c r="C369" s="6" t="s">
        <v>44</v>
      </c>
      <c r="D369" s="7">
        <v>84.7</v>
      </c>
    </row>
    <row r="370" spans="1:4" x14ac:dyDescent="0.2">
      <c r="A370" s="6" t="s">
        <v>31</v>
      </c>
      <c r="B370" s="6">
        <v>2011</v>
      </c>
      <c r="C370" s="6" t="s">
        <v>44</v>
      </c>
      <c r="D370" s="7">
        <v>67</v>
      </c>
    </row>
    <row r="371" spans="1:4" x14ac:dyDescent="0.2">
      <c r="A371" s="6" t="s">
        <v>32</v>
      </c>
      <c r="B371" s="6">
        <v>2011</v>
      </c>
      <c r="C371" s="6" t="s">
        <v>44</v>
      </c>
      <c r="D371" s="7">
        <v>91.2</v>
      </c>
    </row>
    <row r="372" spans="1:4" x14ac:dyDescent="0.2">
      <c r="A372" s="6" t="s">
        <v>33</v>
      </c>
      <c r="B372" s="6">
        <v>2011</v>
      </c>
      <c r="C372" s="6" t="s">
        <v>44</v>
      </c>
      <c r="D372" s="7">
        <v>54.5</v>
      </c>
    </row>
    <row r="373" spans="1:4" x14ac:dyDescent="0.2">
      <c r="A373" s="6" t="s">
        <v>34</v>
      </c>
      <c r="B373" s="6">
        <v>2011</v>
      </c>
      <c r="C373" s="6" t="s">
        <v>44</v>
      </c>
      <c r="D373" s="7">
        <v>21.2</v>
      </c>
    </row>
    <row r="374" spans="1:4" x14ac:dyDescent="0.2">
      <c r="A374" s="6" t="s">
        <v>35</v>
      </c>
      <c r="B374" s="6">
        <v>2011</v>
      </c>
      <c r="C374" s="6" t="s">
        <v>44</v>
      </c>
      <c r="D374" s="7">
        <v>57.4</v>
      </c>
    </row>
    <row r="375" spans="1:4" x14ac:dyDescent="0.2">
      <c r="A375" s="6" t="s">
        <v>36</v>
      </c>
      <c r="B375" s="6">
        <v>2011</v>
      </c>
      <c r="C375" s="6" t="s">
        <v>44</v>
      </c>
      <c r="D375" s="7">
        <v>27.9</v>
      </c>
    </row>
    <row r="376" spans="1:4" x14ac:dyDescent="0.2">
      <c r="A376" s="6" t="s">
        <v>37</v>
      </c>
      <c r="B376" s="6">
        <v>2011</v>
      </c>
      <c r="C376" s="6" t="s">
        <v>44</v>
      </c>
      <c r="D376" s="7">
        <v>63.9</v>
      </c>
    </row>
    <row r="377" spans="1:4" x14ac:dyDescent="0.2">
      <c r="A377" s="6" t="s">
        <v>38</v>
      </c>
      <c r="B377" s="6">
        <v>2011</v>
      </c>
      <c r="C377" s="6" t="s">
        <v>44</v>
      </c>
      <c r="D377" s="7">
        <v>70.599999999999994</v>
      </c>
    </row>
    <row r="378" spans="1:4" x14ac:dyDescent="0.2">
      <c r="A378" s="6" t="s">
        <v>39</v>
      </c>
      <c r="B378" s="6">
        <v>2011</v>
      </c>
      <c r="C378" s="6" t="s">
        <v>44</v>
      </c>
      <c r="D378" s="7">
        <v>44</v>
      </c>
    </row>
    <row r="379" spans="1:4" x14ac:dyDescent="0.2">
      <c r="A379" s="6" t="s">
        <v>40</v>
      </c>
      <c r="B379" s="6">
        <v>2011</v>
      </c>
      <c r="C379" s="6" t="s">
        <v>44</v>
      </c>
      <c r="D379" s="7">
        <v>109</v>
      </c>
    </row>
    <row r="380" spans="1:4" x14ac:dyDescent="0.2">
      <c r="A380" s="6" t="s">
        <v>41</v>
      </c>
      <c r="B380" s="6">
        <v>2011</v>
      </c>
      <c r="C380" s="6" t="s">
        <v>44</v>
      </c>
      <c r="D380" s="7">
        <v>85.3</v>
      </c>
    </row>
    <row r="381" spans="1:4" x14ac:dyDescent="0.2">
      <c r="A381" s="6" t="s">
        <v>42</v>
      </c>
      <c r="B381" s="6">
        <v>2011</v>
      </c>
      <c r="C381" s="6" t="s">
        <v>44</v>
      </c>
      <c r="D381" s="7">
        <v>105.4</v>
      </c>
    </row>
    <row r="382" spans="1:4" x14ac:dyDescent="0.2">
      <c r="A382" s="6" t="s">
        <v>4</v>
      </c>
      <c r="B382" s="6">
        <v>2012</v>
      </c>
      <c r="C382" s="6" t="s">
        <v>44</v>
      </c>
      <c r="D382" s="7">
        <v>116</v>
      </c>
    </row>
    <row r="383" spans="1:4" x14ac:dyDescent="0.2">
      <c r="A383" s="6" t="s">
        <v>6</v>
      </c>
      <c r="B383" s="6">
        <v>2012</v>
      </c>
      <c r="C383" s="6" t="s">
        <v>44</v>
      </c>
      <c r="D383" s="7">
        <v>68.099999999999994</v>
      </c>
    </row>
    <row r="384" spans="1:4" x14ac:dyDescent="0.2">
      <c r="A384" s="6" t="s">
        <v>7</v>
      </c>
      <c r="B384" s="6">
        <v>2012</v>
      </c>
      <c r="C384" s="6" t="s">
        <v>44</v>
      </c>
      <c r="D384" s="7">
        <v>69.3</v>
      </c>
    </row>
    <row r="385" spans="1:4" x14ac:dyDescent="0.2">
      <c r="A385" s="6" t="s">
        <v>8</v>
      </c>
      <c r="B385" s="6">
        <v>2012</v>
      </c>
      <c r="C385" s="6" t="s">
        <v>44</v>
      </c>
      <c r="D385" s="7">
        <v>53.7</v>
      </c>
    </row>
    <row r="386" spans="1:4" x14ac:dyDescent="0.2">
      <c r="A386" s="6" t="s">
        <v>9</v>
      </c>
      <c r="B386" s="6">
        <v>2012</v>
      </c>
      <c r="C386" s="6" t="s">
        <v>44</v>
      </c>
      <c r="D386" s="7">
        <v>130.69999999999999</v>
      </c>
    </row>
    <row r="387" spans="1:4" x14ac:dyDescent="0.2">
      <c r="A387" s="6" t="s">
        <v>10</v>
      </c>
      <c r="B387" s="6">
        <v>2012</v>
      </c>
      <c r="C387" s="6" t="s">
        <v>44</v>
      </c>
      <c r="D387" s="7">
        <v>56.5</v>
      </c>
    </row>
    <row r="388" spans="1:4" x14ac:dyDescent="0.2">
      <c r="A388" s="6" t="s">
        <v>11</v>
      </c>
      <c r="B388" s="6">
        <v>2012</v>
      </c>
      <c r="C388" s="6" t="s">
        <v>44</v>
      </c>
      <c r="D388" s="7">
        <v>36.700000000000003</v>
      </c>
    </row>
    <row r="389" spans="1:4" x14ac:dyDescent="0.2">
      <c r="A389" s="6" t="s">
        <v>12</v>
      </c>
      <c r="B389" s="6">
        <v>2012</v>
      </c>
      <c r="C389" s="6" t="s">
        <v>44</v>
      </c>
      <c r="D389" s="7">
        <v>34.700000000000003</v>
      </c>
    </row>
    <row r="390" spans="1:4" x14ac:dyDescent="0.2">
      <c r="A390" s="6" t="s">
        <v>13</v>
      </c>
      <c r="B390" s="6">
        <v>2012</v>
      </c>
      <c r="C390" s="6" t="s">
        <v>44</v>
      </c>
      <c r="D390" s="7">
        <v>46.6</v>
      </c>
    </row>
    <row r="391" spans="1:4" x14ac:dyDescent="0.2">
      <c r="A391" s="6" t="s">
        <v>14</v>
      </c>
      <c r="B391" s="6">
        <v>2012</v>
      </c>
      <c r="C391" s="6" t="s">
        <v>44</v>
      </c>
      <c r="D391" s="7">
        <v>44.4</v>
      </c>
    </row>
    <row r="392" spans="1:4" x14ac:dyDescent="0.2">
      <c r="A392" s="6" t="s">
        <v>15</v>
      </c>
      <c r="B392" s="6">
        <v>2012</v>
      </c>
      <c r="C392" s="6" t="s">
        <v>44</v>
      </c>
      <c r="D392" s="7">
        <v>63.1</v>
      </c>
    </row>
    <row r="393" spans="1:4" x14ac:dyDescent="0.2">
      <c r="A393" s="6" t="s">
        <v>16</v>
      </c>
      <c r="B393" s="6">
        <v>2012</v>
      </c>
      <c r="C393" s="6" t="s">
        <v>44</v>
      </c>
      <c r="D393" s="7">
        <v>88.6</v>
      </c>
    </row>
    <row r="394" spans="1:4" x14ac:dyDescent="0.2">
      <c r="A394" s="6" t="s">
        <v>17</v>
      </c>
      <c r="B394" s="6">
        <v>2012</v>
      </c>
      <c r="C394" s="6" t="s">
        <v>44</v>
      </c>
      <c r="D394" s="7">
        <v>113.5</v>
      </c>
    </row>
    <row r="395" spans="1:4" x14ac:dyDescent="0.2">
      <c r="A395" s="6" t="s">
        <v>18</v>
      </c>
      <c r="B395" s="6">
        <v>2012</v>
      </c>
      <c r="C395" s="6" t="s">
        <v>44</v>
      </c>
      <c r="D395" s="7">
        <v>13.2</v>
      </c>
    </row>
    <row r="396" spans="1:4" x14ac:dyDescent="0.2">
      <c r="A396" s="6" t="s">
        <v>19</v>
      </c>
      <c r="B396" s="6">
        <v>2012</v>
      </c>
      <c r="C396" s="6" t="s">
        <v>44</v>
      </c>
      <c r="D396" s="7">
        <v>37.9</v>
      </c>
    </row>
    <row r="397" spans="1:4" x14ac:dyDescent="0.2">
      <c r="A397" s="6" t="s">
        <v>20</v>
      </c>
      <c r="B397" s="6">
        <v>2012</v>
      </c>
      <c r="C397" s="6" t="s">
        <v>44</v>
      </c>
      <c r="D397" s="7">
        <v>91.2</v>
      </c>
    </row>
    <row r="398" spans="1:4" x14ac:dyDescent="0.2">
      <c r="A398" s="6" t="s">
        <v>21</v>
      </c>
      <c r="B398" s="6">
        <v>2012</v>
      </c>
      <c r="C398" s="6" t="s">
        <v>44</v>
      </c>
      <c r="D398" s="7">
        <v>31.3</v>
      </c>
    </row>
    <row r="399" spans="1:4" x14ac:dyDescent="0.2">
      <c r="A399" s="6" t="s">
        <v>22</v>
      </c>
      <c r="B399" s="6">
        <v>2012</v>
      </c>
      <c r="C399" s="6" t="s">
        <v>44</v>
      </c>
      <c r="D399" s="7">
        <v>32.4</v>
      </c>
    </row>
    <row r="400" spans="1:4" x14ac:dyDescent="0.2">
      <c r="A400" s="6" t="s">
        <v>23</v>
      </c>
      <c r="B400" s="6">
        <v>2012</v>
      </c>
      <c r="C400" s="6" t="s">
        <v>44</v>
      </c>
      <c r="D400" s="7">
        <v>79.8</v>
      </c>
    </row>
    <row r="401" spans="1:4" x14ac:dyDescent="0.2">
      <c r="A401" s="6" t="s">
        <v>24</v>
      </c>
      <c r="B401" s="6">
        <v>2012</v>
      </c>
      <c r="C401" s="6" t="s">
        <v>44</v>
      </c>
      <c r="D401" s="7">
        <v>33.9</v>
      </c>
    </row>
    <row r="402" spans="1:4" x14ac:dyDescent="0.2">
      <c r="A402" s="6" t="s">
        <v>25</v>
      </c>
      <c r="B402" s="6">
        <v>2012</v>
      </c>
      <c r="C402" s="6" t="s">
        <v>44</v>
      </c>
      <c r="D402" s="7">
        <v>57.6</v>
      </c>
    </row>
    <row r="403" spans="1:4" x14ac:dyDescent="0.2">
      <c r="A403" s="6" t="s">
        <v>26</v>
      </c>
      <c r="B403" s="6">
        <v>2012</v>
      </c>
      <c r="C403" s="6" t="s">
        <v>44</v>
      </c>
      <c r="D403" s="7">
        <v>55.2</v>
      </c>
    </row>
    <row r="404" spans="1:4" x14ac:dyDescent="0.2">
      <c r="A404" s="6" t="s">
        <v>27</v>
      </c>
      <c r="B404" s="6">
        <v>2012</v>
      </c>
      <c r="C404" s="6" t="s">
        <v>44</v>
      </c>
      <c r="D404" s="7">
        <v>91.9</v>
      </c>
    </row>
    <row r="405" spans="1:4" x14ac:dyDescent="0.2">
      <c r="A405" s="6" t="s">
        <v>28</v>
      </c>
      <c r="B405" s="6">
        <v>2012</v>
      </c>
      <c r="C405" s="6" t="s">
        <v>44</v>
      </c>
      <c r="D405" s="7">
        <v>136.19999999999999</v>
      </c>
    </row>
    <row r="406" spans="1:4" x14ac:dyDescent="0.2">
      <c r="A406" s="6" t="s">
        <v>29</v>
      </c>
      <c r="B406" s="6">
        <v>2012</v>
      </c>
      <c r="C406" s="6" t="s">
        <v>44</v>
      </c>
      <c r="D406" s="7">
        <v>106.3</v>
      </c>
    </row>
    <row r="407" spans="1:4" x14ac:dyDescent="0.2">
      <c r="A407" s="6" t="s">
        <v>30</v>
      </c>
      <c r="B407" s="6">
        <v>2012</v>
      </c>
      <c r="C407" s="6" t="s">
        <v>44</v>
      </c>
      <c r="D407" s="7">
        <v>91</v>
      </c>
    </row>
    <row r="408" spans="1:4" x14ac:dyDescent="0.2">
      <c r="A408" s="6" t="s">
        <v>31</v>
      </c>
      <c r="B408" s="6">
        <v>2012</v>
      </c>
      <c r="C408" s="6" t="s">
        <v>44</v>
      </c>
      <c r="D408" s="7">
        <v>62.8</v>
      </c>
    </row>
    <row r="409" spans="1:4" x14ac:dyDescent="0.2">
      <c r="A409" s="6" t="s">
        <v>32</v>
      </c>
      <c r="B409" s="6">
        <v>2012</v>
      </c>
      <c r="C409" s="6" t="s">
        <v>44</v>
      </c>
      <c r="D409" s="7">
        <v>89.2</v>
      </c>
    </row>
    <row r="410" spans="1:4" x14ac:dyDescent="0.2">
      <c r="A410" s="6" t="s">
        <v>33</v>
      </c>
      <c r="B410" s="6">
        <v>2012</v>
      </c>
      <c r="C410" s="6" t="s">
        <v>44</v>
      </c>
      <c r="D410" s="7">
        <v>50.7</v>
      </c>
    </row>
    <row r="411" spans="1:4" x14ac:dyDescent="0.2">
      <c r="A411" s="6" t="s">
        <v>34</v>
      </c>
      <c r="B411" s="6">
        <v>2012</v>
      </c>
      <c r="C411" s="6" t="s">
        <v>44</v>
      </c>
      <c r="D411" s="7">
        <v>22.1</v>
      </c>
    </row>
    <row r="412" spans="1:4" x14ac:dyDescent="0.2">
      <c r="A412" s="6" t="s">
        <v>35</v>
      </c>
      <c r="B412" s="6">
        <v>2012</v>
      </c>
      <c r="C412" s="6" t="s">
        <v>44</v>
      </c>
      <c r="D412" s="7">
        <v>58.4</v>
      </c>
    </row>
    <row r="413" spans="1:4" x14ac:dyDescent="0.2">
      <c r="A413" s="6" t="s">
        <v>36</v>
      </c>
      <c r="B413" s="6">
        <v>2012</v>
      </c>
      <c r="C413" s="6" t="s">
        <v>44</v>
      </c>
      <c r="D413" s="7">
        <v>29.7</v>
      </c>
    </row>
    <row r="414" spans="1:4" x14ac:dyDescent="0.2">
      <c r="A414" s="6" t="s">
        <v>37</v>
      </c>
      <c r="B414" s="6">
        <v>2012</v>
      </c>
      <c r="C414" s="6" t="s">
        <v>44</v>
      </c>
      <c r="D414" s="7">
        <v>64.8</v>
      </c>
    </row>
    <row r="415" spans="1:4" x14ac:dyDescent="0.2">
      <c r="A415" s="6" t="s">
        <v>38</v>
      </c>
      <c r="B415" s="6">
        <v>2012</v>
      </c>
      <c r="C415" s="6" t="s">
        <v>44</v>
      </c>
      <c r="D415" s="7">
        <v>68.599999999999994</v>
      </c>
    </row>
    <row r="416" spans="1:4" x14ac:dyDescent="0.2">
      <c r="A416" s="6" t="s">
        <v>39</v>
      </c>
      <c r="B416" s="6">
        <v>2012</v>
      </c>
      <c r="C416" s="6" t="s">
        <v>44</v>
      </c>
      <c r="D416" s="7">
        <v>41.4</v>
      </c>
    </row>
    <row r="417" spans="1:4" x14ac:dyDescent="0.2">
      <c r="A417" s="6" t="s">
        <v>40</v>
      </c>
      <c r="B417" s="6">
        <v>2012</v>
      </c>
      <c r="C417" s="6" t="s">
        <v>44</v>
      </c>
      <c r="D417" s="7">
        <v>111.7</v>
      </c>
    </row>
    <row r="418" spans="1:4" x14ac:dyDescent="0.2">
      <c r="A418" s="6" t="s">
        <v>41</v>
      </c>
      <c r="B418" s="6">
        <v>2012</v>
      </c>
      <c r="C418" s="6" t="s">
        <v>44</v>
      </c>
      <c r="D418" s="7">
        <v>89.8</v>
      </c>
    </row>
    <row r="419" spans="1:4" x14ac:dyDescent="0.2">
      <c r="A419" s="6" t="s">
        <v>42</v>
      </c>
      <c r="B419" s="6">
        <v>2012</v>
      </c>
      <c r="C419" s="6" t="s">
        <v>44</v>
      </c>
      <c r="D419" s="7">
        <v>104</v>
      </c>
    </row>
    <row r="420" spans="1:4" x14ac:dyDescent="0.2">
      <c r="A420" s="6" t="s">
        <v>4</v>
      </c>
      <c r="B420" s="6">
        <v>2019</v>
      </c>
      <c r="C420" s="6" t="s">
        <v>44</v>
      </c>
      <c r="D420" s="7">
        <v>131.6</v>
      </c>
    </row>
    <row r="421" spans="1:4" x14ac:dyDescent="0.2">
      <c r="A421" s="6" t="s">
        <v>6</v>
      </c>
      <c r="B421" s="6">
        <v>2019</v>
      </c>
      <c r="C421" s="6" t="s">
        <v>44</v>
      </c>
      <c r="D421" s="7">
        <v>84.1</v>
      </c>
    </row>
    <row r="422" spans="1:4" x14ac:dyDescent="0.2">
      <c r="A422" s="6" t="s">
        <v>7</v>
      </c>
      <c r="B422" s="6">
        <v>2019</v>
      </c>
      <c r="C422" s="6" t="s">
        <v>44</v>
      </c>
      <c r="D422" s="7">
        <v>78.599999999999994</v>
      </c>
    </row>
    <row r="423" spans="1:4" x14ac:dyDescent="0.2">
      <c r="A423" s="6" t="s">
        <v>8</v>
      </c>
      <c r="B423" s="6">
        <v>2019</v>
      </c>
      <c r="C423" s="6" t="s">
        <v>44</v>
      </c>
      <c r="D423" s="7">
        <v>60.1</v>
      </c>
    </row>
    <row r="424" spans="1:4" x14ac:dyDescent="0.2">
      <c r="A424" s="6" t="s">
        <v>9</v>
      </c>
      <c r="B424" s="6">
        <v>2019</v>
      </c>
      <c r="C424" s="6" t="s">
        <v>44</v>
      </c>
      <c r="D424" s="7">
        <v>152.4</v>
      </c>
    </row>
    <row r="425" spans="1:4" x14ac:dyDescent="0.2">
      <c r="A425" s="6" t="s">
        <v>10</v>
      </c>
      <c r="B425" s="6">
        <v>2019</v>
      </c>
      <c r="C425" s="6" t="s">
        <v>44</v>
      </c>
      <c r="D425" s="7">
        <v>67.8</v>
      </c>
    </row>
    <row r="426" spans="1:4" x14ac:dyDescent="0.2">
      <c r="A426" s="6" t="s">
        <v>11</v>
      </c>
      <c r="B426" s="6">
        <v>2019</v>
      </c>
      <c r="C426" s="6" t="s">
        <v>44</v>
      </c>
      <c r="D426" s="7">
        <v>46.1</v>
      </c>
    </row>
    <row r="427" spans="1:4" x14ac:dyDescent="0.2">
      <c r="A427" s="6" t="s">
        <v>12</v>
      </c>
      <c r="B427" s="6">
        <v>2019</v>
      </c>
      <c r="C427" s="6" t="s">
        <v>44</v>
      </c>
      <c r="D427" s="7">
        <v>32.799999999999997</v>
      </c>
    </row>
    <row r="428" spans="1:4" x14ac:dyDescent="0.2">
      <c r="A428" s="6" t="s">
        <v>13</v>
      </c>
      <c r="B428" s="6">
        <v>2019</v>
      </c>
      <c r="C428" s="6" t="s">
        <v>44</v>
      </c>
      <c r="D428" s="7">
        <v>60.8</v>
      </c>
    </row>
    <row r="429" spans="1:4" x14ac:dyDescent="0.2">
      <c r="A429" s="6" t="s">
        <v>14</v>
      </c>
      <c r="B429" s="6">
        <v>2019</v>
      </c>
      <c r="C429" s="6" t="s">
        <v>44</v>
      </c>
      <c r="D429" s="7">
        <v>47.2</v>
      </c>
    </row>
    <row r="430" spans="1:4" x14ac:dyDescent="0.2">
      <c r="A430" s="6" t="s">
        <v>15</v>
      </c>
      <c r="B430" s="6">
        <v>2019</v>
      </c>
      <c r="C430" s="6" t="s">
        <v>44</v>
      </c>
      <c r="D430" s="7">
        <v>73.2</v>
      </c>
    </row>
    <row r="431" spans="1:4" x14ac:dyDescent="0.2">
      <c r="A431" s="6" t="s">
        <v>16</v>
      </c>
      <c r="B431" s="6">
        <v>2019</v>
      </c>
      <c r="C431" s="6" t="s">
        <v>44</v>
      </c>
      <c r="D431" s="7">
        <v>96.3</v>
      </c>
    </row>
    <row r="432" spans="1:4" x14ac:dyDescent="0.2">
      <c r="A432" s="6" t="s">
        <v>17</v>
      </c>
      <c r="B432" s="6">
        <v>2019</v>
      </c>
      <c r="C432" s="6" t="s">
        <v>44</v>
      </c>
      <c r="D432" s="7">
        <v>111.8</v>
      </c>
    </row>
    <row r="433" spans="1:4" x14ac:dyDescent="0.2">
      <c r="A433" s="6" t="s">
        <v>18</v>
      </c>
      <c r="B433" s="6">
        <v>2019</v>
      </c>
      <c r="C433" s="6" t="s">
        <v>44</v>
      </c>
      <c r="D433" s="7">
        <v>17.5</v>
      </c>
    </row>
    <row r="434" spans="1:4" x14ac:dyDescent="0.2">
      <c r="A434" s="6" t="s">
        <v>19</v>
      </c>
      <c r="B434" s="6">
        <v>2019</v>
      </c>
      <c r="C434" s="6" t="s">
        <v>44</v>
      </c>
      <c r="D434" s="7">
        <v>36.6</v>
      </c>
    </row>
    <row r="435" spans="1:4" x14ac:dyDescent="0.2">
      <c r="A435" s="6" t="s">
        <v>20</v>
      </c>
      <c r="B435" s="6">
        <v>2019</v>
      </c>
      <c r="C435" s="6" t="s">
        <v>44</v>
      </c>
      <c r="D435" s="7">
        <v>117.8</v>
      </c>
    </row>
    <row r="436" spans="1:4" x14ac:dyDescent="0.2">
      <c r="A436" s="6" t="s">
        <v>21</v>
      </c>
      <c r="B436" s="6">
        <v>2019</v>
      </c>
      <c r="C436" s="6" t="s">
        <v>44</v>
      </c>
      <c r="D436" s="7">
        <v>33.700000000000003</v>
      </c>
    </row>
    <row r="437" spans="1:4" x14ac:dyDescent="0.2">
      <c r="A437" s="6" t="s">
        <v>22</v>
      </c>
      <c r="B437" s="6">
        <v>2019</v>
      </c>
      <c r="C437" s="6" t="s">
        <v>44</v>
      </c>
      <c r="D437" s="7">
        <v>34.4</v>
      </c>
    </row>
    <row r="438" spans="1:4" x14ac:dyDescent="0.2">
      <c r="A438" s="6" t="s">
        <v>23</v>
      </c>
      <c r="B438" s="6">
        <v>2019</v>
      </c>
      <c r="C438" s="6" t="s">
        <v>44</v>
      </c>
      <c r="D438" s="7">
        <v>63.9</v>
      </c>
    </row>
    <row r="439" spans="1:4" x14ac:dyDescent="0.2">
      <c r="A439" s="6" t="s">
        <v>24</v>
      </c>
      <c r="B439" s="6">
        <v>2019</v>
      </c>
      <c r="C439" s="6" t="s">
        <v>44</v>
      </c>
      <c r="D439" s="7">
        <v>40.9</v>
      </c>
    </row>
    <row r="440" spans="1:4" x14ac:dyDescent="0.2">
      <c r="A440" s="6" t="s">
        <v>25</v>
      </c>
      <c r="B440" s="6">
        <v>2019</v>
      </c>
      <c r="C440" s="6" t="s">
        <v>44</v>
      </c>
      <c r="D440" s="7">
        <v>62.6</v>
      </c>
    </row>
    <row r="441" spans="1:4" x14ac:dyDescent="0.2">
      <c r="A441" s="6" t="s">
        <v>26</v>
      </c>
      <c r="B441" s="6">
        <v>2019</v>
      </c>
      <c r="C441" s="6" t="s">
        <v>44</v>
      </c>
      <c r="D441" s="7">
        <v>64.400000000000006</v>
      </c>
    </row>
    <row r="442" spans="1:4" x14ac:dyDescent="0.2">
      <c r="A442" s="6" t="s">
        <v>27</v>
      </c>
      <c r="B442" s="6">
        <v>2019</v>
      </c>
      <c r="C442" s="6" t="s">
        <v>44</v>
      </c>
      <c r="D442" s="7">
        <v>108.1</v>
      </c>
    </row>
    <row r="443" spans="1:4" x14ac:dyDescent="0.2">
      <c r="A443" s="6" t="s">
        <v>28</v>
      </c>
      <c r="B443" s="6">
        <v>2019</v>
      </c>
      <c r="C443" s="6" t="s">
        <v>44</v>
      </c>
      <c r="D443" s="7">
        <v>146.9</v>
      </c>
    </row>
    <row r="444" spans="1:4" x14ac:dyDescent="0.2">
      <c r="A444" s="6" t="s">
        <v>29</v>
      </c>
      <c r="B444" s="6">
        <v>2019</v>
      </c>
      <c r="C444" s="6" t="s">
        <v>44</v>
      </c>
      <c r="D444" s="7">
        <v>123.5</v>
      </c>
    </row>
    <row r="445" spans="1:4" x14ac:dyDescent="0.2">
      <c r="A445" s="6" t="s">
        <v>30</v>
      </c>
      <c r="B445" s="6">
        <v>2019</v>
      </c>
      <c r="C445" s="6" t="s">
        <v>44</v>
      </c>
      <c r="D445" s="7">
        <v>93.4</v>
      </c>
    </row>
    <row r="446" spans="1:4" x14ac:dyDescent="0.2">
      <c r="A446" s="6" t="s">
        <v>31</v>
      </c>
      <c r="B446" s="6">
        <v>2019</v>
      </c>
      <c r="C446" s="6" t="s">
        <v>44</v>
      </c>
      <c r="D446" s="7">
        <v>68.599999999999994</v>
      </c>
    </row>
    <row r="447" spans="1:4" x14ac:dyDescent="0.2">
      <c r="A447" s="6" t="s">
        <v>32</v>
      </c>
      <c r="B447" s="6">
        <v>2019</v>
      </c>
      <c r="C447" s="6" t="s">
        <v>44</v>
      </c>
      <c r="D447" s="7">
        <v>100.8</v>
      </c>
    </row>
    <row r="448" spans="1:4" x14ac:dyDescent="0.2">
      <c r="A448" s="6" t="s">
        <v>33</v>
      </c>
      <c r="B448" s="6">
        <v>2019</v>
      </c>
      <c r="C448" s="6" t="s">
        <v>44</v>
      </c>
      <c r="D448" s="7">
        <v>52.5</v>
      </c>
    </row>
    <row r="449" spans="1:4" x14ac:dyDescent="0.2">
      <c r="A449" s="6" t="s">
        <v>34</v>
      </c>
      <c r="B449" s="6">
        <v>2019</v>
      </c>
      <c r="C449" s="6" t="s">
        <v>44</v>
      </c>
      <c r="D449" s="7">
        <v>24.4</v>
      </c>
    </row>
    <row r="450" spans="1:4" x14ac:dyDescent="0.2">
      <c r="A450" s="6" t="s">
        <v>35</v>
      </c>
      <c r="B450" s="6">
        <v>2019</v>
      </c>
      <c r="C450" s="6" t="s">
        <v>44</v>
      </c>
      <c r="D450" s="7">
        <v>65.3</v>
      </c>
    </row>
    <row r="451" spans="1:4" x14ac:dyDescent="0.2">
      <c r="A451" s="6" t="s">
        <v>36</v>
      </c>
      <c r="B451" s="6">
        <v>2019</v>
      </c>
      <c r="C451" s="6" t="s">
        <v>44</v>
      </c>
      <c r="D451" s="7">
        <v>26.8</v>
      </c>
    </row>
    <row r="452" spans="1:4" x14ac:dyDescent="0.2">
      <c r="A452" s="6" t="s">
        <v>37</v>
      </c>
      <c r="B452" s="6">
        <v>2019</v>
      </c>
      <c r="C452" s="6" t="s">
        <v>44</v>
      </c>
      <c r="D452" s="7">
        <v>62.5</v>
      </c>
    </row>
    <row r="453" spans="1:4" x14ac:dyDescent="0.2">
      <c r="A453" s="6" t="s">
        <v>38</v>
      </c>
      <c r="B453" s="6">
        <v>2019</v>
      </c>
      <c r="C453" s="6" t="s">
        <v>44</v>
      </c>
      <c r="D453" s="7">
        <v>61.5</v>
      </c>
    </row>
    <row r="454" spans="1:4" x14ac:dyDescent="0.2">
      <c r="A454" s="6" t="s">
        <v>39</v>
      </c>
      <c r="B454" s="6">
        <v>2019</v>
      </c>
      <c r="C454" s="6" t="s">
        <v>44</v>
      </c>
      <c r="D454" s="7">
        <v>39.799999999999997</v>
      </c>
    </row>
    <row r="455" spans="1:4" x14ac:dyDescent="0.2">
      <c r="A455" s="6" t="s">
        <v>40</v>
      </c>
      <c r="B455" s="6">
        <v>2019</v>
      </c>
      <c r="C455" s="6" t="s">
        <v>44</v>
      </c>
      <c r="D455" s="7">
        <v>93.5</v>
      </c>
    </row>
    <row r="456" spans="1:4" x14ac:dyDescent="0.2">
      <c r="A456" s="6" t="s">
        <v>41</v>
      </c>
      <c r="B456" s="6">
        <v>2019</v>
      </c>
      <c r="C456" s="6" t="s">
        <v>44</v>
      </c>
      <c r="D456" s="7">
        <v>105</v>
      </c>
    </row>
    <row r="457" spans="1:4" x14ac:dyDescent="0.2">
      <c r="A457" s="6" t="s">
        <v>42</v>
      </c>
      <c r="B457" s="6">
        <v>2019</v>
      </c>
      <c r="C457" s="6" t="s">
        <v>44</v>
      </c>
      <c r="D457" s="7">
        <v>84.3</v>
      </c>
    </row>
    <row r="458" spans="1:4" x14ac:dyDescent="0.2">
      <c r="A458" s="6" t="s">
        <v>4</v>
      </c>
      <c r="B458" s="6">
        <v>1999</v>
      </c>
      <c r="C458" s="6" t="s">
        <v>45</v>
      </c>
      <c r="D458" s="7">
        <v>358.7</v>
      </c>
    </row>
    <row r="459" spans="1:4" x14ac:dyDescent="0.2">
      <c r="A459" s="6" t="s">
        <v>6</v>
      </c>
      <c r="B459" s="6">
        <v>1999</v>
      </c>
      <c r="C459" s="6" t="s">
        <v>45</v>
      </c>
      <c r="D459" s="7">
        <v>237.8</v>
      </c>
    </row>
    <row r="460" spans="1:4" x14ac:dyDescent="0.2">
      <c r="A460" s="6" t="s">
        <v>7</v>
      </c>
      <c r="B460" s="6">
        <v>1999</v>
      </c>
      <c r="C460" s="6" t="s">
        <v>45</v>
      </c>
      <c r="D460" s="7">
        <v>194.7</v>
      </c>
    </row>
    <row r="461" spans="1:4" x14ac:dyDescent="0.2">
      <c r="A461" s="6" t="s">
        <v>8</v>
      </c>
      <c r="B461" s="6">
        <v>1999</v>
      </c>
      <c r="C461" s="6" t="s">
        <v>45</v>
      </c>
      <c r="D461" s="7">
        <v>145</v>
      </c>
    </row>
    <row r="462" spans="1:4" x14ac:dyDescent="0.2">
      <c r="A462" s="6" t="s">
        <v>9</v>
      </c>
      <c r="B462" s="6">
        <v>1999</v>
      </c>
      <c r="C462" s="6" t="s">
        <v>45</v>
      </c>
      <c r="D462" s="7">
        <v>446.7</v>
      </c>
    </row>
    <row r="463" spans="1:4" x14ac:dyDescent="0.2">
      <c r="A463" s="6" t="s">
        <v>10</v>
      </c>
      <c r="B463" s="6">
        <v>1999</v>
      </c>
      <c r="C463" s="6" t="s">
        <v>45</v>
      </c>
      <c r="D463" s="7">
        <v>117.3</v>
      </c>
    </row>
    <row r="464" spans="1:4" x14ac:dyDescent="0.2">
      <c r="A464" s="6" t="s">
        <v>11</v>
      </c>
      <c r="B464" s="6">
        <v>1999</v>
      </c>
      <c r="C464" s="6" t="s">
        <v>45</v>
      </c>
      <c r="D464" s="7">
        <v>102.9</v>
      </c>
    </row>
    <row r="465" spans="1:4" x14ac:dyDescent="0.2">
      <c r="A465" s="6" t="s">
        <v>12</v>
      </c>
      <c r="B465" s="6">
        <v>1999</v>
      </c>
      <c r="C465" s="6" t="s">
        <v>45</v>
      </c>
      <c r="D465" s="7">
        <v>117.1</v>
      </c>
    </row>
    <row r="466" spans="1:4" x14ac:dyDescent="0.2">
      <c r="A466" s="6" t="s">
        <v>13</v>
      </c>
      <c r="B466" s="6">
        <v>1999</v>
      </c>
      <c r="C466" s="6" t="s">
        <v>45</v>
      </c>
      <c r="D466" s="7">
        <v>165.2</v>
      </c>
    </row>
    <row r="467" spans="1:4" x14ac:dyDescent="0.2">
      <c r="A467" s="6" t="s">
        <v>14</v>
      </c>
      <c r="B467" s="6">
        <v>1999</v>
      </c>
      <c r="C467" s="6" t="s">
        <v>45</v>
      </c>
      <c r="D467" s="7">
        <v>128.1</v>
      </c>
    </row>
    <row r="468" spans="1:4" x14ac:dyDescent="0.2">
      <c r="A468" s="6" t="s">
        <v>15</v>
      </c>
      <c r="B468" s="6">
        <v>1999</v>
      </c>
      <c r="C468" s="6" t="s">
        <v>45</v>
      </c>
      <c r="D468" s="7">
        <v>183.3</v>
      </c>
    </row>
    <row r="469" spans="1:4" x14ac:dyDescent="0.2">
      <c r="A469" s="6" t="s">
        <v>16</v>
      </c>
      <c r="B469" s="6">
        <v>1999</v>
      </c>
      <c r="C469" s="6" t="s">
        <v>45</v>
      </c>
      <c r="D469" s="7">
        <v>314.39999999999998</v>
      </c>
    </row>
    <row r="470" spans="1:4" x14ac:dyDescent="0.2">
      <c r="A470" s="6" t="s">
        <v>17</v>
      </c>
      <c r="B470" s="6">
        <v>1999</v>
      </c>
      <c r="C470" s="6" t="s">
        <v>45</v>
      </c>
      <c r="D470" s="7">
        <v>245.7</v>
      </c>
    </row>
    <row r="471" spans="1:4" x14ac:dyDescent="0.2">
      <c r="A471" s="6" t="s">
        <v>18</v>
      </c>
      <c r="B471" s="6">
        <v>1999</v>
      </c>
      <c r="C471" s="6" t="s">
        <v>45</v>
      </c>
      <c r="D471" s="7">
        <v>83.7</v>
      </c>
    </row>
    <row r="472" spans="1:4" x14ac:dyDescent="0.2">
      <c r="A472" s="6" t="s">
        <v>19</v>
      </c>
      <c r="B472" s="6">
        <v>1999</v>
      </c>
      <c r="C472" s="6" t="s">
        <v>45</v>
      </c>
      <c r="D472" s="7">
        <v>234.4</v>
      </c>
    </row>
    <row r="473" spans="1:4" x14ac:dyDescent="0.2">
      <c r="A473" s="6" t="s">
        <v>20</v>
      </c>
      <c r="B473" s="6">
        <v>1999</v>
      </c>
      <c r="C473" s="6" t="s">
        <v>45</v>
      </c>
      <c r="D473" s="7">
        <v>424.2</v>
      </c>
    </row>
    <row r="474" spans="1:4" x14ac:dyDescent="0.2">
      <c r="A474" s="6" t="s">
        <v>21</v>
      </c>
      <c r="B474" s="6">
        <v>1999</v>
      </c>
      <c r="C474" s="6" t="s">
        <v>45</v>
      </c>
      <c r="D474" s="7">
        <v>97.4</v>
      </c>
    </row>
    <row r="475" spans="1:4" x14ac:dyDescent="0.2">
      <c r="A475" s="6" t="s">
        <v>22</v>
      </c>
      <c r="B475" s="6">
        <v>1999</v>
      </c>
      <c r="C475" s="6" t="s">
        <v>45</v>
      </c>
      <c r="D475" s="7">
        <v>125.5</v>
      </c>
    </row>
    <row r="476" spans="1:4" x14ac:dyDescent="0.2">
      <c r="A476" s="6" t="s">
        <v>23</v>
      </c>
      <c r="B476" s="6">
        <v>1999</v>
      </c>
      <c r="C476" s="6" t="s">
        <v>45</v>
      </c>
      <c r="D476" s="7">
        <v>186.6</v>
      </c>
    </row>
    <row r="477" spans="1:4" x14ac:dyDescent="0.2">
      <c r="A477" s="6" t="s">
        <v>24</v>
      </c>
      <c r="B477" s="6">
        <v>1999</v>
      </c>
      <c r="C477" s="6" t="s">
        <v>45</v>
      </c>
      <c r="D477" s="7">
        <v>147.4</v>
      </c>
    </row>
    <row r="478" spans="1:4" x14ac:dyDescent="0.2">
      <c r="A478" s="6" t="s">
        <v>25</v>
      </c>
      <c r="B478" s="6">
        <v>1999</v>
      </c>
      <c r="C478" s="6" t="s">
        <v>45</v>
      </c>
      <c r="D478" s="7">
        <v>221.5</v>
      </c>
    </row>
    <row r="479" spans="1:4" x14ac:dyDescent="0.2">
      <c r="A479" s="6" t="s">
        <v>26</v>
      </c>
      <c r="B479" s="6">
        <v>1999</v>
      </c>
      <c r="C479" s="6" t="s">
        <v>45</v>
      </c>
      <c r="D479" s="7">
        <v>182.8</v>
      </c>
    </row>
    <row r="480" spans="1:4" x14ac:dyDescent="0.2">
      <c r="A480" s="6" t="s">
        <v>27</v>
      </c>
      <c r="B480" s="6">
        <v>1999</v>
      </c>
      <c r="C480" s="6" t="s">
        <v>45</v>
      </c>
      <c r="D480" s="7">
        <v>239.3</v>
      </c>
    </row>
    <row r="481" spans="1:4" x14ac:dyDescent="0.2">
      <c r="A481" s="6" t="s">
        <v>28</v>
      </c>
      <c r="B481" s="6">
        <v>1999</v>
      </c>
      <c r="C481" s="6" t="s">
        <v>45</v>
      </c>
      <c r="D481" s="7">
        <v>557.4</v>
      </c>
    </row>
    <row r="482" spans="1:4" x14ac:dyDescent="0.2">
      <c r="A482" s="6" t="s">
        <v>29</v>
      </c>
      <c r="B482" s="6">
        <v>1999</v>
      </c>
      <c r="C482" s="6" t="s">
        <v>45</v>
      </c>
      <c r="D482" s="7">
        <v>423.5</v>
      </c>
    </row>
    <row r="483" spans="1:4" x14ac:dyDescent="0.2">
      <c r="A483" s="6" t="s">
        <v>30</v>
      </c>
      <c r="B483" s="6">
        <v>1999</v>
      </c>
      <c r="C483" s="6" t="s">
        <v>45</v>
      </c>
      <c r="D483" s="7">
        <v>251.1</v>
      </c>
    </row>
    <row r="484" spans="1:4" x14ac:dyDescent="0.2">
      <c r="A484" s="6" t="s">
        <v>31</v>
      </c>
      <c r="B484" s="6">
        <v>1999</v>
      </c>
      <c r="C484" s="6" t="s">
        <v>45</v>
      </c>
      <c r="D484" s="7">
        <v>191.9</v>
      </c>
    </row>
    <row r="485" spans="1:4" x14ac:dyDescent="0.2">
      <c r="A485" s="6" t="s">
        <v>32</v>
      </c>
      <c r="B485" s="6">
        <v>1999</v>
      </c>
      <c r="C485" s="6" t="s">
        <v>45</v>
      </c>
      <c r="D485" s="7">
        <v>363.3</v>
      </c>
    </row>
    <row r="486" spans="1:4" x14ac:dyDescent="0.2">
      <c r="A486" s="6" t="s">
        <v>33</v>
      </c>
      <c r="B486" s="6">
        <v>1999</v>
      </c>
      <c r="C486" s="6" t="s">
        <v>45</v>
      </c>
      <c r="D486" s="7">
        <v>142.19999999999999</v>
      </c>
    </row>
    <row r="487" spans="1:4" x14ac:dyDescent="0.2">
      <c r="A487" s="6" t="s">
        <v>34</v>
      </c>
      <c r="B487" s="6">
        <v>1999</v>
      </c>
      <c r="C487" s="6" t="s">
        <v>45</v>
      </c>
      <c r="D487" s="7">
        <v>49</v>
      </c>
    </row>
    <row r="488" spans="1:4" x14ac:dyDescent="0.2">
      <c r="A488" s="6" t="s">
        <v>35</v>
      </c>
      <c r="B488" s="6">
        <v>1999</v>
      </c>
      <c r="C488" s="6" t="s">
        <v>45</v>
      </c>
      <c r="D488" s="7">
        <v>197.9</v>
      </c>
    </row>
    <row r="489" spans="1:4" x14ac:dyDescent="0.2">
      <c r="A489" s="6" t="s">
        <v>36</v>
      </c>
      <c r="B489" s="6">
        <v>1999</v>
      </c>
      <c r="C489" s="6" t="s">
        <v>45</v>
      </c>
      <c r="D489" s="7">
        <v>100.5</v>
      </c>
    </row>
    <row r="490" spans="1:4" x14ac:dyDescent="0.2">
      <c r="A490" s="6" t="s">
        <v>37</v>
      </c>
      <c r="B490" s="6">
        <v>1999</v>
      </c>
      <c r="C490" s="6" t="s">
        <v>45</v>
      </c>
      <c r="D490" s="7">
        <v>0</v>
      </c>
    </row>
    <row r="491" spans="1:4" x14ac:dyDescent="0.2">
      <c r="A491" s="6" t="s">
        <v>38</v>
      </c>
      <c r="B491" s="6">
        <v>1999</v>
      </c>
      <c r="C491" s="6" t="s">
        <v>45</v>
      </c>
      <c r="D491" s="7">
        <v>0</v>
      </c>
    </row>
    <row r="492" spans="1:4" x14ac:dyDescent="0.2">
      <c r="A492" s="6" t="s">
        <v>39</v>
      </c>
      <c r="B492" s="6">
        <v>1999</v>
      </c>
      <c r="C492" s="6" t="s">
        <v>45</v>
      </c>
      <c r="D492" s="7">
        <v>0</v>
      </c>
    </row>
    <row r="493" spans="1:4" x14ac:dyDescent="0.2">
      <c r="A493" s="6" t="s">
        <v>40</v>
      </c>
      <c r="B493" s="6">
        <v>1999</v>
      </c>
      <c r="C493" s="6" t="s">
        <v>45</v>
      </c>
      <c r="D493" s="7">
        <v>252.5</v>
      </c>
    </row>
    <row r="494" spans="1:4" x14ac:dyDescent="0.2">
      <c r="A494" s="6" t="s">
        <v>41</v>
      </c>
      <c r="B494" s="6">
        <v>1999</v>
      </c>
      <c r="C494" s="6" t="s">
        <v>45</v>
      </c>
      <c r="D494" s="7">
        <v>325.10000000000002</v>
      </c>
    </row>
    <row r="495" spans="1:4" x14ac:dyDescent="0.2">
      <c r="A495" s="6" t="s">
        <v>42</v>
      </c>
      <c r="B495" s="6">
        <v>1999</v>
      </c>
      <c r="C495" s="6" t="s">
        <v>45</v>
      </c>
      <c r="D495" s="7">
        <v>218.8</v>
      </c>
    </row>
    <row r="496" spans="1:4" x14ac:dyDescent="0.2">
      <c r="A496" s="6" t="s">
        <v>4</v>
      </c>
      <c r="B496" s="6">
        <v>2011</v>
      </c>
      <c r="C496" s="6" t="s">
        <v>45</v>
      </c>
      <c r="D496" s="7">
        <v>435.40000000000003</v>
      </c>
    </row>
    <row r="497" spans="1:4" x14ac:dyDescent="0.2">
      <c r="A497" s="6" t="s">
        <v>6</v>
      </c>
      <c r="B497" s="6">
        <v>2011</v>
      </c>
      <c r="C497" s="6" t="s">
        <v>45</v>
      </c>
      <c r="D497" s="7">
        <v>307.5</v>
      </c>
    </row>
    <row r="498" spans="1:4" x14ac:dyDescent="0.2">
      <c r="A498" s="6" t="s">
        <v>7</v>
      </c>
      <c r="B498" s="6">
        <v>2011</v>
      </c>
      <c r="C498" s="6" t="s">
        <v>45</v>
      </c>
      <c r="D498" s="7">
        <v>264.60000000000002</v>
      </c>
    </row>
    <row r="499" spans="1:4" x14ac:dyDescent="0.2">
      <c r="A499" s="6" t="s">
        <v>8</v>
      </c>
      <c r="B499" s="6">
        <v>2011</v>
      </c>
      <c r="C499" s="6" t="s">
        <v>45</v>
      </c>
      <c r="D499" s="7">
        <v>182.9</v>
      </c>
    </row>
    <row r="500" spans="1:4" x14ac:dyDescent="0.2">
      <c r="A500" s="6" t="s">
        <v>9</v>
      </c>
      <c r="B500" s="6">
        <v>2011</v>
      </c>
      <c r="C500" s="6" t="s">
        <v>45</v>
      </c>
      <c r="D500" s="7">
        <v>583.29999999999995</v>
      </c>
    </row>
    <row r="501" spans="1:4" x14ac:dyDescent="0.2">
      <c r="A501" s="6" t="s">
        <v>10</v>
      </c>
      <c r="B501" s="6">
        <v>2011</v>
      </c>
      <c r="C501" s="6" t="s">
        <v>45</v>
      </c>
      <c r="D501" s="7">
        <v>136.6</v>
      </c>
    </row>
    <row r="502" spans="1:4" x14ac:dyDescent="0.2">
      <c r="A502" s="6" t="s">
        <v>11</v>
      </c>
      <c r="B502" s="6">
        <v>2011</v>
      </c>
      <c r="C502" s="6" t="s">
        <v>45</v>
      </c>
      <c r="D502" s="7">
        <v>114.2</v>
      </c>
    </row>
    <row r="503" spans="1:4" x14ac:dyDescent="0.2">
      <c r="A503" s="6" t="s">
        <v>12</v>
      </c>
      <c r="B503" s="6">
        <v>2011</v>
      </c>
      <c r="C503" s="6" t="s">
        <v>45</v>
      </c>
      <c r="D503" s="7">
        <v>118.2</v>
      </c>
    </row>
    <row r="504" spans="1:4" x14ac:dyDescent="0.2">
      <c r="A504" s="6" t="s">
        <v>13</v>
      </c>
      <c r="B504" s="6">
        <v>2011</v>
      </c>
      <c r="C504" s="6" t="s">
        <v>45</v>
      </c>
      <c r="D504" s="7">
        <v>209.7</v>
      </c>
    </row>
    <row r="505" spans="1:4" x14ac:dyDescent="0.2">
      <c r="A505" s="6" t="s">
        <v>14</v>
      </c>
      <c r="B505" s="6">
        <v>2011</v>
      </c>
      <c r="C505" s="6" t="s">
        <v>45</v>
      </c>
      <c r="D505" s="7">
        <v>156.4</v>
      </c>
    </row>
    <row r="506" spans="1:4" x14ac:dyDescent="0.2">
      <c r="A506" s="6" t="s">
        <v>15</v>
      </c>
      <c r="B506" s="6">
        <v>2011</v>
      </c>
      <c r="C506" s="6" t="s">
        <v>45</v>
      </c>
      <c r="D506" s="7">
        <v>213.70000000000002</v>
      </c>
    </row>
    <row r="507" spans="1:4" x14ac:dyDescent="0.2">
      <c r="A507" s="6" t="s">
        <v>16</v>
      </c>
      <c r="B507" s="6">
        <v>2011</v>
      </c>
      <c r="C507" s="6" t="s">
        <v>45</v>
      </c>
      <c r="D507" s="7">
        <v>413.9</v>
      </c>
    </row>
    <row r="508" spans="1:4" x14ac:dyDescent="0.2">
      <c r="A508" s="6" t="s">
        <v>17</v>
      </c>
      <c r="B508" s="6">
        <v>2011</v>
      </c>
      <c r="C508" s="6" t="s">
        <v>45</v>
      </c>
      <c r="D508" s="7">
        <v>300.7</v>
      </c>
    </row>
    <row r="509" spans="1:4" x14ac:dyDescent="0.2">
      <c r="A509" s="6" t="s">
        <v>18</v>
      </c>
      <c r="B509" s="6">
        <v>2011</v>
      </c>
      <c r="C509" s="6" t="s">
        <v>45</v>
      </c>
      <c r="D509" s="7">
        <v>87.1</v>
      </c>
    </row>
    <row r="510" spans="1:4" x14ac:dyDescent="0.2">
      <c r="A510" s="6" t="s">
        <v>19</v>
      </c>
      <c r="B510" s="6">
        <v>2011</v>
      </c>
      <c r="C510" s="6" t="s">
        <v>45</v>
      </c>
      <c r="D510" s="7">
        <v>263.8</v>
      </c>
    </row>
    <row r="511" spans="1:4" x14ac:dyDescent="0.2">
      <c r="A511" s="6" t="s">
        <v>20</v>
      </c>
      <c r="B511" s="6">
        <v>2011</v>
      </c>
      <c r="C511" s="6" t="s">
        <v>45</v>
      </c>
      <c r="D511" s="7">
        <v>520.69999999999993</v>
      </c>
    </row>
    <row r="512" spans="1:4" x14ac:dyDescent="0.2">
      <c r="A512" s="6" t="s">
        <v>21</v>
      </c>
      <c r="B512" s="6">
        <v>2011</v>
      </c>
      <c r="C512" s="6" t="s">
        <v>45</v>
      </c>
      <c r="D512" s="7">
        <v>114.9</v>
      </c>
    </row>
    <row r="513" spans="1:4" x14ac:dyDescent="0.2">
      <c r="A513" s="6" t="s">
        <v>22</v>
      </c>
      <c r="B513" s="6">
        <v>2011</v>
      </c>
      <c r="C513" s="6" t="s">
        <v>45</v>
      </c>
      <c r="D513" s="7">
        <v>152.5</v>
      </c>
    </row>
    <row r="514" spans="1:4" x14ac:dyDescent="0.2">
      <c r="A514" s="6" t="s">
        <v>23</v>
      </c>
      <c r="B514" s="6">
        <v>2011</v>
      </c>
      <c r="C514" s="6" t="s">
        <v>45</v>
      </c>
      <c r="D514" s="7">
        <v>201.8</v>
      </c>
    </row>
    <row r="515" spans="1:4" x14ac:dyDescent="0.2">
      <c r="A515" s="6" t="s">
        <v>24</v>
      </c>
      <c r="B515" s="6">
        <v>2011</v>
      </c>
      <c r="C515" s="6" t="s">
        <v>45</v>
      </c>
      <c r="D515" s="7">
        <v>159.80000000000001</v>
      </c>
    </row>
    <row r="516" spans="1:4" x14ac:dyDescent="0.2">
      <c r="A516" s="6" t="s">
        <v>25</v>
      </c>
      <c r="B516" s="6">
        <v>2011</v>
      </c>
      <c r="C516" s="6" t="s">
        <v>45</v>
      </c>
      <c r="D516" s="7">
        <v>244.6</v>
      </c>
    </row>
    <row r="517" spans="1:4" x14ac:dyDescent="0.2">
      <c r="A517" s="6" t="s">
        <v>26</v>
      </c>
      <c r="B517" s="6">
        <v>2011</v>
      </c>
      <c r="C517" s="6" t="s">
        <v>45</v>
      </c>
      <c r="D517" s="7">
        <v>220.79999999999998</v>
      </c>
    </row>
    <row r="518" spans="1:4" x14ac:dyDescent="0.2">
      <c r="A518" s="6" t="s">
        <v>27</v>
      </c>
      <c r="B518" s="6">
        <v>2011</v>
      </c>
      <c r="C518" s="6" t="s">
        <v>45</v>
      </c>
      <c r="D518" s="7">
        <v>297.39999999999998</v>
      </c>
    </row>
    <row r="519" spans="1:4" x14ac:dyDescent="0.2">
      <c r="A519" s="6" t="s">
        <v>28</v>
      </c>
      <c r="B519" s="6">
        <v>2011</v>
      </c>
      <c r="C519" s="6" t="s">
        <v>45</v>
      </c>
      <c r="D519" s="7">
        <v>616</v>
      </c>
    </row>
    <row r="520" spans="1:4" x14ac:dyDescent="0.2">
      <c r="A520" s="6" t="s">
        <v>29</v>
      </c>
      <c r="B520" s="6">
        <v>2011</v>
      </c>
      <c r="C520" s="6" t="s">
        <v>45</v>
      </c>
      <c r="D520" s="7">
        <v>510.4</v>
      </c>
    </row>
    <row r="521" spans="1:4" x14ac:dyDescent="0.2">
      <c r="A521" s="6" t="s">
        <v>30</v>
      </c>
      <c r="B521" s="6">
        <v>2011</v>
      </c>
      <c r="C521" s="6" t="s">
        <v>45</v>
      </c>
      <c r="D521" s="7">
        <v>284.3</v>
      </c>
    </row>
    <row r="522" spans="1:4" x14ac:dyDescent="0.2">
      <c r="A522" s="6" t="s">
        <v>31</v>
      </c>
      <c r="B522" s="6">
        <v>2011</v>
      </c>
      <c r="C522" s="6" t="s">
        <v>45</v>
      </c>
      <c r="D522" s="7">
        <v>218.3</v>
      </c>
    </row>
    <row r="523" spans="1:4" x14ac:dyDescent="0.2">
      <c r="A523" s="6" t="s">
        <v>32</v>
      </c>
      <c r="B523" s="6">
        <v>2011</v>
      </c>
      <c r="C523" s="6" t="s">
        <v>45</v>
      </c>
      <c r="D523" s="7">
        <v>366.6</v>
      </c>
    </row>
    <row r="524" spans="1:4" x14ac:dyDescent="0.2">
      <c r="A524" s="6" t="s">
        <v>33</v>
      </c>
      <c r="B524" s="6">
        <v>2011</v>
      </c>
      <c r="C524" s="6" t="s">
        <v>45</v>
      </c>
      <c r="D524" s="7">
        <v>174.9</v>
      </c>
    </row>
    <row r="525" spans="1:4" x14ac:dyDescent="0.2">
      <c r="A525" s="6" t="s">
        <v>34</v>
      </c>
      <c r="B525" s="6">
        <v>2011</v>
      </c>
      <c r="C525" s="6" t="s">
        <v>45</v>
      </c>
      <c r="D525" s="7">
        <v>67.599999999999994</v>
      </c>
    </row>
    <row r="526" spans="1:4" x14ac:dyDescent="0.2">
      <c r="A526" s="6" t="s">
        <v>35</v>
      </c>
      <c r="B526" s="6">
        <v>2011</v>
      </c>
      <c r="C526" s="6" t="s">
        <v>45</v>
      </c>
      <c r="D526" s="7">
        <v>228.89999999999998</v>
      </c>
    </row>
    <row r="527" spans="1:4" x14ac:dyDescent="0.2">
      <c r="A527" s="6" t="s">
        <v>36</v>
      </c>
      <c r="B527" s="6">
        <v>2011</v>
      </c>
      <c r="C527" s="6" t="s">
        <v>45</v>
      </c>
      <c r="D527" s="7">
        <v>108.6</v>
      </c>
    </row>
    <row r="528" spans="1:4" x14ac:dyDescent="0.2">
      <c r="A528" s="6" t="s">
        <v>37</v>
      </c>
      <c r="B528" s="6">
        <v>2011</v>
      </c>
      <c r="C528" s="6" t="s">
        <v>45</v>
      </c>
      <c r="D528" s="7">
        <v>173.6</v>
      </c>
    </row>
    <row r="529" spans="1:4" x14ac:dyDescent="0.2">
      <c r="A529" s="6" t="s">
        <v>38</v>
      </c>
      <c r="B529" s="6">
        <v>2011</v>
      </c>
      <c r="C529" s="6" t="s">
        <v>45</v>
      </c>
      <c r="D529" s="7">
        <v>158.19999999999999</v>
      </c>
    </row>
    <row r="530" spans="1:4" x14ac:dyDescent="0.2">
      <c r="A530" s="6" t="s">
        <v>39</v>
      </c>
      <c r="B530" s="6">
        <v>2011</v>
      </c>
      <c r="C530" s="6" t="s">
        <v>45</v>
      </c>
      <c r="D530" s="7">
        <v>122.9</v>
      </c>
    </row>
    <row r="531" spans="1:4" x14ac:dyDescent="0.2">
      <c r="A531" s="6" t="s">
        <v>40</v>
      </c>
      <c r="B531" s="6">
        <v>2011</v>
      </c>
      <c r="C531" s="6" t="s">
        <v>45</v>
      </c>
      <c r="D531" s="7">
        <v>256.60000000000002</v>
      </c>
    </row>
    <row r="532" spans="1:4" x14ac:dyDescent="0.2">
      <c r="A532" s="6" t="s">
        <v>41</v>
      </c>
      <c r="B532" s="6">
        <v>2011</v>
      </c>
      <c r="C532" s="6" t="s">
        <v>45</v>
      </c>
      <c r="D532" s="7">
        <v>345.59999999999997</v>
      </c>
    </row>
    <row r="533" spans="1:4" x14ac:dyDescent="0.2">
      <c r="A533" s="6" t="s">
        <v>42</v>
      </c>
      <c r="B533" s="6">
        <v>2011</v>
      </c>
      <c r="C533" s="6" t="s">
        <v>45</v>
      </c>
      <c r="D533" s="7">
        <v>235.7</v>
      </c>
    </row>
    <row r="534" spans="1:4" x14ac:dyDescent="0.2">
      <c r="A534" s="6" t="s">
        <v>4</v>
      </c>
      <c r="B534" s="6">
        <v>2012</v>
      </c>
      <c r="C534" s="6" t="s">
        <v>45</v>
      </c>
      <c r="D534" s="7">
        <v>421.8</v>
      </c>
    </row>
    <row r="535" spans="1:4" x14ac:dyDescent="0.2">
      <c r="A535" s="6" t="s">
        <v>6</v>
      </c>
      <c r="B535" s="6">
        <v>2012</v>
      </c>
      <c r="C535" s="6" t="s">
        <v>45</v>
      </c>
      <c r="D535" s="7">
        <v>312.39999999999998</v>
      </c>
    </row>
    <row r="536" spans="1:4" x14ac:dyDescent="0.2">
      <c r="A536" s="6" t="s">
        <v>7</v>
      </c>
      <c r="B536" s="6">
        <v>2012</v>
      </c>
      <c r="C536" s="6" t="s">
        <v>45</v>
      </c>
      <c r="D536" s="7">
        <v>265.2</v>
      </c>
    </row>
    <row r="537" spans="1:4" x14ac:dyDescent="0.2">
      <c r="A537" s="6" t="s">
        <v>8</v>
      </c>
      <c r="B537" s="6">
        <v>2012</v>
      </c>
      <c r="C537" s="6" t="s">
        <v>45</v>
      </c>
      <c r="D537" s="7">
        <v>181.2</v>
      </c>
    </row>
    <row r="538" spans="1:4" x14ac:dyDescent="0.2">
      <c r="A538" s="6" t="s">
        <v>9</v>
      </c>
      <c r="B538" s="6">
        <v>2012</v>
      </c>
      <c r="C538" s="6" t="s">
        <v>45</v>
      </c>
      <c r="D538" s="7">
        <v>593.1</v>
      </c>
    </row>
    <row r="539" spans="1:4" x14ac:dyDescent="0.2">
      <c r="A539" s="6" t="s">
        <v>10</v>
      </c>
      <c r="B539" s="6">
        <v>2012</v>
      </c>
      <c r="C539" s="6" t="s">
        <v>45</v>
      </c>
      <c r="D539" s="7">
        <v>139.69999999999999</v>
      </c>
    </row>
    <row r="540" spans="1:4" x14ac:dyDescent="0.2">
      <c r="A540" s="6" t="s">
        <v>11</v>
      </c>
      <c r="B540" s="6">
        <v>2012</v>
      </c>
      <c r="C540" s="6" t="s">
        <v>45</v>
      </c>
      <c r="D540" s="7">
        <v>121.8</v>
      </c>
    </row>
    <row r="541" spans="1:4" x14ac:dyDescent="0.2">
      <c r="A541" s="6" t="s">
        <v>12</v>
      </c>
      <c r="B541" s="6">
        <v>2012</v>
      </c>
      <c r="C541" s="6" t="s">
        <v>45</v>
      </c>
      <c r="D541" s="7">
        <v>117.8</v>
      </c>
    </row>
    <row r="542" spans="1:4" x14ac:dyDescent="0.2">
      <c r="A542" s="6" t="s">
        <v>13</v>
      </c>
      <c r="B542" s="6">
        <v>2012</v>
      </c>
      <c r="C542" s="6" t="s">
        <v>45</v>
      </c>
      <c r="D542" s="7">
        <v>215.7</v>
      </c>
    </row>
    <row r="543" spans="1:4" x14ac:dyDescent="0.2">
      <c r="A543" s="6" t="s">
        <v>14</v>
      </c>
      <c r="B543" s="6">
        <v>2012</v>
      </c>
      <c r="C543" s="6" t="s">
        <v>45</v>
      </c>
      <c r="D543" s="7">
        <v>155.9</v>
      </c>
    </row>
    <row r="544" spans="1:4" x14ac:dyDescent="0.2">
      <c r="A544" s="6" t="s">
        <v>15</v>
      </c>
      <c r="B544" s="6">
        <v>2012</v>
      </c>
      <c r="C544" s="6" t="s">
        <v>45</v>
      </c>
      <c r="D544" s="7">
        <v>211.29999999999998</v>
      </c>
    </row>
    <row r="545" spans="1:4" x14ac:dyDescent="0.2">
      <c r="A545" s="6" t="s">
        <v>16</v>
      </c>
      <c r="B545" s="6">
        <v>2012</v>
      </c>
      <c r="C545" s="6" t="s">
        <v>45</v>
      </c>
      <c r="D545" s="7">
        <v>442</v>
      </c>
    </row>
    <row r="546" spans="1:4" x14ac:dyDescent="0.2">
      <c r="A546" s="6" t="s">
        <v>17</v>
      </c>
      <c r="B546" s="6">
        <v>2012</v>
      </c>
      <c r="C546" s="6" t="s">
        <v>45</v>
      </c>
      <c r="D546" s="7">
        <v>295.60000000000002</v>
      </c>
    </row>
    <row r="547" spans="1:4" x14ac:dyDescent="0.2">
      <c r="A547" s="6" t="s">
        <v>18</v>
      </c>
      <c r="B547" s="6">
        <v>2012</v>
      </c>
      <c r="C547" s="6" t="s">
        <v>45</v>
      </c>
      <c r="D547" s="7">
        <v>92.1</v>
      </c>
    </row>
    <row r="548" spans="1:4" x14ac:dyDescent="0.2">
      <c r="A548" s="6" t="s">
        <v>19</v>
      </c>
      <c r="B548" s="6">
        <v>2012</v>
      </c>
      <c r="C548" s="6" t="s">
        <v>45</v>
      </c>
      <c r="D548" s="7">
        <v>273.10000000000002</v>
      </c>
    </row>
    <row r="549" spans="1:4" x14ac:dyDescent="0.2">
      <c r="A549" s="6" t="s">
        <v>20</v>
      </c>
      <c r="B549" s="6">
        <v>2012</v>
      </c>
      <c r="C549" s="6" t="s">
        <v>45</v>
      </c>
      <c r="D549" s="7">
        <v>514.5</v>
      </c>
    </row>
    <row r="550" spans="1:4" x14ac:dyDescent="0.2">
      <c r="A550" s="6" t="s">
        <v>21</v>
      </c>
      <c r="B550" s="6">
        <v>2012</v>
      </c>
      <c r="C550" s="6" t="s">
        <v>45</v>
      </c>
      <c r="D550" s="7">
        <v>107.19999999999999</v>
      </c>
    </row>
    <row r="551" spans="1:4" x14ac:dyDescent="0.2">
      <c r="A551" s="6" t="s">
        <v>22</v>
      </c>
      <c r="B551" s="6">
        <v>2012</v>
      </c>
      <c r="C551" s="6" t="s">
        <v>45</v>
      </c>
      <c r="D551" s="7">
        <v>147.5</v>
      </c>
    </row>
    <row r="552" spans="1:4" x14ac:dyDescent="0.2">
      <c r="A552" s="6" t="s">
        <v>23</v>
      </c>
      <c r="B552" s="6">
        <v>2012</v>
      </c>
      <c r="C552" s="6" t="s">
        <v>45</v>
      </c>
      <c r="D552" s="7">
        <v>196</v>
      </c>
    </row>
    <row r="553" spans="1:4" x14ac:dyDescent="0.2">
      <c r="A553" s="6" t="s">
        <v>24</v>
      </c>
      <c r="B553" s="6">
        <v>2012</v>
      </c>
      <c r="C553" s="6" t="s">
        <v>45</v>
      </c>
      <c r="D553" s="7">
        <v>161.80000000000001</v>
      </c>
    </row>
    <row r="554" spans="1:4" x14ac:dyDescent="0.2">
      <c r="A554" s="6" t="s">
        <v>25</v>
      </c>
      <c r="B554" s="6">
        <v>2012</v>
      </c>
      <c r="C554" s="6" t="s">
        <v>45</v>
      </c>
      <c r="D554" s="7">
        <v>251.5</v>
      </c>
    </row>
    <row r="555" spans="1:4" x14ac:dyDescent="0.2">
      <c r="A555" s="6" t="s">
        <v>26</v>
      </c>
      <c r="B555" s="6">
        <v>2012</v>
      </c>
      <c r="C555" s="6" t="s">
        <v>45</v>
      </c>
      <c r="D555" s="7">
        <v>221.39999999999998</v>
      </c>
    </row>
    <row r="556" spans="1:4" x14ac:dyDescent="0.2">
      <c r="A556" s="6" t="s">
        <v>27</v>
      </c>
      <c r="B556" s="6">
        <v>2012</v>
      </c>
      <c r="C556" s="6" t="s">
        <v>45</v>
      </c>
      <c r="D556" s="7">
        <v>292</v>
      </c>
    </row>
    <row r="557" spans="1:4" x14ac:dyDescent="0.2">
      <c r="A557" s="6" t="s">
        <v>28</v>
      </c>
      <c r="B557" s="6">
        <v>2012</v>
      </c>
      <c r="C557" s="6" t="s">
        <v>45</v>
      </c>
      <c r="D557" s="7">
        <v>631.09999999999991</v>
      </c>
    </row>
    <row r="558" spans="1:4" x14ac:dyDescent="0.2">
      <c r="A558" s="6" t="s">
        <v>29</v>
      </c>
      <c r="B558" s="6">
        <v>2012</v>
      </c>
      <c r="C558" s="6" t="s">
        <v>45</v>
      </c>
      <c r="D558" s="7">
        <v>500.40000000000003</v>
      </c>
    </row>
    <row r="559" spans="1:4" x14ac:dyDescent="0.2">
      <c r="A559" s="6" t="s">
        <v>30</v>
      </c>
      <c r="B559" s="6">
        <v>2012</v>
      </c>
      <c r="C559" s="6" t="s">
        <v>45</v>
      </c>
      <c r="D559" s="7">
        <v>296.5</v>
      </c>
    </row>
    <row r="560" spans="1:4" x14ac:dyDescent="0.2">
      <c r="A560" s="6" t="s">
        <v>31</v>
      </c>
      <c r="B560" s="6">
        <v>2012</v>
      </c>
      <c r="C560" s="6" t="s">
        <v>45</v>
      </c>
      <c r="D560" s="7">
        <v>233.10000000000002</v>
      </c>
    </row>
    <row r="561" spans="1:4" x14ac:dyDescent="0.2">
      <c r="A561" s="6" t="s">
        <v>32</v>
      </c>
      <c r="B561" s="6">
        <v>2012</v>
      </c>
      <c r="C561" s="6" t="s">
        <v>45</v>
      </c>
      <c r="D561" s="7">
        <v>389.4</v>
      </c>
    </row>
    <row r="562" spans="1:4" x14ac:dyDescent="0.2">
      <c r="A562" s="6" t="s">
        <v>33</v>
      </c>
      <c r="B562" s="6">
        <v>2012</v>
      </c>
      <c r="C562" s="6" t="s">
        <v>45</v>
      </c>
      <c r="D562" s="7">
        <v>175.3</v>
      </c>
    </row>
    <row r="563" spans="1:4" x14ac:dyDescent="0.2">
      <c r="A563" s="6" t="s">
        <v>34</v>
      </c>
      <c r="B563" s="6">
        <v>2012</v>
      </c>
      <c r="C563" s="6" t="s">
        <v>45</v>
      </c>
      <c r="D563" s="7">
        <v>68.3</v>
      </c>
    </row>
    <row r="564" spans="1:4" x14ac:dyDescent="0.2">
      <c r="A564" s="6" t="s">
        <v>35</v>
      </c>
      <c r="B564" s="6">
        <v>2012</v>
      </c>
      <c r="C564" s="6" t="s">
        <v>45</v>
      </c>
      <c r="D564" s="7">
        <v>221.2</v>
      </c>
    </row>
    <row r="565" spans="1:4" x14ac:dyDescent="0.2">
      <c r="A565" s="6" t="s">
        <v>36</v>
      </c>
      <c r="B565" s="6">
        <v>2012</v>
      </c>
      <c r="C565" s="6" t="s">
        <v>45</v>
      </c>
      <c r="D565" s="7">
        <v>107.39999999999999</v>
      </c>
    </row>
    <row r="566" spans="1:4" x14ac:dyDescent="0.2">
      <c r="A566" s="6" t="s">
        <v>37</v>
      </c>
      <c r="B566" s="6">
        <v>2012</v>
      </c>
      <c r="C566" s="6" t="s">
        <v>45</v>
      </c>
      <c r="D566" s="7">
        <v>170.60000000000002</v>
      </c>
    </row>
    <row r="567" spans="1:4" x14ac:dyDescent="0.2">
      <c r="A567" s="6" t="s">
        <v>38</v>
      </c>
      <c r="B567" s="6">
        <v>2012</v>
      </c>
      <c r="C567" s="6" t="s">
        <v>45</v>
      </c>
      <c r="D567" s="7">
        <v>160.69999999999999</v>
      </c>
    </row>
    <row r="568" spans="1:4" x14ac:dyDescent="0.2">
      <c r="A568" s="6" t="s">
        <v>39</v>
      </c>
      <c r="B568" s="6">
        <v>2012</v>
      </c>
      <c r="C568" s="6" t="s">
        <v>45</v>
      </c>
      <c r="D568" s="7">
        <v>126.5</v>
      </c>
    </row>
    <row r="569" spans="1:4" x14ac:dyDescent="0.2">
      <c r="A569" s="6" t="s">
        <v>40</v>
      </c>
      <c r="B569" s="6">
        <v>2012</v>
      </c>
      <c r="C569" s="6" t="s">
        <v>45</v>
      </c>
      <c r="D569" s="7">
        <v>250.20000000000002</v>
      </c>
    </row>
    <row r="570" spans="1:4" x14ac:dyDescent="0.2">
      <c r="A570" s="6" t="s">
        <v>41</v>
      </c>
      <c r="B570" s="6">
        <v>2012</v>
      </c>
      <c r="C570" s="6" t="s">
        <v>45</v>
      </c>
      <c r="D570" s="7">
        <v>354.59999999999997</v>
      </c>
    </row>
    <row r="571" spans="1:4" x14ac:dyDescent="0.2">
      <c r="A571" s="6" t="s">
        <v>42</v>
      </c>
      <c r="B571" s="6">
        <v>2012</v>
      </c>
      <c r="C571" s="6" t="s">
        <v>45</v>
      </c>
      <c r="D571" s="7">
        <v>227.79999999999998</v>
      </c>
    </row>
    <row r="572" spans="1:4" x14ac:dyDescent="0.2">
      <c r="A572" s="6" t="s">
        <v>4</v>
      </c>
      <c r="B572" s="6">
        <v>2019</v>
      </c>
      <c r="C572" s="6" t="s">
        <v>45</v>
      </c>
      <c r="D572" s="7">
        <v>507.5</v>
      </c>
    </row>
    <row r="573" spans="1:4" x14ac:dyDescent="0.2">
      <c r="A573" s="6" t="s">
        <v>6</v>
      </c>
      <c r="B573" s="6">
        <v>2019</v>
      </c>
      <c r="C573" s="6" t="s">
        <v>45</v>
      </c>
      <c r="D573" s="7">
        <v>364.2</v>
      </c>
    </row>
    <row r="574" spans="1:4" x14ac:dyDescent="0.2">
      <c r="A574" s="6" t="s">
        <v>7</v>
      </c>
      <c r="B574" s="6">
        <v>2019</v>
      </c>
      <c r="C574" s="6" t="s">
        <v>45</v>
      </c>
      <c r="D574" s="7">
        <v>264.5</v>
      </c>
    </row>
    <row r="575" spans="1:4" x14ac:dyDescent="0.2">
      <c r="A575" s="6" t="s">
        <v>8</v>
      </c>
      <c r="B575" s="6">
        <v>2019</v>
      </c>
      <c r="C575" s="6" t="s">
        <v>45</v>
      </c>
      <c r="D575" s="7">
        <v>207.9</v>
      </c>
    </row>
    <row r="576" spans="1:4" x14ac:dyDescent="0.2">
      <c r="A576" s="6" t="s">
        <v>9</v>
      </c>
      <c r="B576" s="6">
        <v>2019</v>
      </c>
      <c r="C576" s="6" t="s">
        <v>45</v>
      </c>
      <c r="D576" s="7">
        <v>651.30000000000007</v>
      </c>
    </row>
    <row r="577" spans="1:4" x14ac:dyDescent="0.2">
      <c r="A577" s="6" t="s">
        <v>10</v>
      </c>
      <c r="B577" s="6">
        <v>2019</v>
      </c>
      <c r="C577" s="6" t="s">
        <v>45</v>
      </c>
      <c r="D577" s="7">
        <v>148.4</v>
      </c>
    </row>
    <row r="578" spans="1:4" x14ac:dyDescent="0.2">
      <c r="A578" s="6" t="s">
        <v>11</v>
      </c>
      <c r="B578" s="6">
        <v>2019</v>
      </c>
      <c r="C578" s="6" t="s">
        <v>45</v>
      </c>
      <c r="D578" s="7">
        <v>124.4</v>
      </c>
    </row>
    <row r="579" spans="1:4" x14ac:dyDescent="0.2">
      <c r="A579" s="6" t="s">
        <v>12</v>
      </c>
      <c r="B579" s="6">
        <v>2019</v>
      </c>
      <c r="C579" s="6" t="s">
        <v>45</v>
      </c>
      <c r="D579" s="7">
        <v>125.19999999999999</v>
      </c>
    </row>
    <row r="580" spans="1:4" x14ac:dyDescent="0.2">
      <c r="A580" s="6" t="s">
        <v>13</v>
      </c>
      <c r="B580" s="6">
        <v>2019</v>
      </c>
      <c r="C580" s="6" t="s">
        <v>45</v>
      </c>
      <c r="D580" s="7">
        <v>225.8</v>
      </c>
    </row>
    <row r="581" spans="1:4" x14ac:dyDescent="0.2">
      <c r="A581" s="6" t="s">
        <v>14</v>
      </c>
      <c r="B581" s="6">
        <v>2019</v>
      </c>
      <c r="C581" s="6" t="s">
        <v>45</v>
      </c>
      <c r="D581" s="7">
        <v>171.5</v>
      </c>
    </row>
    <row r="582" spans="1:4" x14ac:dyDescent="0.2">
      <c r="A582" s="6" t="s">
        <v>15</v>
      </c>
      <c r="B582" s="6">
        <v>2019</v>
      </c>
      <c r="C582" s="6" t="s">
        <v>45</v>
      </c>
      <c r="D582" s="7">
        <v>234.79999999999998</v>
      </c>
    </row>
    <row r="583" spans="1:4" x14ac:dyDescent="0.2">
      <c r="A583" s="6" t="s">
        <v>16</v>
      </c>
      <c r="B583" s="6">
        <v>2019</v>
      </c>
      <c r="C583" s="6" t="s">
        <v>45</v>
      </c>
      <c r="D583" s="7">
        <v>512.70000000000005</v>
      </c>
    </row>
    <row r="584" spans="1:4" x14ac:dyDescent="0.2">
      <c r="A584" s="6" t="s">
        <v>17</v>
      </c>
      <c r="B584" s="6">
        <v>2019</v>
      </c>
      <c r="C584" s="6" t="s">
        <v>45</v>
      </c>
      <c r="D584" s="7">
        <v>302.3</v>
      </c>
    </row>
    <row r="585" spans="1:4" x14ac:dyDescent="0.2">
      <c r="A585" s="6" t="s">
        <v>18</v>
      </c>
      <c r="B585" s="6">
        <v>2019</v>
      </c>
      <c r="C585" s="6" t="s">
        <v>45</v>
      </c>
      <c r="D585" s="7">
        <v>96.2</v>
      </c>
    </row>
    <row r="586" spans="1:4" x14ac:dyDescent="0.2">
      <c r="A586" s="6" t="s">
        <v>19</v>
      </c>
      <c r="B586" s="6">
        <v>2019</v>
      </c>
      <c r="C586" s="6" t="s">
        <v>45</v>
      </c>
      <c r="D586" s="7">
        <v>304.89999999999998</v>
      </c>
    </row>
    <row r="587" spans="1:4" x14ac:dyDescent="0.2">
      <c r="A587" s="6" t="s">
        <v>20</v>
      </c>
      <c r="B587" s="6">
        <v>2019</v>
      </c>
      <c r="C587" s="6" t="s">
        <v>45</v>
      </c>
      <c r="D587" s="7">
        <v>584.6</v>
      </c>
    </row>
    <row r="588" spans="1:4" x14ac:dyDescent="0.2">
      <c r="A588" s="6" t="s">
        <v>21</v>
      </c>
      <c r="B588" s="6">
        <v>2019</v>
      </c>
      <c r="C588" s="6" t="s">
        <v>45</v>
      </c>
      <c r="D588" s="7">
        <v>121.8</v>
      </c>
    </row>
    <row r="589" spans="1:4" x14ac:dyDescent="0.2">
      <c r="A589" s="6" t="s">
        <v>22</v>
      </c>
      <c r="B589" s="6">
        <v>2019</v>
      </c>
      <c r="C589" s="6" t="s">
        <v>45</v>
      </c>
      <c r="D589" s="7">
        <v>152</v>
      </c>
    </row>
    <row r="590" spans="1:4" x14ac:dyDescent="0.2">
      <c r="A590" s="6" t="s">
        <v>23</v>
      </c>
      <c r="B590" s="6">
        <v>2019</v>
      </c>
      <c r="C590" s="6" t="s">
        <v>45</v>
      </c>
      <c r="D590" s="7">
        <v>195.9</v>
      </c>
    </row>
    <row r="591" spans="1:4" x14ac:dyDescent="0.2">
      <c r="A591" s="6" t="s">
        <v>24</v>
      </c>
      <c r="B591" s="6">
        <v>2019</v>
      </c>
      <c r="C591" s="6" t="s">
        <v>45</v>
      </c>
      <c r="D591" s="7">
        <v>171.70000000000002</v>
      </c>
    </row>
    <row r="592" spans="1:4" x14ac:dyDescent="0.2">
      <c r="A592" s="6" t="s">
        <v>25</v>
      </c>
      <c r="B592" s="6">
        <v>2019</v>
      </c>
      <c r="C592" s="6" t="s">
        <v>45</v>
      </c>
      <c r="D592" s="7">
        <v>272.60000000000002</v>
      </c>
    </row>
    <row r="593" spans="1:4" x14ac:dyDescent="0.2">
      <c r="A593" s="6" t="s">
        <v>26</v>
      </c>
      <c r="B593" s="6">
        <v>2019</v>
      </c>
      <c r="C593" s="6" t="s">
        <v>45</v>
      </c>
      <c r="D593" s="7">
        <v>231.7</v>
      </c>
    </row>
    <row r="594" spans="1:4" x14ac:dyDescent="0.2">
      <c r="A594" s="6" t="s">
        <v>27</v>
      </c>
      <c r="B594" s="6">
        <v>2019</v>
      </c>
      <c r="C594" s="6" t="s">
        <v>45</v>
      </c>
      <c r="D594" s="7">
        <v>321.7</v>
      </c>
    </row>
    <row r="595" spans="1:4" x14ac:dyDescent="0.2">
      <c r="A595" s="6" t="s">
        <v>28</v>
      </c>
      <c r="B595" s="6">
        <v>2019</v>
      </c>
      <c r="C595" s="6" t="s">
        <v>45</v>
      </c>
      <c r="D595" s="7">
        <v>670.19999999999993</v>
      </c>
    </row>
    <row r="596" spans="1:4" x14ac:dyDescent="0.2">
      <c r="A596" s="6" t="s">
        <v>29</v>
      </c>
      <c r="B596" s="6">
        <v>2019</v>
      </c>
      <c r="C596" s="6" t="s">
        <v>45</v>
      </c>
      <c r="D596" s="7">
        <v>567.70000000000005</v>
      </c>
    </row>
    <row r="597" spans="1:4" x14ac:dyDescent="0.2">
      <c r="A597" s="6" t="s">
        <v>30</v>
      </c>
      <c r="B597" s="6">
        <v>2019</v>
      </c>
      <c r="C597" s="6" t="s">
        <v>45</v>
      </c>
      <c r="D597" s="7">
        <v>330.1</v>
      </c>
    </row>
    <row r="598" spans="1:4" x14ac:dyDescent="0.2">
      <c r="A598" s="6" t="s">
        <v>31</v>
      </c>
      <c r="B598" s="6">
        <v>2019</v>
      </c>
      <c r="C598" s="6" t="s">
        <v>45</v>
      </c>
      <c r="D598" s="7">
        <v>258.10000000000002</v>
      </c>
    </row>
    <row r="599" spans="1:4" x14ac:dyDescent="0.2">
      <c r="A599" s="6" t="s">
        <v>32</v>
      </c>
      <c r="B599" s="6">
        <v>2019</v>
      </c>
      <c r="C599" s="6" t="s">
        <v>45</v>
      </c>
      <c r="D599" s="7">
        <v>440.6</v>
      </c>
    </row>
    <row r="600" spans="1:4" x14ac:dyDescent="0.2">
      <c r="A600" s="6" t="s">
        <v>33</v>
      </c>
      <c r="B600" s="6">
        <v>2019</v>
      </c>
      <c r="C600" s="6" t="s">
        <v>45</v>
      </c>
      <c r="D600" s="7">
        <v>190.6</v>
      </c>
    </row>
    <row r="601" spans="1:4" x14ac:dyDescent="0.2">
      <c r="A601" s="6" t="s">
        <v>34</v>
      </c>
      <c r="B601" s="6">
        <v>2019</v>
      </c>
      <c r="C601" s="6" t="s">
        <v>45</v>
      </c>
      <c r="D601" s="7">
        <v>62.7</v>
      </c>
    </row>
    <row r="602" spans="1:4" x14ac:dyDescent="0.2">
      <c r="A602" s="6" t="s">
        <v>35</v>
      </c>
      <c r="B602" s="6">
        <v>2019</v>
      </c>
      <c r="C602" s="6" t="s">
        <v>45</v>
      </c>
      <c r="D602" s="7">
        <v>259.8</v>
      </c>
    </row>
    <row r="603" spans="1:4" x14ac:dyDescent="0.2">
      <c r="A603" s="6" t="s">
        <v>36</v>
      </c>
      <c r="B603" s="6">
        <v>2019</v>
      </c>
      <c r="C603" s="6" t="s">
        <v>45</v>
      </c>
      <c r="D603" s="7">
        <v>113.3</v>
      </c>
    </row>
    <row r="604" spans="1:4" x14ac:dyDescent="0.2">
      <c r="A604" s="6" t="s">
        <v>37</v>
      </c>
      <c r="B604" s="6">
        <v>2019</v>
      </c>
      <c r="C604" s="6" t="s">
        <v>45</v>
      </c>
      <c r="D604" s="7">
        <v>175.5</v>
      </c>
    </row>
    <row r="605" spans="1:4" x14ac:dyDescent="0.2">
      <c r="A605" s="6" t="s">
        <v>38</v>
      </c>
      <c r="B605" s="6">
        <v>2019</v>
      </c>
      <c r="C605" s="6" t="s">
        <v>45</v>
      </c>
      <c r="D605" s="7">
        <v>143.19999999999999</v>
      </c>
    </row>
    <row r="606" spans="1:4" x14ac:dyDescent="0.2">
      <c r="A606" s="6" t="s">
        <v>39</v>
      </c>
      <c r="B606" s="6">
        <v>2019</v>
      </c>
      <c r="C606" s="6" t="s">
        <v>45</v>
      </c>
      <c r="D606" s="7">
        <v>138.4</v>
      </c>
    </row>
    <row r="607" spans="1:4" x14ac:dyDescent="0.2">
      <c r="A607" s="6" t="s">
        <v>40</v>
      </c>
      <c r="B607" s="6">
        <v>2019</v>
      </c>
      <c r="C607" s="6" t="s">
        <v>45</v>
      </c>
      <c r="D607" s="7">
        <v>249.4</v>
      </c>
    </row>
    <row r="608" spans="1:4" x14ac:dyDescent="0.2">
      <c r="A608" s="6" t="s">
        <v>41</v>
      </c>
      <c r="B608" s="6">
        <v>2019</v>
      </c>
      <c r="C608" s="6" t="s">
        <v>45</v>
      </c>
      <c r="D608" s="7">
        <v>383.20000000000005</v>
      </c>
    </row>
    <row r="609" spans="1:4" x14ac:dyDescent="0.2">
      <c r="A609" s="6" t="s">
        <v>42</v>
      </c>
      <c r="B609" s="6">
        <v>2019</v>
      </c>
      <c r="C609" s="6" t="s">
        <v>45</v>
      </c>
      <c r="D609" s="7">
        <v>237</v>
      </c>
    </row>
    <row r="610" spans="1:4" x14ac:dyDescent="0.2">
      <c r="A610" s="6" t="s">
        <v>4</v>
      </c>
      <c r="B610" s="6">
        <v>1999</v>
      </c>
      <c r="C610" s="6" t="s">
        <v>46</v>
      </c>
      <c r="D610" s="7">
        <v>194.7</v>
      </c>
    </row>
    <row r="611" spans="1:4" x14ac:dyDescent="0.2">
      <c r="A611" s="6" t="s">
        <v>6</v>
      </c>
      <c r="B611" s="6">
        <v>1999</v>
      </c>
      <c r="C611" s="6" t="s">
        <v>46</v>
      </c>
      <c r="D611" s="7">
        <v>135.19999999999999</v>
      </c>
    </row>
    <row r="612" spans="1:4" x14ac:dyDescent="0.2">
      <c r="A612" s="6" t="s">
        <v>7</v>
      </c>
      <c r="B612" s="6">
        <v>1999</v>
      </c>
      <c r="C612" s="6" t="s">
        <v>46</v>
      </c>
      <c r="D612" s="7">
        <v>86.6</v>
      </c>
    </row>
    <row r="613" spans="1:4" x14ac:dyDescent="0.2">
      <c r="A613" s="6" t="s">
        <v>8</v>
      </c>
      <c r="B613" s="6">
        <v>1999</v>
      </c>
      <c r="C613" s="6" t="s">
        <v>46</v>
      </c>
      <c r="D613" s="7">
        <v>71.8</v>
      </c>
    </row>
    <row r="614" spans="1:4" x14ac:dyDescent="0.2">
      <c r="A614" s="6" t="s">
        <v>9</v>
      </c>
      <c r="B614" s="6">
        <v>1999</v>
      </c>
      <c r="C614" s="6" t="s">
        <v>46</v>
      </c>
      <c r="D614" s="7">
        <v>331.9</v>
      </c>
    </row>
    <row r="615" spans="1:4" x14ac:dyDescent="0.2">
      <c r="A615" s="6" t="s">
        <v>10</v>
      </c>
      <c r="B615" s="6">
        <v>1999</v>
      </c>
      <c r="C615" s="6" t="s">
        <v>46</v>
      </c>
      <c r="D615" s="7">
        <v>48.8</v>
      </c>
    </row>
    <row r="616" spans="1:4" x14ac:dyDescent="0.2">
      <c r="A616" s="6" t="s">
        <v>11</v>
      </c>
      <c r="B616" s="6">
        <v>1999</v>
      </c>
      <c r="C616" s="6" t="s">
        <v>46</v>
      </c>
      <c r="D616" s="7">
        <v>39.9</v>
      </c>
    </row>
    <row r="617" spans="1:4" x14ac:dyDescent="0.2">
      <c r="A617" s="6" t="s">
        <v>12</v>
      </c>
      <c r="B617" s="6">
        <v>1999</v>
      </c>
      <c r="C617" s="6" t="s">
        <v>46</v>
      </c>
      <c r="D617" s="7">
        <v>48.6</v>
      </c>
    </row>
    <row r="618" spans="1:4" x14ac:dyDescent="0.2">
      <c r="A618" s="6" t="s">
        <v>13</v>
      </c>
      <c r="B618" s="6">
        <v>1999</v>
      </c>
      <c r="C618" s="6" t="s">
        <v>46</v>
      </c>
      <c r="D618" s="7">
        <v>91.8</v>
      </c>
    </row>
    <row r="619" spans="1:4" x14ac:dyDescent="0.2">
      <c r="A619" s="6" t="s">
        <v>14</v>
      </c>
      <c r="B619" s="6">
        <v>1999</v>
      </c>
      <c r="C619" s="6" t="s">
        <v>46</v>
      </c>
      <c r="D619" s="7">
        <v>53.5</v>
      </c>
    </row>
    <row r="620" spans="1:4" x14ac:dyDescent="0.2">
      <c r="A620" s="6" t="s">
        <v>15</v>
      </c>
      <c r="B620" s="6">
        <v>1999</v>
      </c>
      <c r="C620" s="6" t="s">
        <v>46</v>
      </c>
      <c r="D620" s="7">
        <v>77.3</v>
      </c>
    </row>
    <row r="621" spans="1:4" x14ac:dyDescent="0.2">
      <c r="A621" s="6" t="s">
        <v>16</v>
      </c>
      <c r="B621" s="6">
        <v>1999</v>
      </c>
      <c r="C621" s="6" t="s">
        <v>46</v>
      </c>
      <c r="D621" s="7">
        <v>237.6</v>
      </c>
    </row>
    <row r="622" spans="1:4" x14ac:dyDescent="0.2">
      <c r="A622" s="6" t="s">
        <v>17</v>
      </c>
      <c r="B622" s="6">
        <v>1999</v>
      </c>
      <c r="C622" s="6" t="s">
        <v>46</v>
      </c>
      <c r="D622" s="7">
        <v>101.7</v>
      </c>
    </row>
    <row r="623" spans="1:4" x14ac:dyDescent="0.2">
      <c r="A623" s="6" t="s">
        <v>18</v>
      </c>
      <c r="B623" s="6">
        <v>1999</v>
      </c>
      <c r="C623" s="6" t="s">
        <v>46</v>
      </c>
      <c r="D623" s="7">
        <v>31.2</v>
      </c>
    </row>
    <row r="624" spans="1:4" x14ac:dyDescent="0.2">
      <c r="A624" s="6" t="s">
        <v>19</v>
      </c>
      <c r="B624" s="6">
        <v>1999</v>
      </c>
      <c r="C624" s="6" t="s">
        <v>46</v>
      </c>
      <c r="D624" s="7">
        <v>140.4</v>
      </c>
    </row>
    <row r="625" spans="1:4" x14ac:dyDescent="0.2">
      <c r="A625" s="6" t="s">
        <v>20</v>
      </c>
      <c r="B625" s="6">
        <v>1999</v>
      </c>
      <c r="C625" s="6" t="s">
        <v>46</v>
      </c>
      <c r="D625" s="7">
        <v>294.39999999999998</v>
      </c>
    </row>
    <row r="626" spans="1:4" x14ac:dyDescent="0.2">
      <c r="A626" s="6" t="s">
        <v>21</v>
      </c>
      <c r="B626" s="6">
        <v>1999</v>
      </c>
      <c r="C626" s="6" t="s">
        <v>46</v>
      </c>
      <c r="D626" s="7">
        <v>41.3</v>
      </c>
    </row>
    <row r="627" spans="1:4" x14ac:dyDescent="0.2">
      <c r="A627" s="6" t="s">
        <v>22</v>
      </c>
      <c r="B627" s="6">
        <v>1999</v>
      </c>
      <c r="C627" s="6" t="s">
        <v>46</v>
      </c>
      <c r="D627" s="7">
        <v>44.5</v>
      </c>
    </row>
    <row r="628" spans="1:4" x14ac:dyDescent="0.2">
      <c r="A628" s="6" t="s">
        <v>23</v>
      </c>
      <c r="B628" s="6">
        <v>1999</v>
      </c>
      <c r="C628" s="6" t="s">
        <v>46</v>
      </c>
      <c r="D628" s="7">
        <v>47.8</v>
      </c>
    </row>
    <row r="629" spans="1:4" x14ac:dyDescent="0.2">
      <c r="A629" s="6" t="s">
        <v>24</v>
      </c>
      <c r="B629" s="6">
        <v>1999</v>
      </c>
      <c r="C629" s="6" t="s">
        <v>46</v>
      </c>
      <c r="D629" s="7">
        <v>69.3</v>
      </c>
    </row>
    <row r="630" spans="1:4" x14ac:dyDescent="0.2">
      <c r="A630" s="6" t="s">
        <v>25</v>
      </c>
      <c r="B630" s="6">
        <v>1999</v>
      </c>
      <c r="C630" s="6" t="s">
        <v>46</v>
      </c>
      <c r="D630" s="7">
        <v>106.5</v>
      </c>
    </row>
    <row r="631" spans="1:4" x14ac:dyDescent="0.2">
      <c r="A631" s="6" t="s">
        <v>26</v>
      </c>
      <c r="B631" s="6">
        <v>1999</v>
      </c>
      <c r="C631" s="6" t="s">
        <v>46</v>
      </c>
      <c r="D631" s="7">
        <v>73.8</v>
      </c>
    </row>
    <row r="632" spans="1:4" x14ac:dyDescent="0.2">
      <c r="A632" s="6" t="s">
        <v>27</v>
      </c>
      <c r="B632" s="6">
        <v>1999</v>
      </c>
      <c r="C632" s="6" t="s">
        <v>46</v>
      </c>
      <c r="D632" s="7">
        <v>81.599999999999994</v>
      </c>
    </row>
    <row r="633" spans="1:4" x14ac:dyDescent="0.2">
      <c r="A633" s="6" t="s">
        <v>28</v>
      </c>
      <c r="B633" s="6">
        <v>1999</v>
      </c>
      <c r="C633" s="6" t="s">
        <v>46</v>
      </c>
      <c r="D633" s="7">
        <v>265.10000000000002</v>
      </c>
    </row>
    <row r="634" spans="1:4" x14ac:dyDescent="0.2">
      <c r="A634" s="6" t="s">
        <v>29</v>
      </c>
      <c r="B634" s="6">
        <v>1999</v>
      </c>
      <c r="C634" s="6" t="s">
        <v>46</v>
      </c>
      <c r="D634" s="7">
        <v>233.1</v>
      </c>
    </row>
    <row r="635" spans="1:4" x14ac:dyDescent="0.2">
      <c r="A635" s="6" t="s">
        <v>30</v>
      </c>
      <c r="B635" s="6">
        <v>1999</v>
      </c>
      <c r="C635" s="6" t="s">
        <v>46</v>
      </c>
      <c r="D635" s="7">
        <v>105.6</v>
      </c>
    </row>
    <row r="636" spans="1:4" x14ac:dyDescent="0.2">
      <c r="A636" s="6" t="s">
        <v>31</v>
      </c>
      <c r="B636" s="6">
        <v>1999</v>
      </c>
      <c r="C636" s="6" t="s">
        <v>46</v>
      </c>
      <c r="D636" s="7">
        <v>72.2</v>
      </c>
    </row>
    <row r="637" spans="1:4" x14ac:dyDescent="0.2">
      <c r="A637" s="6" t="s">
        <v>32</v>
      </c>
      <c r="B637" s="6">
        <v>1999</v>
      </c>
      <c r="C637" s="6" t="s">
        <v>46</v>
      </c>
      <c r="D637" s="7">
        <v>144.69999999999999</v>
      </c>
    </row>
    <row r="638" spans="1:4" x14ac:dyDescent="0.2">
      <c r="A638" s="6" t="s">
        <v>33</v>
      </c>
      <c r="B638" s="6">
        <v>1999</v>
      </c>
      <c r="C638" s="6" t="s">
        <v>46</v>
      </c>
      <c r="D638" s="7">
        <v>57.7</v>
      </c>
    </row>
    <row r="639" spans="1:4" x14ac:dyDescent="0.2">
      <c r="A639" s="6" t="s">
        <v>34</v>
      </c>
      <c r="B639" s="6">
        <v>1999</v>
      </c>
      <c r="C639" s="6" t="s">
        <v>46</v>
      </c>
      <c r="D639" s="7">
        <v>21.2</v>
      </c>
    </row>
    <row r="640" spans="1:4" x14ac:dyDescent="0.2">
      <c r="A640" s="6" t="s">
        <v>35</v>
      </c>
      <c r="B640" s="6">
        <v>1999</v>
      </c>
      <c r="C640" s="6" t="s">
        <v>46</v>
      </c>
      <c r="D640" s="7">
        <v>88.8</v>
      </c>
    </row>
    <row r="641" spans="1:4" x14ac:dyDescent="0.2">
      <c r="A641" s="6" t="s">
        <v>36</v>
      </c>
      <c r="B641" s="6">
        <v>1999</v>
      </c>
      <c r="C641" s="6" t="s">
        <v>46</v>
      </c>
      <c r="D641" s="7">
        <v>44.5</v>
      </c>
    </row>
    <row r="642" spans="1:4" x14ac:dyDescent="0.2">
      <c r="A642" s="6" t="s">
        <v>37</v>
      </c>
      <c r="B642" s="6">
        <v>1999</v>
      </c>
      <c r="C642" s="6" t="s">
        <v>46</v>
      </c>
      <c r="D642" s="7">
        <v>0</v>
      </c>
    </row>
    <row r="643" spans="1:4" x14ac:dyDescent="0.2">
      <c r="A643" s="6" t="s">
        <v>38</v>
      </c>
      <c r="B643" s="6">
        <v>1999</v>
      </c>
      <c r="C643" s="6" t="s">
        <v>46</v>
      </c>
      <c r="D643" s="7">
        <v>0</v>
      </c>
    </row>
    <row r="644" spans="1:4" x14ac:dyDescent="0.2">
      <c r="A644" s="6" t="s">
        <v>39</v>
      </c>
      <c r="B644" s="6">
        <v>1999</v>
      </c>
      <c r="C644" s="6" t="s">
        <v>46</v>
      </c>
      <c r="D644" s="7">
        <v>0</v>
      </c>
    </row>
    <row r="645" spans="1:4" x14ac:dyDescent="0.2">
      <c r="A645" s="6" t="s">
        <v>40</v>
      </c>
      <c r="B645" s="6">
        <v>1999</v>
      </c>
      <c r="C645" s="6" t="s">
        <v>46</v>
      </c>
      <c r="D645" s="7">
        <v>78.5</v>
      </c>
    </row>
    <row r="646" spans="1:4" x14ac:dyDescent="0.2">
      <c r="A646" s="6" t="s">
        <v>41</v>
      </c>
      <c r="B646" s="6">
        <v>1999</v>
      </c>
      <c r="C646" s="6" t="s">
        <v>46</v>
      </c>
      <c r="D646" s="7">
        <v>140.69999999999999</v>
      </c>
    </row>
    <row r="647" spans="1:4" x14ac:dyDescent="0.2">
      <c r="A647" s="6" t="s">
        <v>42</v>
      </c>
      <c r="B647" s="6">
        <v>1999</v>
      </c>
      <c r="C647" s="6" t="s">
        <v>46</v>
      </c>
      <c r="D647" s="7">
        <v>66.5</v>
      </c>
    </row>
    <row r="648" spans="1:4" x14ac:dyDescent="0.2">
      <c r="A648" s="6" t="s">
        <v>4</v>
      </c>
      <c r="B648" s="6">
        <v>2011</v>
      </c>
      <c r="C648" s="6" t="s">
        <v>46</v>
      </c>
      <c r="D648" s="7">
        <v>275.39999999999998</v>
      </c>
    </row>
    <row r="649" spans="1:4" x14ac:dyDescent="0.2">
      <c r="A649" s="6" t="s">
        <v>6</v>
      </c>
      <c r="B649" s="6">
        <v>2011</v>
      </c>
      <c r="C649" s="6" t="s">
        <v>46</v>
      </c>
      <c r="D649" s="7">
        <v>179.1</v>
      </c>
    </row>
    <row r="650" spans="1:4" x14ac:dyDescent="0.2">
      <c r="A650" s="6" t="s">
        <v>7</v>
      </c>
      <c r="B650" s="6">
        <v>2011</v>
      </c>
      <c r="C650" s="6" t="s">
        <v>46</v>
      </c>
      <c r="D650" s="7">
        <v>110.9</v>
      </c>
    </row>
    <row r="651" spans="1:4" x14ac:dyDescent="0.2">
      <c r="A651" s="6" t="s">
        <v>8</v>
      </c>
      <c r="B651" s="6">
        <v>2011</v>
      </c>
      <c r="C651" s="6" t="s">
        <v>46</v>
      </c>
      <c r="D651" s="7">
        <v>92.4</v>
      </c>
    </row>
    <row r="652" spans="1:4" x14ac:dyDescent="0.2">
      <c r="A652" s="6" t="s">
        <v>9</v>
      </c>
      <c r="B652" s="6">
        <v>2011</v>
      </c>
      <c r="C652" s="6" t="s">
        <v>46</v>
      </c>
      <c r="D652" s="7">
        <v>403.70000000000005</v>
      </c>
    </row>
    <row r="653" spans="1:4" x14ac:dyDescent="0.2">
      <c r="A653" s="6" t="s">
        <v>10</v>
      </c>
      <c r="B653" s="6">
        <v>2011</v>
      </c>
      <c r="C653" s="6" t="s">
        <v>46</v>
      </c>
      <c r="D653" s="7">
        <v>59.800000000000004</v>
      </c>
    </row>
    <row r="654" spans="1:4" x14ac:dyDescent="0.2">
      <c r="A654" s="6" t="s">
        <v>11</v>
      </c>
      <c r="B654" s="6">
        <v>2011</v>
      </c>
      <c r="C654" s="6" t="s">
        <v>46</v>
      </c>
      <c r="D654" s="7">
        <v>54.5</v>
      </c>
    </row>
    <row r="655" spans="1:4" x14ac:dyDescent="0.2">
      <c r="A655" s="6" t="s">
        <v>12</v>
      </c>
      <c r="B655" s="6">
        <v>2011</v>
      </c>
      <c r="C655" s="6" t="s">
        <v>46</v>
      </c>
      <c r="D655" s="7">
        <v>53.6</v>
      </c>
    </row>
    <row r="656" spans="1:4" x14ac:dyDescent="0.2">
      <c r="A656" s="6" t="s">
        <v>13</v>
      </c>
      <c r="B656" s="6">
        <v>2011</v>
      </c>
      <c r="C656" s="6" t="s">
        <v>46</v>
      </c>
      <c r="D656" s="7">
        <v>116.8</v>
      </c>
    </row>
    <row r="657" spans="1:4" x14ac:dyDescent="0.2">
      <c r="A657" s="6" t="s">
        <v>14</v>
      </c>
      <c r="B657" s="6">
        <v>2011</v>
      </c>
      <c r="C657" s="6" t="s">
        <v>46</v>
      </c>
      <c r="D657" s="7">
        <v>70.3</v>
      </c>
    </row>
    <row r="658" spans="1:4" x14ac:dyDescent="0.2">
      <c r="A658" s="6" t="s">
        <v>15</v>
      </c>
      <c r="B658" s="6">
        <v>2011</v>
      </c>
      <c r="C658" s="6" t="s">
        <v>46</v>
      </c>
      <c r="D658" s="7">
        <v>95.4</v>
      </c>
    </row>
    <row r="659" spans="1:4" x14ac:dyDescent="0.2">
      <c r="A659" s="6" t="s">
        <v>16</v>
      </c>
      <c r="B659" s="6">
        <v>2011</v>
      </c>
      <c r="C659" s="6" t="s">
        <v>46</v>
      </c>
      <c r="D659" s="7">
        <v>289.8</v>
      </c>
    </row>
    <row r="660" spans="1:4" x14ac:dyDescent="0.2">
      <c r="A660" s="6" t="s">
        <v>17</v>
      </c>
      <c r="B660" s="6">
        <v>2011</v>
      </c>
      <c r="C660" s="6" t="s">
        <v>46</v>
      </c>
      <c r="D660" s="7">
        <v>162.80000000000001</v>
      </c>
    </row>
    <row r="661" spans="1:4" x14ac:dyDescent="0.2">
      <c r="A661" s="6" t="s">
        <v>18</v>
      </c>
      <c r="B661" s="6">
        <v>2011</v>
      </c>
      <c r="C661" s="6" t="s">
        <v>46</v>
      </c>
      <c r="D661" s="7">
        <v>47.5</v>
      </c>
    </row>
    <row r="662" spans="1:4" x14ac:dyDescent="0.2">
      <c r="A662" s="6" t="s">
        <v>19</v>
      </c>
      <c r="B662" s="6">
        <v>2011</v>
      </c>
      <c r="C662" s="6" t="s">
        <v>46</v>
      </c>
      <c r="D662" s="7">
        <v>179.2</v>
      </c>
    </row>
    <row r="663" spans="1:4" x14ac:dyDescent="0.2">
      <c r="A663" s="6" t="s">
        <v>20</v>
      </c>
      <c r="B663" s="6">
        <v>2011</v>
      </c>
      <c r="C663" s="6" t="s">
        <v>46</v>
      </c>
      <c r="D663" s="7">
        <v>387.2</v>
      </c>
    </row>
    <row r="664" spans="1:4" x14ac:dyDescent="0.2">
      <c r="A664" s="6" t="s">
        <v>21</v>
      </c>
      <c r="B664" s="6">
        <v>2011</v>
      </c>
      <c r="C664" s="6" t="s">
        <v>46</v>
      </c>
      <c r="D664" s="7">
        <v>56.2</v>
      </c>
    </row>
    <row r="665" spans="1:4" x14ac:dyDescent="0.2">
      <c r="A665" s="6" t="s">
        <v>22</v>
      </c>
      <c r="B665" s="6">
        <v>2011</v>
      </c>
      <c r="C665" s="6" t="s">
        <v>46</v>
      </c>
      <c r="D665" s="7">
        <v>63.2</v>
      </c>
    </row>
    <row r="666" spans="1:4" x14ac:dyDescent="0.2">
      <c r="A666" s="6" t="s">
        <v>23</v>
      </c>
      <c r="B666" s="6">
        <v>2011</v>
      </c>
      <c r="C666" s="6" t="s">
        <v>46</v>
      </c>
      <c r="D666" s="7">
        <v>101.4</v>
      </c>
    </row>
    <row r="667" spans="1:4" x14ac:dyDescent="0.2">
      <c r="A667" s="6" t="s">
        <v>24</v>
      </c>
      <c r="B667" s="6">
        <v>2011</v>
      </c>
      <c r="C667" s="6" t="s">
        <v>46</v>
      </c>
      <c r="D667" s="7">
        <v>92.8</v>
      </c>
    </row>
    <row r="668" spans="1:4" x14ac:dyDescent="0.2">
      <c r="A668" s="6" t="s">
        <v>25</v>
      </c>
      <c r="B668" s="6">
        <v>2011</v>
      </c>
      <c r="C668" s="6" t="s">
        <v>46</v>
      </c>
      <c r="D668" s="7">
        <v>144.9</v>
      </c>
    </row>
    <row r="669" spans="1:4" x14ac:dyDescent="0.2">
      <c r="A669" s="6" t="s">
        <v>26</v>
      </c>
      <c r="B669" s="6">
        <v>2011</v>
      </c>
      <c r="C669" s="6" t="s">
        <v>46</v>
      </c>
      <c r="D669" s="7">
        <v>95.9</v>
      </c>
    </row>
    <row r="670" spans="1:4" x14ac:dyDescent="0.2">
      <c r="A670" s="6" t="s">
        <v>27</v>
      </c>
      <c r="B670" s="6">
        <v>2011</v>
      </c>
      <c r="C670" s="6" t="s">
        <v>46</v>
      </c>
      <c r="D670" s="7">
        <v>127.69999999999999</v>
      </c>
    </row>
    <row r="671" spans="1:4" x14ac:dyDescent="0.2">
      <c r="A671" s="6" t="s">
        <v>28</v>
      </c>
      <c r="B671" s="6">
        <v>2011</v>
      </c>
      <c r="C671" s="6" t="s">
        <v>46</v>
      </c>
      <c r="D671" s="7">
        <v>368.09999999999997</v>
      </c>
    </row>
    <row r="672" spans="1:4" x14ac:dyDescent="0.2">
      <c r="A672" s="6" t="s">
        <v>29</v>
      </c>
      <c r="B672" s="6">
        <v>2011</v>
      </c>
      <c r="C672" s="6" t="s">
        <v>46</v>
      </c>
      <c r="D672" s="7">
        <v>323.7</v>
      </c>
    </row>
    <row r="673" spans="1:4" x14ac:dyDescent="0.2">
      <c r="A673" s="6" t="s">
        <v>30</v>
      </c>
      <c r="B673" s="6">
        <v>2011</v>
      </c>
      <c r="C673" s="6" t="s">
        <v>46</v>
      </c>
      <c r="D673" s="7">
        <v>149.1</v>
      </c>
    </row>
    <row r="674" spans="1:4" x14ac:dyDescent="0.2">
      <c r="A674" s="6" t="s">
        <v>31</v>
      </c>
      <c r="B674" s="6">
        <v>2011</v>
      </c>
      <c r="C674" s="6" t="s">
        <v>46</v>
      </c>
      <c r="D674" s="7">
        <v>105</v>
      </c>
    </row>
    <row r="675" spans="1:4" x14ac:dyDescent="0.2">
      <c r="A675" s="6" t="s">
        <v>32</v>
      </c>
      <c r="B675" s="6">
        <v>2011</v>
      </c>
      <c r="C675" s="6" t="s">
        <v>46</v>
      </c>
      <c r="D675" s="7">
        <v>201.3</v>
      </c>
    </row>
    <row r="676" spans="1:4" x14ac:dyDescent="0.2">
      <c r="A676" s="6" t="s">
        <v>33</v>
      </c>
      <c r="B676" s="6">
        <v>2011</v>
      </c>
      <c r="C676" s="6" t="s">
        <v>46</v>
      </c>
      <c r="D676" s="7">
        <v>78.099999999999994</v>
      </c>
    </row>
    <row r="677" spans="1:4" x14ac:dyDescent="0.2">
      <c r="A677" s="6" t="s">
        <v>34</v>
      </c>
      <c r="B677" s="6">
        <v>2011</v>
      </c>
      <c r="C677" s="6" t="s">
        <v>46</v>
      </c>
      <c r="D677" s="7">
        <v>27.4</v>
      </c>
    </row>
    <row r="678" spans="1:4" x14ac:dyDescent="0.2">
      <c r="A678" s="6" t="s">
        <v>35</v>
      </c>
      <c r="B678" s="6">
        <v>2011</v>
      </c>
      <c r="C678" s="6" t="s">
        <v>46</v>
      </c>
      <c r="D678" s="7">
        <v>119.6</v>
      </c>
    </row>
    <row r="679" spans="1:4" x14ac:dyDescent="0.2">
      <c r="A679" s="6" t="s">
        <v>36</v>
      </c>
      <c r="B679" s="6">
        <v>2011</v>
      </c>
      <c r="C679" s="6" t="s">
        <v>46</v>
      </c>
      <c r="D679" s="7">
        <v>53.3</v>
      </c>
    </row>
    <row r="680" spans="1:4" x14ac:dyDescent="0.2">
      <c r="A680" s="6" t="s">
        <v>37</v>
      </c>
      <c r="B680" s="6">
        <v>2011</v>
      </c>
      <c r="C680" s="6" t="s">
        <v>46</v>
      </c>
      <c r="D680" s="7">
        <v>99.5</v>
      </c>
    </row>
    <row r="681" spans="1:4" x14ac:dyDescent="0.2">
      <c r="A681" s="6" t="s">
        <v>38</v>
      </c>
      <c r="B681" s="6">
        <v>2011</v>
      </c>
      <c r="C681" s="6" t="s">
        <v>46</v>
      </c>
      <c r="D681" s="7">
        <v>68.7</v>
      </c>
    </row>
    <row r="682" spans="1:4" x14ac:dyDescent="0.2">
      <c r="A682" s="6" t="s">
        <v>39</v>
      </c>
      <c r="B682" s="6">
        <v>2011</v>
      </c>
      <c r="C682" s="6" t="s">
        <v>46</v>
      </c>
      <c r="D682" s="7">
        <v>72.7</v>
      </c>
    </row>
    <row r="683" spans="1:4" x14ac:dyDescent="0.2">
      <c r="A683" s="6" t="s">
        <v>40</v>
      </c>
      <c r="B683" s="6">
        <v>2011</v>
      </c>
      <c r="C683" s="6" t="s">
        <v>46</v>
      </c>
      <c r="D683" s="7">
        <v>143.10000000000002</v>
      </c>
    </row>
    <row r="684" spans="1:4" x14ac:dyDescent="0.2">
      <c r="A684" s="6" t="s">
        <v>41</v>
      </c>
      <c r="B684" s="6">
        <v>2011</v>
      </c>
      <c r="C684" s="6" t="s">
        <v>46</v>
      </c>
      <c r="D684" s="7">
        <v>188.7</v>
      </c>
    </row>
    <row r="685" spans="1:4" x14ac:dyDescent="0.2">
      <c r="A685" s="6" t="s">
        <v>42</v>
      </c>
      <c r="B685" s="6">
        <v>2011</v>
      </c>
      <c r="C685" s="6" t="s">
        <v>46</v>
      </c>
      <c r="D685" s="7">
        <v>129</v>
      </c>
    </row>
    <row r="686" spans="1:4" x14ac:dyDescent="0.2">
      <c r="A686" s="6" t="s">
        <v>4</v>
      </c>
      <c r="B686" s="6">
        <v>2012</v>
      </c>
      <c r="C686" s="6" t="s">
        <v>46</v>
      </c>
      <c r="D686" s="7">
        <v>274.39999999999998</v>
      </c>
    </row>
    <row r="687" spans="1:4" x14ac:dyDescent="0.2">
      <c r="A687" s="6" t="s">
        <v>6</v>
      </c>
      <c r="B687" s="6">
        <v>2012</v>
      </c>
      <c r="C687" s="6" t="s">
        <v>46</v>
      </c>
      <c r="D687" s="7">
        <v>181</v>
      </c>
    </row>
    <row r="688" spans="1:4" x14ac:dyDescent="0.2">
      <c r="A688" s="6" t="s">
        <v>7</v>
      </c>
      <c r="B688" s="6">
        <v>2012</v>
      </c>
      <c r="C688" s="6" t="s">
        <v>46</v>
      </c>
      <c r="D688" s="7">
        <v>109.39999999999999</v>
      </c>
    </row>
    <row r="689" spans="1:4" x14ac:dyDescent="0.2">
      <c r="A689" s="6" t="s">
        <v>8</v>
      </c>
      <c r="B689" s="6">
        <v>2012</v>
      </c>
      <c r="C689" s="6" t="s">
        <v>46</v>
      </c>
      <c r="D689" s="7">
        <v>89.300000000000011</v>
      </c>
    </row>
    <row r="690" spans="1:4" x14ac:dyDescent="0.2">
      <c r="A690" s="6" t="s">
        <v>9</v>
      </c>
      <c r="B690" s="6">
        <v>2012</v>
      </c>
      <c r="C690" s="6" t="s">
        <v>46</v>
      </c>
      <c r="D690" s="7">
        <v>414.4</v>
      </c>
    </row>
    <row r="691" spans="1:4" x14ac:dyDescent="0.2">
      <c r="A691" s="6" t="s">
        <v>10</v>
      </c>
      <c r="B691" s="6">
        <v>2012</v>
      </c>
      <c r="C691" s="6" t="s">
        <v>46</v>
      </c>
      <c r="D691" s="7">
        <v>61.400000000000006</v>
      </c>
    </row>
    <row r="692" spans="1:4" x14ac:dyDescent="0.2">
      <c r="A692" s="6" t="s">
        <v>11</v>
      </c>
      <c r="B692" s="6">
        <v>2012</v>
      </c>
      <c r="C692" s="6" t="s">
        <v>46</v>
      </c>
      <c r="D692" s="7">
        <v>53.2</v>
      </c>
    </row>
    <row r="693" spans="1:4" x14ac:dyDescent="0.2">
      <c r="A693" s="6" t="s">
        <v>12</v>
      </c>
      <c r="B693" s="6">
        <v>2012</v>
      </c>
      <c r="C693" s="6" t="s">
        <v>46</v>
      </c>
      <c r="D693" s="7">
        <v>58.099999999999994</v>
      </c>
    </row>
    <row r="694" spans="1:4" x14ac:dyDescent="0.2">
      <c r="A694" s="6" t="s">
        <v>13</v>
      </c>
      <c r="B694" s="6">
        <v>2012</v>
      </c>
      <c r="C694" s="6" t="s">
        <v>46</v>
      </c>
      <c r="D694" s="7">
        <v>113</v>
      </c>
    </row>
    <row r="695" spans="1:4" x14ac:dyDescent="0.2">
      <c r="A695" s="6" t="s">
        <v>14</v>
      </c>
      <c r="B695" s="6">
        <v>2012</v>
      </c>
      <c r="C695" s="6" t="s">
        <v>46</v>
      </c>
      <c r="D695" s="7">
        <v>69.199999999999989</v>
      </c>
    </row>
    <row r="696" spans="1:4" x14ac:dyDescent="0.2">
      <c r="A696" s="6" t="s">
        <v>15</v>
      </c>
      <c r="B696" s="6">
        <v>2012</v>
      </c>
      <c r="C696" s="6" t="s">
        <v>46</v>
      </c>
      <c r="D696" s="7">
        <v>100.19999999999999</v>
      </c>
    </row>
    <row r="697" spans="1:4" x14ac:dyDescent="0.2">
      <c r="A697" s="6" t="s">
        <v>16</v>
      </c>
      <c r="B697" s="6">
        <v>2012</v>
      </c>
      <c r="C697" s="6" t="s">
        <v>46</v>
      </c>
      <c r="D697" s="7">
        <v>295.20000000000005</v>
      </c>
    </row>
    <row r="698" spans="1:4" x14ac:dyDescent="0.2">
      <c r="A698" s="6" t="s">
        <v>17</v>
      </c>
      <c r="B698" s="6">
        <v>2012</v>
      </c>
      <c r="C698" s="6" t="s">
        <v>46</v>
      </c>
      <c r="D698" s="7">
        <v>172.6</v>
      </c>
    </row>
    <row r="699" spans="1:4" x14ac:dyDescent="0.2">
      <c r="A699" s="6" t="s">
        <v>18</v>
      </c>
      <c r="B699" s="6">
        <v>2012</v>
      </c>
      <c r="C699" s="6" t="s">
        <v>46</v>
      </c>
      <c r="D699" s="7">
        <v>44.199999999999996</v>
      </c>
    </row>
    <row r="700" spans="1:4" x14ac:dyDescent="0.2">
      <c r="A700" s="6" t="s">
        <v>19</v>
      </c>
      <c r="B700" s="6">
        <v>2012</v>
      </c>
      <c r="C700" s="6" t="s">
        <v>46</v>
      </c>
      <c r="D700" s="7">
        <v>180</v>
      </c>
    </row>
    <row r="701" spans="1:4" x14ac:dyDescent="0.2">
      <c r="A701" s="6" t="s">
        <v>20</v>
      </c>
      <c r="B701" s="6">
        <v>2012</v>
      </c>
      <c r="C701" s="6" t="s">
        <v>46</v>
      </c>
      <c r="D701" s="7">
        <v>378.9</v>
      </c>
    </row>
    <row r="702" spans="1:4" x14ac:dyDescent="0.2">
      <c r="A702" s="6" t="s">
        <v>21</v>
      </c>
      <c r="B702" s="6">
        <v>2012</v>
      </c>
      <c r="C702" s="6" t="s">
        <v>46</v>
      </c>
      <c r="D702" s="7">
        <v>54</v>
      </c>
    </row>
    <row r="703" spans="1:4" x14ac:dyDescent="0.2">
      <c r="A703" s="6" t="s">
        <v>22</v>
      </c>
      <c r="B703" s="6">
        <v>2012</v>
      </c>
      <c r="C703" s="6" t="s">
        <v>46</v>
      </c>
      <c r="D703" s="7">
        <v>64.3</v>
      </c>
    </row>
    <row r="704" spans="1:4" x14ac:dyDescent="0.2">
      <c r="A704" s="6" t="s">
        <v>23</v>
      </c>
      <c r="B704" s="6">
        <v>2012</v>
      </c>
      <c r="C704" s="6" t="s">
        <v>46</v>
      </c>
      <c r="D704" s="7">
        <v>98</v>
      </c>
    </row>
    <row r="705" spans="1:4" x14ac:dyDescent="0.2">
      <c r="A705" s="6" t="s">
        <v>24</v>
      </c>
      <c r="B705" s="6">
        <v>2012</v>
      </c>
      <c r="C705" s="6" t="s">
        <v>46</v>
      </c>
      <c r="D705" s="7">
        <v>96.4</v>
      </c>
    </row>
    <row r="706" spans="1:4" x14ac:dyDescent="0.2">
      <c r="A706" s="6" t="s">
        <v>25</v>
      </c>
      <c r="B706" s="6">
        <v>2012</v>
      </c>
      <c r="C706" s="6" t="s">
        <v>46</v>
      </c>
      <c r="D706" s="7">
        <v>145.5</v>
      </c>
    </row>
    <row r="707" spans="1:4" x14ac:dyDescent="0.2">
      <c r="A707" s="6" t="s">
        <v>26</v>
      </c>
      <c r="B707" s="6">
        <v>2012</v>
      </c>
      <c r="C707" s="6" t="s">
        <v>46</v>
      </c>
      <c r="D707" s="7">
        <v>90.8</v>
      </c>
    </row>
    <row r="708" spans="1:4" x14ac:dyDescent="0.2">
      <c r="A708" s="6" t="s">
        <v>27</v>
      </c>
      <c r="B708" s="6">
        <v>2012</v>
      </c>
      <c r="C708" s="6" t="s">
        <v>46</v>
      </c>
      <c r="D708" s="7">
        <v>119.2</v>
      </c>
    </row>
    <row r="709" spans="1:4" x14ac:dyDescent="0.2">
      <c r="A709" s="6" t="s">
        <v>28</v>
      </c>
      <c r="B709" s="6">
        <v>2012</v>
      </c>
      <c r="C709" s="6" t="s">
        <v>46</v>
      </c>
      <c r="D709" s="7">
        <v>364.29999999999995</v>
      </c>
    </row>
    <row r="710" spans="1:4" x14ac:dyDescent="0.2">
      <c r="A710" s="6" t="s">
        <v>29</v>
      </c>
      <c r="B710" s="6">
        <v>2012</v>
      </c>
      <c r="C710" s="6" t="s">
        <v>46</v>
      </c>
      <c r="D710" s="7">
        <v>331.7</v>
      </c>
    </row>
    <row r="711" spans="1:4" x14ac:dyDescent="0.2">
      <c r="A711" s="6" t="s">
        <v>30</v>
      </c>
      <c r="B711" s="6">
        <v>2012</v>
      </c>
      <c r="C711" s="6" t="s">
        <v>46</v>
      </c>
      <c r="D711" s="7">
        <v>148.5</v>
      </c>
    </row>
    <row r="712" spans="1:4" x14ac:dyDescent="0.2">
      <c r="A712" s="6" t="s">
        <v>31</v>
      </c>
      <c r="B712" s="6">
        <v>2012</v>
      </c>
      <c r="C712" s="6" t="s">
        <v>46</v>
      </c>
      <c r="D712" s="7">
        <v>100.9</v>
      </c>
    </row>
    <row r="713" spans="1:4" x14ac:dyDescent="0.2">
      <c r="A713" s="6" t="s">
        <v>32</v>
      </c>
      <c r="B713" s="6">
        <v>2012</v>
      </c>
      <c r="C713" s="6" t="s">
        <v>46</v>
      </c>
      <c r="D713" s="7">
        <v>192.2</v>
      </c>
    </row>
    <row r="714" spans="1:4" x14ac:dyDescent="0.2">
      <c r="A714" s="6" t="s">
        <v>33</v>
      </c>
      <c r="B714" s="6">
        <v>2012</v>
      </c>
      <c r="C714" s="6" t="s">
        <v>46</v>
      </c>
      <c r="D714" s="7">
        <v>75.199999999999989</v>
      </c>
    </row>
    <row r="715" spans="1:4" x14ac:dyDescent="0.2">
      <c r="A715" s="6" t="s">
        <v>34</v>
      </c>
      <c r="B715" s="6">
        <v>2012</v>
      </c>
      <c r="C715" s="6" t="s">
        <v>46</v>
      </c>
      <c r="D715" s="7">
        <v>29.299999999999997</v>
      </c>
    </row>
    <row r="716" spans="1:4" x14ac:dyDescent="0.2">
      <c r="A716" s="6" t="s">
        <v>35</v>
      </c>
      <c r="B716" s="6">
        <v>2012</v>
      </c>
      <c r="C716" s="6" t="s">
        <v>46</v>
      </c>
      <c r="D716" s="7">
        <v>120.2</v>
      </c>
    </row>
    <row r="717" spans="1:4" x14ac:dyDescent="0.2">
      <c r="A717" s="6" t="s">
        <v>36</v>
      </c>
      <c r="B717" s="6">
        <v>2012</v>
      </c>
      <c r="C717" s="6" t="s">
        <v>46</v>
      </c>
      <c r="D717" s="7">
        <v>54.7</v>
      </c>
    </row>
    <row r="718" spans="1:4" x14ac:dyDescent="0.2">
      <c r="A718" s="6" t="s">
        <v>37</v>
      </c>
      <c r="B718" s="6">
        <v>2012</v>
      </c>
      <c r="C718" s="6" t="s">
        <v>46</v>
      </c>
      <c r="D718" s="7">
        <v>103</v>
      </c>
    </row>
    <row r="719" spans="1:4" x14ac:dyDescent="0.2">
      <c r="A719" s="6" t="s">
        <v>38</v>
      </c>
      <c r="B719" s="6">
        <v>2012</v>
      </c>
      <c r="C719" s="6" t="s">
        <v>46</v>
      </c>
      <c r="D719" s="7">
        <v>75.400000000000006</v>
      </c>
    </row>
    <row r="720" spans="1:4" x14ac:dyDescent="0.2">
      <c r="A720" s="6" t="s">
        <v>39</v>
      </c>
      <c r="B720" s="6">
        <v>2012</v>
      </c>
      <c r="C720" s="6" t="s">
        <v>46</v>
      </c>
      <c r="D720" s="7">
        <v>73.900000000000006</v>
      </c>
    </row>
    <row r="721" spans="1:4" x14ac:dyDescent="0.2">
      <c r="A721" s="6" t="s">
        <v>40</v>
      </c>
      <c r="B721" s="6">
        <v>2012</v>
      </c>
      <c r="C721" s="6" t="s">
        <v>46</v>
      </c>
      <c r="D721" s="7">
        <v>139.5</v>
      </c>
    </row>
    <row r="722" spans="1:4" x14ac:dyDescent="0.2">
      <c r="A722" s="6" t="s">
        <v>41</v>
      </c>
      <c r="B722" s="6">
        <v>2012</v>
      </c>
      <c r="C722" s="6" t="s">
        <v>46</v>
      </c>
      <c r="D722" s="7">
        <v>194.79999999999998</v>
      </c>
    </row>
    <row r="723" spans="1:4" x14ac:dyDescent="0.2">
      <c r="A723" s="6" t="s">
        <v>42</v>
      </c>
      <c r="B723" s="6">
        <v>2012</v>
      </c>
      <c r="C723" s="6" t="s">
        <v>46</v>
      </c>
      <c r="D723" s="7">
        <v>123.5</v>
      </c>
    </row>
    <row r="724" spans="1:4" x14ac:dyDescent="0.2">
      <c r="A724" s="6" t="s">
        <v>4</v>
      </c>
      <c r="B724" s="6">
        <v>2019</v>
      </c>
      <c r="C724" s="6" t="s">
        <v>46</v>
      </c>
      <c r="D724" s="7">
        <v>273.7</v>
      </c>
    </row>
    <row r="725" spans="1:4" x14ac:dyDescent="0.2">
      <c r="A725" s="6" t="s">
        <v>6</v>
      </c>
      <c r="B725" s="6">
        <v>2019</v>
      </c>
      <c r="C725" s="6" t="s">
        <v>46</v>
      </c>
      <c r="D725" s="7">
        <v>179.20000000000002</v>
      </c>
    </row>
    <row r="726" spans="1:4" x14ac:dyDescent="0.2">
      <c r="A726" s="6" t="s">
        <v>7</v>
      </c>
      <c r="B726" s="6">
        <v>2019</v>
      </c>
      <c r="C726" s="6" t="s">
        <v>46</v>
      </c>
      <c r="D726" s="7">
        <v>116</v>
      </c>
    </row>
    <row r="727" spans="1:4" x14ac:dyDescent="0.2">
      <c r="A727" s="6" t="s">
        <v>8</v>
      </c>
      <c r="B727" s="6">
        <v>2019</v>
      </c>
      <c r="C727" s="6" t="s">
        <v>46</v>
      </c>
      <c r="D727" s="7">
        <v>96.6</v>
      </c>
    </row>
    <row r="728" spans="1:4" x14ac:dyDescent="0.2">
      <c r="A728" s="6" t="s">
        <v>9</v>
      </c>
      <c r="B728" s="6">
        <v>2019</v>
      </c>
      <c r="C728" s="6" t="s">
        <v>46</v>
      </c>
      <c r="D728" s="7">
        <v>455.5</v>
      </c>
    </row>
    <row r="729" spans="1:4" x14ac:dyDescent="0.2">
      <c r="A729" s="6" t="s">
        <v>10</v>
      </c>
      <c r="B729" s="6">
        <v>2019</v>
      </c>
      <c r="C729" s="6" t="s">
        <v>46</v>
      </c>
      <c r="D729" s="7">
        <v>57.7</v>
      </c>
    </row>
    <row r="730" spans="1:4" x14ac:dyDescent="0.2">
      <c r="A730" s="6" t="s">
        <v>11</v>
      </c>
      <c r="B730" s="6">
        <v>2019</v>
      </c>
      <c r="C730" s="6" t="s">
        <v>46</v>
      </c>
      <c r="D730" s="7">
        <v>52.7</v>
      </c>
    </row>
    <row r="731" spans="1:4" x14ac:dyDescent="0.2">
      <c r="A731" s="6" t="s">
        <v>12</v>
      </c>
      <c r="B731" s="6">
        <v>2019</v>
      </c>
      <c r="C731" s="6" t="s">
        <v>46</v>
      </c>
      <c r="D731" s="7">
        <v>50.699999999999996</v>
      </c>
    </row>
    <row r="732" spans="1:4" x14ac:dyDescent="0.2">
      <c r="A732" s="6" t="s">
        <v>13</v>
      </c>
      <c r="B732" s="6">
        <v>2019</v>
      </c>
      <c r="C732" s="6" t="s">
        <v>46</v>
      </c>
      <c r="D732" s="7">
        <v>121.1</v>
      </c>
    </row>
    <row r="733" spans="1:4" x14ac:dyDescent="0.2">
      <c r="A733" s="6" t="s">
        <v>14</v>
      </c>
      <c r="B733" s="6">
        <v>2019</v>
      </c>
      <c r="C733" s="6" t="s">
        <v>46</v>
      </c>
      <c r="D733" s="7">
        <v>78.8</v>
      </c>
    </row>
    <row r="734" spans="1:4" x14ac:dyDescent="0.2">
      <c r="A734" s="6" t="s">
        <v>15</v>
      </c>
      <c r="B734" s="6">
        <v>2019</v>
      </c>
      <c r="C734" s="6" t="s">
        <v>46</v>
      </c>
      <c r="D734" s="7">
        <v>97.199999999999989</v>
      </c>
    </row>
    <row r="735" spans="1:4" x14ac:dyDescent="0.2">
      <c r="A735" s="6" t="s">
        <v>16</v>
      </c>
      <c r="B735" s="6">
        <v>2019</v>
      </c>
      <c r="C735" s="6" t="s">
        <v>46</v>
      </c>
      <c r="D735" s="7">
        <v>381.5</v>
      </c>
    </row>
    <row r="736" spans="1:4" x14ac:dyDescent="0.2">
      <c r="A736" s="6" t="s">
        <v>17</v>
      </c>
      <c r="B736" s="6">
        <v>2019</v>
      </c>
      <c r="C736" s="6" t="s">
        <v>46</v>
      </c>
      <c r="D736" s="7">
        <v>171.89999999999998</v>
      </c>
    </row>
    <row r="737" spans="1:4" x14ac:dyDescent="0.2">
      <c r="A737" s="6" t="s">
        <v>18</v>
      </c>
      <c r="B737" s="6">
        <v>2019</v>
      </c>
      <c r="C737" s="6" t="s">
        <v>46</v>
      </c>
      <c r="D737" s="7">
        <v>38.4</v>
      </c>
    </row>
    <row r="738" spans="1:4" x14ac:dyDescent="0.2">
      <c r="A738" s="6" t="s">
        <v>19</v>
      </c>
      <c r="B738" s="6">
        <v>2019</v>
      </c>
      <c r="C738" s="6" t="s">
        <v>46</v>
      </c>
      <c r="D738" s="7">
        <v>201.9</v>
      </c>
    </row>
    <row r="739" spans="1:4" x14ac:dyDescent="0.2">
      <c r="A739" s="6" t="s">
        <v>20</v>
      </c>
      <c r="B739" s="6">
        <v>2019</v>
      </c>
      <c r="C739" s="6" t="s">
        <v>46</v>
      </c>
      <c r="D739" s="7">
        <v>450.1</v>
      </c>
    </row>
    <row r="740" spans="1:4" x14ac:dyDescent="0.2">
      <c r="A740" s="6" t="s">
        <v>21</v>
      </c>
      <c r="B740" s="6">
        <v>2019</v>
      </c>
      <c r="C740" s="6" t="s">
        <v>46</v>
      </c>
      <c r="D740" s="7">
        <v>57.3</v>
      </c>
    </row>
    <row r="741" spans="1:4" x14ac:dyDescent="0.2">
      <c r="A741" s="6" t="s">
        <v>22</v>
      </c>
      <c r="B741" s="6">
        <v>2019</v>
      </c>
      <c r="C741" s="6" t="s">
        <v>46</v>
      </c>
      <c r="D741" s="7">
        <v>61.8</v>
      </c>
    </row>
    <row r="742" spans="1:4" x14ac:dyDescent="0.2">
      <c r="A742" s="6" t="s">
        <v>23</v>
      </c>
      <c r="B742" s="6">
        <v>2019</v>
      </c>
      <c r="C742" s="6" t="s">
        <v>46</v>
      </c>
      <c r="D742" s="7">
        <v>105.3</v>
      </c>
    </row>
    <row r="743" spans="1:4" x14ac:dyDescent="0.2">
      <c r="A743" s="6" t="s">
        <v>24</v>
      </c>
      <c r="B743" s="6">
        <v>2019</v>
      </c>
      <c r="C743" s="6" t="s">
        <v>46</v>
      </c>
      <c r="D743" s="7">
        <v>94.4</v>
      </c>
    </row>
    <row r="744" spans="1:4" x14ac:dyDescent="0.2">
      <c r="A744" s="6" t="s">
        <v>25</v>
      </c>
      <c r="B744" s="6">
        <v>2019</v>
      </c>
      <c r="C744" s="6" t="s">
        <v>46</v>
      </c>
      <c r="D744" s="7">
        <v>146.9</v>
      </c>
    </row>
    <row r="745" spans="1:4" x14ac:dyDescent="0.2">
      <c r="A745" s="6" t="s">
        <v>26</v>
      </c>
      <c r="B745" s="6">
        <v>2019</v>
      </c>
      <c r="C745" s="6" t="s">
        <v>46</v>
      </c>
      <c r="D745" s="7">
        <v>96.6</v>
      </c>
    </row>
    <row r="746" spans="1:4" x14ac:dyDescent="0.2">
      <c r="A746" s="6" t="s">
        <v>27</v>
      </c>
      <c r="B746" s="6">
        <v>2019</v>
      </c>
      <c r="C746" s="6" t="s">
        <v>46</v>
      </c>
      <c r="D746" s="7">
        <v>135.80000000000001</v>
      </c>
    </row>
    <row r="747" spans="1:4" x14ac:dyDescent="0.2">
      <c r="A747" s="6" t="s">
        <v>28</v>
      </c>
      <c r="B747" s="6">
        <v>2019</v>
      </c>
      <c r="C747" s="6" t="s">
        <v>46</v>
      </c>
      <c r="D747" s="7">
        <v>400.4</v>
      </c>
    </row>
    <row r="748" spans="1:4" x14ac:dyDescent="0.2">
      <c r="A748" s="6" t="s">
        <v>29</v>
      </c>
      <c r="B748" s="6">
        <v>2019</v>
      </c>
      <c r="C748" s="6" t="s">
        <v>46</v>
      </c>
      <c r="D748" s="7">
        <v>362</v>
      </c>
    </row>
    <row r="749" spans="1:4" x14ac:dyDescent="0.2">
      <c r="A749" s="6" t="s">
        <v>30</v>
      </c>
      <c r="B749" s="6">
        <v>2019</v>
      </c>
      <c r="C749" s="6" t="s">
        <v>46</v>
      </c>
      <c r="D749" s="7">
        <v>163.5</v>
      </c>
    </row>
    <row r="750" spans="1:4" x14ac:dyDescent="0.2">
      <c r="A750" s="6" t="s">
        <v>31</v>
      </c>
      <c r="B750" s="6">
        <v>2019</v>
      </c>
      <c r="C750" s="6" t="s">
        <v>46</v>
      </c>
      <c r="D750" s="7">
        <v>98.9</v>
      </c>
    </row>
    <row r="751" spans="1:4" x14ac:dyDescent="0.2">
      <c r="A751" s="6" t="s">
        <v>32</v>
      </c>
      <c r="B751" s="6">
        <v>2019</v>
      </c>
      <c r="C751" s="6" t="s">
        <v>46</v>
      </c>
      <c r="D751" s="7">
        <v>203.10000000000002</v>
      </c>
    </row>
    <row r="752" spans="1:4" x14ac:dyDescent="0.2">
      <c r="A752" s="6" t="s">
        <v>33</v>
      </c>
      <c r="B752" s="6">
        <v>2019</v>
      </c>
      <c r="C752" s="6" t="s">
        <v>46</v>
      </c>
      <c r="D752" s="7">
        <v>80.8</v>
      </c>
    </row>
    <row r="753" spans="1:4" x14ac:dyDescent="0.2">
      <c r="A753" s="6" t="s">
        <v>34</v>
      </c>
      <c r="B753" s="6">
        <v>2019</v>
      </c>
      <c r="C753" s="6" t="s">
        <v>46</v>
      </c>
      <c r="D753" s="7">
        <v>31.6</v>
      </c>
    </row>
    <row r="754" spans="1:4" x14ac:dyDescent="0.2">
      <c r="A754" s="6" t="s">
        <v>35</v>
      </c>
      <c r="B754" s="6">
        <v>2019</v>
      </c>
      <c r="C754" s="6" t="s">
        <v>46</v>
      </c>
      <c r="D754" s="7">
        <v>126.4</v>
      </c>
    </row>
    <row r="755" spans="1:4" x14ac:dyDescent="0.2">
      <c r="A755" s="6" t="s">
        <v>36</v>
      </c>
      <c r="B755" s="6">
        <v>2019</v>
      </c>
      <c r="C755" s="6" t="s">
        <v>46</v>
      </c>
      <c r="D755" s="7">
        <v>56.4</v>
      </c>
    </row>
    <row r="756" spans="1:4" x14ac:dyDescent="0.2">
      <c r="A756" s="6" t="s">
        <v>37</v>
      </c>
      <c r="B756" s="6">
        <v>2019</v>
      </c>
      <c r="C756" s="6" t="s">
        <v>46</v>
      </c>
      <c r="D756" s="7">
        <v>98.4</v>
      </c>
    </row>
    <row r="757" spans="1:4" x14ac:dyDescent="0.2">
      <c r="A757" s="6" t="s">
        <v>38</v>
      </c>
      <c r="B757" s="6">
        <v>2019</v>
      </c>
      <c r="C757" s="6" t="s">
        <v>46</v>
      </c>
      <c r="D757" s="7">
        <v>73.3</v>
      </c>
    </row>
    <row r="758" spans="1:4" x14ac:dyDescent="0.2">
      <c r="A758" s="6" t="s">
        <v>39</v>
      </c>
      <c r="B758" s="6">
        <v>2019</v>
      </c>
      <c r="C758" s="6" t="s">
        <v>46</v>
      </c>
      <c r="D758" s="7">
        <v>81</v>
      </c>
    </row>
    <row r="759" spans="1:4" x14ac:dyDescent="0.2">
      <c r="A759" s="6" t="s">
        <v>40</v>
      </c>
      <c r="B759" s="6">
        <v>2019</v>
      </c>
      <c r="C759" s="6" t="s">
        <v>46</v>
      </c>
      <c r="D759" s="7">
        <v>138.19999999999999</v>
      </c>
    </row>
    <row r="760" spans="1:4" x14ac:dyDescent="0.2">
      <c r="A760" s="6" t="s">
        <v>41</v>
      </c>
      <c r="B760" s="6">
        <v>2019</v>
      </c>
      <c r="C760" s="6" t="s">
        <v>46</v>
      </c>
      <c r="D760" s="7">
        <v>189.39999999999998</v>
      </c>
    </row>
    <row r="761" spans="1:4" x14ac:dyDescent="0.2">
      <c r="A761" s="6" t="s">
        <v>42</v>
      </c>
      <c r="B761" s="6">
        <v>2019</v>
      </c>
      <c r="C761" s="6" t="s">
        <v>46</v>
      </c>
      <c r="D761" s="7">
        <v>106.9</v>
      </c>
    </row>
    <row r="762" spans="1:4" x14ac:dyDescent="0.2">
      <c r="A762" s="6" t="s">
        <v>4</v>
      </c>
      <c r="B762" s="6">
        <v>1999</v>
      </c>
      <c r="C762" s="6" t="s">
        <v>47</v>
      </c>
      <c r="D762" s="7">
        <v>437.5</v>
      </c>
    </row>
    <row r="763" spans="1:4" x14ac:dyDescent="0.2">
      <c r="A763" s="6" t="s">
        <v>6</v>
      </c>
      <c r="B763" s="6">
        <v>1999</v>
      </c>
      <c r="C763" s="6" t="s">
        <v>47</v>
      </c>
      <c r="D763" s="7">
        <v>335.2</v>
      </c>
    </row>
    <row r="764" spans="1:4" x14ac:dyDescent="0.2">
      <c r="A764" s="6" t="s">
        <v>7</v>
      </c>
      <c r="B764" s="6">
        <v>1999</v>
      </c>
      <c r="C764" s="6" t="s">
        <v>47</v>
      </c>
      <c r="D764" s="7">
        <v>253.3</v>
      </c>
    </row>
    <row r="765" spans="1:4" x14ac:dyDescent="0.2">
      <c r="A765" s="6" t="s">
        <v>8</v>
      </c>
      <c r="B765" s="6">
        <v>1999</v>
      </c>
      <c r="C765" s="6" t="s">
        <v>47</v>
      </c>
      <c r="D765" s="7">
        <v>205.4</v>
      </c>
    </row>
    <row r="766" spans="1:4" x14ac:dyDescent="0.2">
      <c r="A766" s="6" t="s">
        <v>9</v>
      </c>
      <c r="B766" s="6">
        <v>1999</v>
      </c>
      <c r="C766" s="6" t="s">
        <v>47</v>
      </c>
      <c r="D766" s="7">
        <v>549.4</v>
      </c>
    </row>
    <row r="767" spans="1:4" x14ac:dyDescent="0.2">
      <c r="A767" s="6" t="s">
        <v>10</v>
      </c>
      <c r="B767" s="6">
        <v>1999</v>
      </c>
      <c r="C767" s="6" t="s">
        <v>47</v>
      </c>
      <c r="D767" s="7">
        <v>128.30000000000001</v>
      </c>
    </row>
    <row r="768" spans="1:4" x14ac:dyDescent="0.2">
      <c r="A768" s="6" t="s">
        <v>11</v>
      </c>
      <c r="B768" s="6">
        <v>1999</v>
      </c>
      <c r="C768" s="6" t="s">
        <v>47</v>
      </c>
      <c r="D768" s="7">
        <v>129.6</v>
      </c>
    </row>
    <row r="769" spans="1:4" x14ac:dyDescent="0.2">
      <c r="A769" s="6" t="s">
        <v>12</v>
      </c>
      <c r="B769" s="6">
        <v>1999</v>
      </c>
      <c r="C769" s="6" t="s">
        <v>47</v>
      </c>
      <c r="D769" s="7">
        <v>132.9</v>
      </c>
    </row>
    <row r="770" spans="1:4" x14ac:dyDescent="0.2">
      <c r="A770" s="6" t="s">
        <v>13</v>
      </c>
      <c r="B770" s="6">
        <v>1999</v>
      </c>
      <c r="C770" s="6" t="s">
        <v>47</v>
      </c>
      <c r="D770" s="7">
        <v>177.2</v>
      </c>
    </row>
    <row r="771" spans="1:4" x14ac:dyDescent="0.2">
      <c r="A771" s="6" t="s">
        <v>14</v>
      </c>
      <c r="B771" s="6">
        <v>1999</v>
      </c>
      <c r="C771" s="6" t="s">
        <v>47</v>
      </c>
      <c r="D771" s="7">
        <v>163.6</v>
      </c>
    </row>
    <row r="772" spans="1:4" x14ac:dyDescent="0.2">
      <c r="A772" s="6" t="s">
        <v>15</v>
      </c>
      <c r="B772" s="6">
        <v>1999</v>
      </c>
      <c r="C772" s="6" t="s">
        <v>47</v>
      </c>
      <c r="D772" s="7">
        <v>208.4</v>
      </c>
    </row>
    <row r="773" spans="1:4" x14ac:dyDescent="0.2">
      <c r="A773" s="6" t="s">
        <v>16</v>
      </c>
      <c r="B773" s="6">
        <v>1999</v>
      </c>
      <c r="C773" s="6" t="s">
        <v>47</v>
      </c>
      <c r="D773" s="7">
        <v>545.79999999999995</v>
      </c>
    </row>
    <row r="774" spans="1:4" x14ac:dyDescent="0.2">
      <c r="A774" s="6" t="s">
        <v>17</v>
      </c>
      <c r="B774" s="6">
        <v>1999</v>
      </c>
      <c r="C774" s="6" t="s">
        <v>47</v>
      </c>
      <c r="D774" s="7">
        <v>362.3</v>
      </c>
    </row>
    <row r="775" spans="1:4" x14ac:dyDescent="0.2">
      <c r="A775" s="6" t="s">
        <v>18</v>
      </c>
      <c r="B775" s="6">
        <v>1999</v>
      </c>
      <c r="C775" s="6" t="s">
        <v>47</v>
      </c>
      <c r="D775" s="7">
        <v>81.099999999999994</v>
      </c>
    </row>
    <row r="776" spans="1:4" x14ac:dyDescent="0.2">
      <c r="A776" s="6" t="s">
        <v>19</v>
      </c>
      <c r="B776" s="6">
        <v>1999</v>
      </c>
      <c r="C776" s="6" t="s">
        <v>47</v>
      </c>
      <c r="D776" s="7">
        <v>226.9</v>
      </c>
    </row>
    <row r="777" spans="1:4" x14ac:dyDescent="0.2">
      <c r="A777" s="6" t="s">
        <v>20</v>
      </c>
      <c r="B777" s="6">
        <v>1999</v>
      </c>
      <c r="C777" s="6" t="s">
        <v>47</v>
      </c>
      <c r="D777" s="7">
        <v>454.2</v>
      </c>
    </row>
    <row r="778" spans="1:4" x14ac:dyDescent="0.2">
      <c r="A778" s="6" t="s">
        <v>21</v>
      </c>
      <c r="B778" s="6">
        <v>1999</v>
      </c>
      <c r="C778" s="6" t="s">
        <v>47</v>
      </c>
      <c r="D778" s="7">
        <v>132.4</v>
      </c>
    </row>
    <row r="779" spans="1:4" x14ac:dyDescent="0.2">
      <c r="A779" s="6" t="s">
        <v>22</v>
      </c>
      <c r="B779" s="6">
        <v>1999</v>
      </c>
      <c r="C779" s="6" t="s">
        <v>47</v>
      </c>
      <c r="D779" s="7">
        <v>158.69999999999999</v>
      </c>
    </row>
    <row r="780" spans="1:4" x14ac:dyDescent="0.2">
      <c r="A780" s="6" t="s">
        <v>23</v>
      </c>
      <c r="B780" s="6">
        <v>1999</v>
      </c>
      <c r="C780" s="6" t="s">
        <v>47</v>
      </c>
      <c r="D780" s="7">
        <v>264.60000000000002</v>
      </c>
    </row>
    <row r="781" spans="1:4" x14ac:dyDescent="0.2">
      <c r="A781" s="6" t="s">
        <v>24</v>
      </c>
      <c r="B781" s="6">
        <v>1999</v>
      </c>
      <c r="C781" s="6" t="s">
        <v>47</v>
      </c>
      <c r="D781" s="7">
        <v>201</v>
      </c>
    </row>
    <row r="782" spans="1:4" x14ac:dyDescent="0.2">
      <c r="A782" s="6" t="s">
        <v>25</v>
      </c>
      <c r="B782" s="6">
        <v>1999</v>
      </c>
      <c r="C782" s="6" t="s">
        <v>47</v>
      </c>
      <c r="D782" s="7">
        <v>268.2</v>
      </c>
    </row>
    <row r="783" spans="1:4" x14ac:dyDescent="0.2">
      <c r="A783" s="6" t="s">
        <v>26</v>
      </c>
      <c r="B783" s="6">
        <v>1999</v>
      </c>
      <c r="C783" s="6" t="s">
        <v>47</v>
      </c>
      <c r="D783" s="7">
        <v>218.7</v>
      </c>
    </row>
    <row r="784" spans="1:4" x14ac:dyDescent="0.2">
      <c r="A784" s="6" t="s">
        <v>27</v>
      </c>
      <c r="B784" s="6">
        <v>1999</v>
      </c>
      <c r="C784" s="6" t="s">
        <v>47</v>
      </c>
      <c r="D784" s="7">
        <v>305.60000000000002</v>
      </c>
    </row>
    <row r="785" spans="1:4" x14ac:dyDescent="0.2">
      <c r="A785" s="6" t="s">
        <v>28</v>
      </c>
      <c r="B785" s="6">
        <v>1999</v>
      </c>
      <c r="C785" s="6" t="s">
        <v>47</v>
      </c>
      <c r="D785" s="7">
        <v>609.1</v>
      </c>
    </row>
    <row r="786" spans="1:4" x14ac:dyDescent="0.2">
      <c r="A786" s="6" t="s">
        <v>29</v>
      </c>
      <c r="B786" s="6">
        <v>1999</v>
      </c>
      <c r="C786" s="6" t="s">
        <v>47</v>
      </c>
      <c r="D786" s="7">
        <v>577.20000000000005</v>
      </c>
    </row>
    <row r="787" spans="1:4" x14ac:dyDescent="0.2">
      <c r="A787" s="6" t="s">
        <v>30</v>
      </c>
      <c r="B787" s="6">
        <v>1999</v>
      </c>
      <c r="C787" s="6" t="s">
        <v>47</v>
      </c>
      <c r="D787" s="7">
        <v>300.7</v>
      </c>
    </row>
    <row r="788" spans="1:4" x14ac:dyDescent="0.2">
      <c r="A788" s="6" t="s">
        <v>31</v>
      </c>
      <c r="B788" s="6">
        <v>1999</v>
      </c>
      <c r="C788" s="6" t="s">
        <v>47</v>
      </c>
      <c r="D788" s="7">
        <v>241.6</v>
      </c>
    </row>
    <row r="789" spans="1:4" x14ac:dyDescent="0.2">
      <c r="A789" s="6" t="s">
        <v>32</v>
      </c>
      <c r="B789" s="6">
        <v>1999</v>
      </c>
      <c r="C789" s="6" t="s">
        <v>47</v>
      </c>
      <c r="D789" s="7">
        <v>429.1</v>
      </c>
    </row>
    <row r="790" spans="1:4" x14ac:dyDescent="0.2">
      <c r="A790" s="6" t="s">
        <v>33</v>
      </c>
      <c r="B790" s="6">
        <v>1999</v>
      </c>
      <c r="C790" s="6" t="s">
        <v>47</v>
      </c>
      <c r="D790" s="7">
        <v>196</v>
      </c>
    </row>
    <row r="791" spans="1:4" x14ac:dyDescent="0.2">
      <c r="A791" s="6" t="s">
        <v>34</v>
      </c>
      <c r="B791" s="6">
        <v>1999</v>
      </c>
      <c r="C791" s="6" t="s">
        <v>47</v>
      </c>
      <c r="D791" s="7">
        <v>67.7</v>
      </c>
    </row>
    <row r="792" spans="1:4" x14ac:dyDescent="0.2">
      <c r="A792" s="6" t="s">
        <v>35</v>
      </c>
      <c r="B792" s="6">
        <v>1999</v>
      </c>
      <c r="C792" s="6" t="s">
        <v>47</v>
      </c>
      <c r="D792" s="7">
        <v>247.5</v>
      </c>
    </row>
    <row r="793" spans="1:4" x14ac:dyDescent="0.2">
      <c r="A793" s="6" t="s">
        <v>36</v>
      </c>
      <c r="B793" s="6">
        <v>1999</v>
      </c>
      <c r="C793" s="6" t="s">
        <v>47</v>
      </c>
      <c r="D793" s="7">
        <v>133.5</v>
      </c>
    </row>
    <row r="794" spans="1:4" x14ac:dyDescent="0.2">
      <c r="A794" s="6" t="s">
        <v>37</v>
      </c>
      <c r="B794" s="6">
        <v>1999</v>
      </c>
      <c r="C794" s="6" t="s">
        <v>47</v>
      </c>
      <c r="D794" s="7">
        <v>0</v>
      </c>
    </row>
    <row r="795" spans="1:4" x14ac:dyDescent="0.2">
      <c r="A795" s="6" t="s">
        <v>38</v>
      </c>
      <c r="B795" s="6">
        <v>1999</v>
      </c>
      <c r="C795" s="6" t="s">
        <v>47</v>
      </c>
      <c r="D795" s="7">
        <v>0</v>
      </c>
    </row>
    <row r="796" spans="1:4" x14ac:dyDescent="0.2">
      <c r="A796" s="6" t="s">
        <v>39</v>
      </c>
      <c r="B796" s="6">
        <v>1999</v>
      </c>
      <c r="C796" s="6" t="s">
        <v>47</v>
      </c>
      <c r="D796" s="7">
        <v>0</v>
      </c>
    </row>
    <row r="797" spans="1:4" x14ac:dyDescent="0.2">
      <c r="A797" s="6" t="s">
        <v>40</v>
      </c>
      <c r="B797" s="6">
        <v>1999</v>
      </c>
      <c r="C797" s="6" t="s">
        <v>47</v>
      </c>
      <c r="D797" s="7">
        <v>352.6</v>
      </c>
    </row>
    <row r="798" spans="1:4" x14ac:dyDescent="0.2">
      <c r="A798" s="6" t="s">
        <v>41</v>
      </c>
      <c r="B798" s="6">
        <v>1999</v>
      </c>
      <c r="C798" s="6" t="s">
        <v>47</v>
      </c>
      <c r="D798" s="7">
        <v>398.8</v>
      </c>
    </row>
    <row r="799" spans="1:4" x14ac:dyDescent="0.2">
      <c r="A799" s="6" t="s">
        <v>42</v>
      </c>
      <c r="B799" s="6">
        <v>1999</v>
      </c>
      <c r="C799" s="6" t="s">
        <v>47</v>
      </c>
      <c r="D799" s="7">
        <v>389.5</v>
      </c>
    </row>
    <row r="800" spans="1:4" x14ac:dyDescent="0.2">
      <c r="A800" s="6" t="s">
        <v>4</v>
      </c>
      <c r="B800" s="6">
        <v>2011</v>
      </c>
      <c r="C800" s="6" t="s">
        <v>47</v>
      </c>
      <c r="D800" s="7">
        <v>493</v>
      </c>
    </row>
    <row r="801" spans="1:4" x14ac:dyDescent="0.2">
      <c r="A801" s="6" t="s">
        <v>6</v>
      </c>
      <c r="B801" s="6">
        <v>2011</v>
      </c>
      <c r="C801" s="6" t="s">
        <v>47</v>
      </c>
      <c r="D801" s="7">
        <v>387.59999999999997</v>
      </c>
    </row>
    <row r="802" spans="1:4" x14ac:dyDescent="0.2">
      <c r="A802" s="6" t="s">
        <v>7</v>
      </c>
      <c r="B802" s="6">
        <v>2011</v>
      </c>
      <c r="C802" s="6" t="s">
        <v>47</v>
      </c>
      <c r="D802" s="7">
        <v>321.39999999999998</v>
      </c>
    </row>
    <row r="803" spans="1:4" x14ac:dyDescent="0.2">
      <c r="A803" s="6" t="s">
        <v>8</v>
      </c>
      <c r="B803" s="6">
        <v>2011</v>
      </c>
      <c r="C803" s="6" t="s">
        <v>47</v>
      </c>
      <c r="D803" s="7">
        <v>258.39999999999998</v>
      </c>
    </row>
    <row r="804" spans="1:4" x14ac:dyDescent="0.2">
      <c r="A804" s="6" t="s">
        <v>9</v>
      </c>
      <c r="B804" s="6">
        <v>2011</v>
      </c>
      <c r="C804" s="6" t="s">
        <v>47</v>
      </c>
      <c r="D804" s="7">
        <v>618.4</v>
      </c>
    </row>
    <row r="805" spans="1:4" x14ac:dyDescent="0.2">
      <c r="A805" s="6" t="s">
        <v>10</v>
      </c>
      <c r="B805" s="6">
        <v>2011</v>
      </c>
      <c r="C805" s="6" t="s">
        <v>47</v>
      </c>
      <c r="D805" s="7">
        <v>154.1</v>
      </c>
    </row>
    <row r="806" spans="1:4" x14ac:dyDescent="0.2">
      <c r="A806" s="6" t="s">
        <v>11</v>
      </c>
      <c r="B806" s="6">
        <v>2011</v>
      </c>
      <c r="C806" s="6" t="s">
        <v>47</v>
      </c>
      <c r="D806" s="7">
        <v>154.6</v>
      </c>
    </row>
    <row r="807" spans="1:4" x14ac:dyDescent="0.2">
      <c r="A807" s="6" t="s">
        <v>12</v>
      </c>
      <c r="B807" s="6">
        <v>2011</v>
      </c>
      <c r="C807" s="6" t="s">
        <v>47</v>
      </c>
      <c r="D807" s="7">
        <v>147.4</v>
      </c>
    </row>
    <row r="808" spans="1:4" x14ac:dyDescent="0.2">
      <c r="A808" s="6" t="s">
        <v>13</v>
      </c>
      <c r="B808" s="6">
        <v>2011</v>
      </c>
      <c r="C808" s="6" t="s">
        <v>47</v>
      </c>
      <c r="D808" s="7">
        <v>231.7</v>
      </c>
    </row>
    <row r="809" spans="1:4" x14ac:dyDescent="0.2">
      <c r="A809" s="6" t="s">
        <v>14</v>
      </c>
      <c r="B809" s="6">
        <v>2011</v>
      </c>
      <c r="C809" s="6" t="s">
        <v>47</v>
      </c>
      <c r="D809" s="7">
        <v>191.5</v>
      </c>
    </row>
    <row r="810" spans="1:4" x14ac:dyDescent="0.2">
      <c r="A810" s="6" t="s">
        <v>15</v>
      </c>
      <c r="B810" s="6">
        <v>2011</v>
      </c>
      <c r="C810" s="6" t="s">
        <v>47</v>
      </c>
      <c r="D810" s="7">
        <v>234.5</v>
      </c>
    </row>
    <row r="811" spans="1:4" x14ac:dyDescent="0.2">
      <c r="A811" s="6" t="s">
        <v>16</v>
      </c>
      <c r="B811" s="6">
        <v>2011</v>
      </c>
      <c r="C811" s="6" t="s">
        <v>47</v>
      </c>
      <c r="D811" s="7">
        <v>566.20000000000005</v>
      </c>
    </row>
    <row r="812" spans="1:4" x14ac:dyDescent="0.2">
      <c r="A812" s="6" t="s">
        <v>17</v>
      </c>
      <c r="B812" s="6">
        <v>2011</v>
      </c>
      <c r="C812" s="6" t="s">
        <v>47</v>
      </c>
      <c r="D812" s="7">
        <v>399.2</v>
      </c>
    </row>
    <row r="813" spans="1:4" x14ac:dyDescent="0.2">
      <c r="A813" s="6" t="s">
        <v>18</v>
      </c>
      <c r="B813" s="6">
        <v>2011</v>
      </c>
      <c r="C813" s="6" t="s">
        <v>47</v>
      </c>
      <c r="D813" s="7">
        <v>95.1</v>
      </c>
    </row>
    <row r="814" spans="1:4" x14ac:dyDescent="0.2">
      <c r="A814" s="6" t="s">
        <v>19</v>
      </c>
      <c r="B814" s="6">
        <v>2011</v>
      </c>
      <c r="C814" s="6" t="s">
        <v>47</v>
      </c>
      <c r="D814" s="7">
        <v>247.9</v>
      </c>
    </row>
    <row r="815" spans="1:4" x14ac:dyDescent="0.2">
      <c r="A815" s="6" t="s">
        <v>20</v>
      </c>
      <c r="B815" s="6">
        <v>2011</v>
      </c>
      <c r="C815" s="6" t="s">
        <v>47</v>
      </c>
      <c r="D815" s="7">
        <v>501.1</v>
      </c>
    </row>
    <row r="816" spans="1:4" x14ac:dyDescent="0.2">
      <c r="A816" s="6" t="s">
        <v>21</v>
      </c>
      <c r="B816" s="6">
        <v>2011</v>
      </c>
      <c r="C816" s="6" t="s">
        <v>47</v>
      </c>
      <c r="D816" s="7">
        <v>165</v>
      </c>
    </row>
    <row r="817" spans="1:4" x14ac:dyDescent="0.2">
      <c r="A817" s="6" t="s">
        <v>22</v>
      </c>
      <c r="B817" s="6">
        <v>2011</v>
      </c>
      <c r="C817" s="6" t="s">
        <v>47</v>
      </c>
      <c r="D817" s="7">
        <v>187.79999999999998</v>
      </c>
    </row>
    <row r="818" spans="1:4" x14ac:dyDescent="0.2">
      <c r="A818" s="6" t="s">
        <v>23</v>
      </c>
      <c r="B818" s="6">
        <v>2011</v>
      </c>
      <c r="C818" s="6" t="s">
        <v>47</v>
      </c>
      <c r="D818" s="7">
        <v>242.7</v>
      </c>
    </row>
    <row r="819" spans="1:4" x14ac:dyDescent="0.2">
      <c r="A819" s="6" t="s">
        <v>24</v>
      </c>
      <c r="B819" s="6">
        <v>2011</v>
      </c>
      <c r="C819" s="6" t="s">
        <v>47</v>
      </c>
      <c r="D819" s="7">
        <v>227.6</v>
      </c>
    </row>
    <row r="820" spans="1:4" x14ac:dyDescent="0.2">
      <c r="A820" s="6" t="s">
        <v>25</v>
      </c>
      <c r="B820" s="6">
        <v>2011</v>
      </c>
      <c r="C820" s="6" t="s">
        <v>47</v>
      </c>
      <c r="D820" s="7">
        <v>322.8</v>
      </c>
    </row>
    <row r="821" spans="1:4" x14ac:dyDescent="0.2">
      <c r="A821" s="6" t="s">
        <v>26</v>
      </c>
      <c r="B821" s="6">
        <v>2011</v>
      </c>
      <c r="C821" s="6" t="s">
        <v>47</v>
      </c>
      <c r="D821" s="7">
        <v>243.6</v>
      </c>
    </row>
    <row r="822" spans="1:4" x14ac:dyDescent="0.2">
      <c r="A822" s="6" t="s">
        <v>27</v>
      </c>
      <c r="B822" s="6">
        <v>2011</v>
      </c>
      <c r="C822" s="6" t="s">
        <v>47</v>
      </c>
      <c r="D822" s="7">
        <v>345.3</v>
      </c>
    </row>
    <row r="823" spans="1:4" x14ac:dyDescent="0.2">
      <c r="A823" s="6" t="s">
        <v>28</v>
      </c>
      <c r="B823" s="6">
        <v>2011</v>
      </c>
      <c r="C823" s="6" t="s">
        <v>47</v>
      </c>
      <c r="D823" s="7">
        <v>682.4</v>
      </c>
    </row>
    <row r="824" spans="1:4" x14ac:dyDescent="0.2">
      <c r="A824" s="6" t="s">
        <v>29</v>
      </c>
      <c r="B824" s="6">
        <v>2011</v>
      </c>
      <c r="C824" s="6" t="s">
        <v>47</v>
      </c>
      <c r="D824" s="7">
        <v>646</v>
      </c>
    </row>
    <row r="825" spans="1:4" x14ac:dyDescent="0.2">
      <c r="A825" s="6" t="s">
        <v>30</v>
      </c>
      <c r="B825" s="6">
        <v>2011</v>
      </c>
      <c r="C825" s="6" t="s">
        <v>47</v>
      </c>
      <c r="D825" s="7">
        <v>377</v>
      </c>
    </row>
    <row r="826" spans="1:4" x14ac:dyDescent="0.2">
      <c r="A826" s="6" t="s">
        <v>31</v>
      </c>
      <c r="B826" s="6">
        <v>2011</v>
      </c>
      <c r="C826" s="6" t="s">
        <v>47</v>
      </c>
      <c r="D826" s="7">
        <v>278.3</v>
      </c>
    </row>
    <row r="827" spans="1:4" x14ac:dyDescent="0.2">
      <c r="A827" s="6" t="s">
        <v>32</v>
      </c>
      <c r="B827" s="6">
        <v>2011</v>
      </c>
      <c r="C827" s="6" t="s">
        <v>47</v>
      </c>
      <c r="D827" s="7">
        <v>483.4</v>
      </c>
    </row>
    <row r="828" spans="1:4" x14ac:dyDescent="0.2">
      <c r="A828" s="6" t="s">
        <v>33</v>
      </c>
      <c r="B828" s="6">
        <v>2011</v>
      </c>
      <c r="C828" s="6" t="s">
        <v>47</v>
      </c>
      <c r="D828" s="7">
        <v>236.10000000000002</v>
      </c>
    </row>
    <row r="829" spans="1:4" x14ac:dyDescent="0.2">
      <c r="A829" s="6" t="s">
        <v>34</v>
      </c>
      <c r="B829" s="6">
        <v>2011</v>
      </c>
      <c r="C829" s="6" t="s">
        <v>47</v>
      </c>
      <c r="D829" s="7">
        <v>80.599999999999994</v>
      </c>
    </row>
    <row r="830" spans="1:4" x14ac:dyDescent="0.2">
      <c r="A830" s="6" t="s">
        <v>35</v>
      </c>
      <c r="B830" s="6">
        <v>2011</v>
      </c>
      <c r="C830" s="6" t="s">
        <v>47</v>
      </c>
      <c r="D830" s="7">
        <v>294.10000000000002</v>
      </c>
    </row>
    <row r="831" spans="1:4" x14ac:dyDescent="0.2">
      <c r="A831" s="6" t="s">
        <v>36</v>
      </c>
      <c r="B831" s="6">
        <v>2011</v>
      </c>
      <c r="C831" s="6" t="s">
        <v>47</v>
      </c>
      <c r="D831" s="7">
        <v>144.69999999999999</v>
      </c>
    </row>
    <row r="832" spans="1:4" x14ac:dyDescent="0.2">
      <c r="A832" s="6" t="s">
        <v>37</v>
      </c>
      <c r="B832" s="6">
        <v>2011</v>
      </c>
      <c r="C832" s="6" t="s">
        <v>47</v>
      </c>
      <c r="D832" s="7">
        <v>234.5</v>
      </c>
    </row>
    <row r="833" spans="1:4" x14ac:dyDescent="0.2">
      <c r="A833" s="6" t="s">
        <v>38</v>
      </c>
      <c r="B833" s="6">
        <v>2011</v>
      </c>
      <c r="C833" s="6" t="s">
        <v>47</v>
      </c>
      <c r="D833" s="7">
        <v>195.5</v>
      </c>
    </row>
    <row r="834" spans="1:4" x14ac:dyDescent="0.2">
      <c r="A834" s="6" t="s">
        <v>39</v>
      </c>
      <c r="B834" s="6">
        <v>2011</v>
      </c>
      <c r="C834" s="6" t="s">
        <v>47</v>
      </c>
      <c r="D834" s="7">
        <v>140.4</v>
      </c>
    </row>
    <row r="835" spans="1:4" x14ac:dyDescent="0.2">
      <c r="A835" s="6" t="s">
        <v>40</v>
      </c>
      <c r="B835" s="6">
        <v>2011</v>
      </c>
      <c r="C835" s="6" t="s">
        <v>47</v>
      </c>
      <c r="D835" s="7">
        <v>330.7</v>
      </c>
    </row>
    <row r="836" spans="1:4" x14ac:dyDescent="0.2">
      <c r="A836" s="6" t="s">
        <v>41</v>
      </c>
      <c r="B836" s="6">
        <v>2011</v>
      </c>
      <c r="C836" s="6" t="s">
        <v>47</v>
      </c>
      <c r="D836" s="7">
        <v>441.70000000000005</v>
      </c>
    </row>
    <row r="837" spans="1:4" x14ac:dyDescent="0.2">
      <c r="A837" s="6" t="s">
        <v>42</v>
      </c>
      <c r="B837" s="6">
        <v>2011</v>
      </c>
      <c r="C837" s="6" t="s">
        <v>47</v>
      </c>
      <c r="D837" s="7">
        <v>328.79999999999995</v>
      </c>
    </row>
    <row r="838" spans="1:4" x14ac:dyDescent="0.2">
      <c r="A838" s="6" t="s">
        <v>4</v>
      </c>
      <c r="B838" s="6">
        <v>2012</v>
      </c>
      <c r="C838" s="6" t="s">
        <v>47</v>
      </c>
      <c r="D838" s="7">
        <v>505.8</v>
      </c>
    </row>
    <row r="839" spans="1:4" x14ac:dyDescent="0.2">
      <c r="A839" s="6" t="s">
        <v>6</v>
      </c>
      <c r="B839" s="6">
        <v>2012</v>
      </c>
      <c r="C839" s="6" t="s">
        <v>47</v>
      </c>
      <c r="D839" s="7">
        <v>392.5</v>
      </c>
    </row>
    <row r="840" spans="1:4" x14ac:dyDescent="0.2">
      <c r="A840" s="6" t="s">
        <v>7</v>
      </c>
      <c r="B840" s="6">
        <v>2012</v>
      </c>
      <c r="C840" s="6" t="s">
        <v>47</v>
      </c>
      <c r="D840" s="7">
        <v>328.09999999999997</v>
      </c>
    </row>
    <row r="841" spans="1:4" x14ac:dyDescent="0.2">
      <c r="A841" s="6" t="s">
        <v>8</v>
      </c>
      <c r="B841" s="6">
        <v>2012</v>
      </c>
      <c r="C841" s="6" t="s">
        <v>47</v>
      </c>
      <c r="D841" s="7">
        <v>260.3</v>
      </c>
    </row>
    <row r="842" spans="1:4" x14ac:dyDescent="0.2">
      <c r="A842" s="6" t="s">
        <v>9</v>
      </c>
      <c r="B842" s="6">
        <v>2012</v>
      </c>
      <c r="C842" s="6" t="s">
        <v>47</v>
      </c>
      <c r="D842" s="7">
        <v>632.19999999999993</v>
      </c>
    </row>
    <row r="843" spans="1:4" x14ac:dyDescent="0.2">
      <c r="A843" s="6" t="s">
        <v>10</v>
      </c>
      <c r="B843" s="6">
        <v>2012</v>
      </c>
      <c r="C843" s="6" t="s">
        <v>47</v>
      </c>
      <c r="D843" s="7">
        <v>156</v>
      </c>
    </row>
    <row r="844" spans="1:4" x14ac:dyDescent="0.2">
      <c r="A844" s="6" t="s">
        <v>11</v>
      </c>
      <c r="B844" s="6">
        <v>2012</v>
      </c>
      <c r="C844" s="6" t="s">
        <v>47</v>
      </c>
      <c r="D844" s="7">
        <v>161</v>
      </c>
    </row>
    <row r="845" spans="1:4" x14ac:dyDescent="0.2">
      <c r="A845" s="6" t="s">
        <v>12</v>
      </c>
      <c r="B845" s="6">
        <v>2012</v>
      </c>
      <c r="C845" s="6" t="s">
        <v>47</v>
      </c>
      <c r="D845" s="7">
        <v>151.70000000000002</v>
      </c>
    </row>
    <row r="846" spans="1:4" x14ac:dyDescent="0.2">
      <c r="A846" s="6" t="s">
        <v>13</v>
      </c>
      <c r="B846" s="6">
        <v>2012</v>
      </c>
      <c r="C846" s="6" t="s">
        <v>47</v>
      </c>
      <c r="D846" s="7">
        <v>242.60000000000002</v>
      </c>
    </row>
    <row r="847" spans="1:4" x14ac:dyDescent="0.2">
      <c r="A847" s="6" t="s">
        <v>14</v>
      </c>
      <c r="B847" s="6">
        <v>2012</v>
      </c>
      <c r="C847" s="6" t="s">
        <v>47</v>
      </c>
      <c r="D847" s="7">
        <v>197.2</v>
      </c>
    </row>
    <row r="848" spans="1:4" x14ac:dyDescent="0.2">
      <c r="A848" s="6" t="s">
        <v>15</v>
      </c>
      <c r="B848" s="6">
        <v>2012</v>
      </c>
      <c r="C848" s="6" t="s">
        <v>47</v>
      </c>
      <c r="D848" s="7">
        <v>233.7</v>
      </c>
    </row>
    <row r="849" spans="1:4" x14ac:dyDescent="0.2">
      <c r="A849" s="6" t="s">
        <v>16</v>
      </c>
      <c r="B849" s="6">
        <v>2012</v>
      </c>
      <c r="C849" s="6" t="s">
        <v>47</v>
      </c>
      <c r="D849" s="7">
        <v>570.6</v>
      </c>
    </row>
    <row r="850" spans="1:4" x14ac:dyDescent="0.2">
      <c r="A850" s="6" t="s">
        <v>17</v>
      </c>
      <c r="B850" s="6">
        <v>2012</v>
      </c>
      <c r="C850" s="6" t="s">
        <v>47</v>
      </c>
      <c r="D850" s="7">
        <v>397.70000000000005</v>
      </c>
    </row>
    <row r="851" spans="1:4" x14ac:dyDescent="0.2">
      <c r="A851" s="6" t="s">
        <v>18</v>
      </c>
      <c r="B851" s="6">
        <v>2012</v>
      </c>
      <c r="C851" s="6" t="s">
        <v>47</v>
      </c>
      <c r="D851" s="7">
        <v>94.8</v>
      </c>
    </row>
    <row r="852" spans="1:4" x14ac:dyDescent="0.2">
      <c r="A852" s="6" t="s">
        <v>19</v>
      </c>
      <c r="B852" s="6">
        <v>2012</v>
      </c>
      <c r="C852" s="6" t="s">
        <v>47</v>
      </c>
      <c r="D852" s="7">
        <v>258.7</v>
      </c>
    </row>
    <row r="853" spans="1:4" x14ac:dyDescent="0.2">
      <c r="A853" s="6" t="s">
        <v>20</v>
      </c>
      <c r="B853" s="6">
        <v>2012</v>
      </c>
      <c r="C853" s="6" t="s">
        <v>47</v>
      </c>
      <c r="D853" s="7">
        <v>507</v>
      </c>
    </row>
    <row r="854" spans="1:4" x14ac:dyDescent="0.2">
      <c r="A854" s="6" t="s">
        <v>21</v>
      </c>
      <c r="B854" s="6">
        <v>2012</v>
      </c>
      <c r="C854" s="6" t="s">
        <v>47</v>
      </c>
      <c r="D854" s="7">
        <v>164.5</v>
      </c>
    </row>
    <row r="855" spans="1:4" x14ac:dyDescent="0.2">
      <c r="A855" s="6" t="s">
        <v>22</v>
      </c>
      <c r="B855" s="6">
        <v>2012</v>
      </c>
      <c r="C855" s="6" t="s">
        <v>47</v>
      </c>
      <c r="D855" s="7">
        <v>192.6</v>
      </c>
    </row>
    <row r="856" spans="1:4" x14ac:dyDescent="0.2">
      <c r="A856" s="6" t="s">
        <v>23</v>
      </c>
      <c r="B856" s="6">
        <v>2012</v>
      </c>
      <c r="C856" s="6" t="s">
        <v>47</v>
      </c>
      <c r="D856" s="7">
        <v>231.29999999999998</v>
      </c>
    </row>
    <row r="857" spans="1:4" x14ac:dyDescent="0.2">
      <c r="A857" s="6" t="s">
        <v>24</v>
      </c>
      <c r="B857" s="6">
        <v>2012</v>
      </c>
      <c r="C857" s="6" t="s">
        <v>47</v>
      </c>
      <c r="D857" s="7">
        <v>232.7</v>
      </c>
    </row>
    <row r="858" spans="1:4" x14ac:dyDescent="0.2">
      <c r="A858" s="6" t="s">
        <v>25</v>
      </c>
      <c r="B858" s="6">
        <v>2012</v>
      </c>
      <c r="C858" s="6" t="s">
        <v>47</v>
      </c>
      <c r="D858" s="7">
        <v>335.29999999999995</v>
      </c>
    </row>
    <row r="859" spans="1:4" x14ac:dyDescent="0.2">
      <c r="A859" s="6" t="s">
        <v>26</v>
      </c>
      <c r="B859" s="6">
        <v>2012</v>
      </c>
      <c r="C859" s="6" t="s">
        <v>47</v>
      </c>
      <c r="D859" s="7">
        <v>247.79999999999998</v>
      </c>
    </row>
    <row r="860" spans="1:4" x14ac:dyDescent="0.2">
      <c r="A860" s="6" t="s">
        <v>27</v>
      </c>
      <c r="B860" s="6">
        <v>2012</v>
      </c>
      <c r="C860" s="6" t="s">
        <v>47</v>
      </c>
      <c r="D860" s="7">
        <v>362.70000000000005</v>
      </c>
    </row>
    <row r="861" spans="1:4" x14ac:dyDescent="0.2">
      <c r="A861" s="6" t="s">
        <v>28</v>
      </c>
      <c r="B861" s="6">
        <v>2012</v>
      </c>
      <c r="C861" s="6" t="s">
        <v>47</v>
      </c>
      <c r="D861" s="7">
        <v>690.6</v>
      </c>
    </row>
    <row r="862" spans="1:4" x14ac:dyDescent="0.2">
      <c r="A862" s="6" t="s">
        <v>29</v>
      </c>
      <c r="B862" s="6">
        <v>2012</v>
      </c>
      <c r="C862" s="6" t="s">
        <v>47</v>
      </c>
      <c r="D862" s="7">
        <v>652.70000000000005</v>
      </c>
    </row>
    <row r="863" spans="1:4" x14ac:dyDescent="0.2">
      <c r="A863" s="6" t="s">
        <v>30</v>
      </c>
      <c r="B863" s="6">
        <v>2012</v>
      </c>
      <c r="C863" s="6" t="s">
        <v>47</v>
      </c>
      <c r="D863" s="7">
        <v>379.1</v>
      </c>
    </row>
    <row r="864" spans="1:4" x14ac:dyDescent="0.2">
      <c r="A864" s="6" t="s">
        <v>31</v>
      </c>
      <c r="B864" s="6">
        <v>2012</v>
      </c>
      <c r="C864" s="6" t="s">
        <v>47</v>
      </c>
      <c r="D864" s="7">
        <v>284.5</v>
      </c>
    </row>
    <row r="865" spans="1:4" x14ac:dyDescent="0.2">
      <c r="A865" s="6" t="s">
        <v>32</v>
      </c>
      <c r="B865" s="6">
        <v>2012</v>
      </c>
      <c r="C865" s="6" t="s">
        <v>47</v>
      </c>
      <c r="D865" s="7">
        <v>494</v>
      </c>
    </row>
    <row r="866" spans="1:4" x14ac:dyDescent="0.2">
      <c r="A866" s="6" t="s">
        <v>33</v>
      </c>
      <c r="B866" s="6">
        <v>2012</v>
      </c>
      <c r="C866" s="6" t="s">
        <v>47</v>
      </c>
      <c r="D866" s="7">
        <v>243.10000000000002</v>
      </c>
    </row>
    <row r="867" spans="1:4" x14ac:dyDescent="0.2">
      <c r="A867" s="6" t="s">
        <v>34</v>
      </c>
      <c r="B867" s="6">
        <v>2012</v>
      </c>
      <c r="C867" s="6" t="s">
        <v>47</v>
      </c>
      <c r="D867" s="7">
        <v>79.099999999999994</v>
      </c>
    </row>
    <row r="868" spans="1:4" x14ac:dyDescent="0.2">
      <c r="A868" s="6" t="s">
        <v>35</v>
      </c>
      <c r="B868" s="6">
        <v>2012</v>
      </c>
      <c r="C868" s="6" t="s">
        <v>47</v>
      </c>
      <c r="D868" s="7">
        <v>309.60000000000002</v>
      </c>
    </row>
    <row r="869" spans="1:4" x14ac:dyDescent="0.2">
      <c r="A869" s="6" t="s">
        <v>36</v>
      </c>
      <c r="B869" s="6">
        <v>2012</v>
      </c>
      <c r="C869" s="6" t="s">
        <v>47</v>
      </c>
      <c r="D869" s="7">
        <v>144.6</v>
      </c>
    </row>
    <row r="870" spans="1:4" x14ac:dyDescent="0.2">
      <c r="A870" s="6" t="s">
        <v>37</v>
      </c>
      <c r="B870" s="6">
        <v>2012</v>
      </c>
      <c r="C870" s="6" t="s">
        <v>47</v>
      </c>
      <c r="D870" s="7">
        <v>230.4</v>
      </c>
    </row>
    <row r="871" spans="1:4" x14ac:dyDescent="0.2">
      <c r="A871" s="6" t="s">
        <v>38</v>
      </c>
      <c r="B871" s="6">
        <v>2012</v>
      </c>
      <c r="C871" s="6" t="s">
        <v>47</v>
      </c>
      <c r="D871" s="7">
        <v>183.7</v>
      </c>
    </row>
    <row r="872" spans="1:4" x14ac:dyDescent="0.2">
      <c r="A872" s="6" t="s">
        <v>39</v>
      </c>
      <c r="B872" s="6">
        <v>2012</v>
      </c>
      <c r="C872" s="6" t="s">
        <v>47</v>
      </c>
      <c r="D872" s="7">
        <v>143.5</v>
      </c>
    </row>
    <row r="873" spans="1:4" x14ac:dyDescent="0.2">
      <c r="A873" s="6" t="s">
        <v>40</v>
      </c>
      <c r="B873" s="6">
        <v>2012</v>
      </c>
      <c r="C873" s="6" t="s">
        <v>47</v>
      </c>
      <c r="D873" s="7">
        <v>328.6</v>
      </c>
    </row>
    <row r="874" spans="1:4" x14ac:dyDescent="0.2">
      <c r="A874" s="6" t="s">
        <v>41</v>
      </c>
      <c r="B874" s="6">
        <v>2012</v>
      </c>
      <c r="C874" s="6" t="s">
        <v>47</v>
      </c>
      <c r="D874" s="7">
        <v>446.9</v>
      </c>
    </row>
    <row r="875" spans="1:4" x14ac:dyDescent="0.2">
      <c r="A875" s="6" t="s">
        <v>42</v>
      </c>
      <c r="B875" s="6">
        <v>2012</v>
      </c>
      <c r="C875" s="6" t="s">
        <v>47</v>
      </c>
      <c r="D875" s="7">
        <v>322.40000000000003</v>
      </c>
    </row>
    <row r="876" spans="1:4" x14ac:dyDescent="0.2">
      <c r="A876" s="6" t="s">
        <v>4</v>
      </c>
      <c r="B876" s="6">
        <v>2019</v>
      </c>
      <c r="C876" s="6" t="s">
        <v>47</v>
      </c>
      <c r="D876" s="7">
        <v>590.20000000000005</v>
      </c>
    </row>
    <row r="877" spans="1:4" x14ac:dyDescent="0.2">
      <c r="A877" s="6" t="s">
        <v>6</v>
      </c>
      <c r="B877" s="6">
        <v>2019</v>
      </c>
      <c r="C877" s="6" t="s">
        <v>47</v>
      </c>
      <c r="D877" s="7">
        <v>439.3</v>
      </c>
    </row>
    <row r="878" spans="1:4" x14ac:dyDescent="0.2">
      <c r="A878" s="6" t="s">
        <v>7</v>
      </c>
      <c r="B878" s="6">
        <v>2019</v>
      </c>
      <c r="C878" s="6" t="s">
        <v>47</v>
      </c>
      <c r="D878" s="7">
        <v>355.2</v>
      </c>
    </row>
    <row r="879" spans="1:4" x14ac:dyDescent="0.2">
      <c r="A879" s="6" t="s">
        <v>8</v>
      </c>
      <c r="B879" s="6">
        <v>2019</v>
      </c>
      <c r="C879" s="6" t="s">
        <v>47</v>
      </c>
      <c r="D879" s="7">
        <v>275.8</v>
      </c>
    </row>
    <row r="880" spans="1:4" x14ac:dyDescent="0.2">
      <c r="A880" s="6" t="s">
        <v>9</v>
      </c>
      <c r="B880" s="6">
        <v>2019</v>
      </c>
      <c r="C880" s="6" t="s">
        <v>47</v>
      </c>
      <c r="D880" s="7">
        <v>701.5</v>
      </c>
    </row>
    <row r="881" spans="1:4" x14ac:dyDescent="0.2">
      <c r="A881" s="6" t="s">
        <v>10</v>
      </c>
      <c r="B881" s="6">
        <v>2019</v>
      </c>
      <c r="C881" s="6" t="s">
        <v>47</v>
      </c>
      <c r="D881" s="7">
        <v>177.29999999999998</v>
      </c>
    </row>
    <row r="882" spans="1:4" x14ac:dyDescent="0.2">
      <c r="A882" s="6" t="s">
        <v>11</v>
      </c>
      <c r="B882" s="6">
        <v>2019</v>
      </c>
      <c r="C882" s="6" t="s">
        <v>47</v>
      </c>
      <c r="D882" s="7">
        <v>166.3</v>
      </c>
    </row>
    <row r="883" spans="1:4" x14ac:dyDescent="0.2">
      <c r="A883" s="6" t="s">
        <v>12</v>
      </c>
      <c r="B883" s="6">
        <v>2019</v>
      </c>
      <c r="C883" s="6" t="s">
        <v>47</v>
      </c>
      <c r="D883" s="7">
        <v>176.39999999999998</v>
      </c>
    </row>
    <row r="884" spans="1:4" x14ac:dyDescent="0.2">
      <c r="A884" s="6" t="s">
        <v>13</v>
      </c>
      <c r="B884" s="6">
        <v>2019</v>
      </c>
      <c r="C884" s="6" t="s">
        <v>47</v>
      </c>
      <c r="D884" s="7">
        <v>263.5</v>
      </c>
    </row>
    <row r="885" spans="1:4" x14ac:dyDescent="0.2">
      <c r="A885" s="6" t="s">
        <v>14</v>
      </c>
      <c r="B885" s="6">
        <v>2019</v>
      </c>
      <c r="C885" s="6" t="s">
        <v>47</v>
      </c>
      <c r="D885" s="7">
        <v>202.6</v>
      </c>
    </row>
    <row r="886" spans="1:4" x14ac:dyDescent="0.2">
      <c r="A886" s="6" t="s">
        <v>15</v>
      </c>
      <c r="B886" s="6">
        <v>2019</v>
      </c>
      <c r="C886" s="6" t="s">
        <v>47</v>
      </c>
      <c r="D886" s="7">
        <v>293.3</v>
      </c>
    </row>
    <row r="887" spans="1:4" x14ac:dyDescent="0.2">
      <c r="A887" s="6" t="s">
        <v>16</v>
      </c>
      <c r="B887" s="6">
        <v>2019</v>
      </c>
      <c r="C887" s="6" t="s">
        <v>47</v>
      </c>
      <c r="D887" s="7">
        <v>666.8</v>
      </c>
    </row>
    <row r="888" spans="1:4" x14ac:dyDescent="0.2">
      <c r="A888" s="6" t="s">
        <v>17</v>
      </c>
      <c r="B888" s="6">
        <v>2019</v>
      </c>
      <c r="C888" s="6" t="s">
        <v>47</v>
      </c>
      <c r="D888" s="7">
        <v>444.20000000000005</v>
      </c>
    </row>
    <row r="889" spans="1:4" x14ac:dyDescent="0.2">
      <c r="A889" s="6" t="s">
        <v>18</v>
      </c>
      <c r="B889" s="6">
        <v>2019</v>
      </c>
      <c r="C889" s="6" t="s">
        <v>47</v>
      </c>
      <c r="D889" s="7">
        <v>112.4</v>
      </c>
    </row>
    <row r="890" spans="1:4" x14ac:dyDescent="0.2">
      <c r="A890" s="6" t="s">
        <v>19</v>
      </c>
      <c r="B890" s="6">
        <v>2019</v>
      </c>
      <c r="C890" s="6" t="s">
        <v>47</v>
      </c>
      <c r="D890" s="7">
        <v>288.60000000000002</v>
      </c>
    </row>
    <row r="891" spans="1:4" x14ac:dyDescent="0.2">
      <c r="A891" s="6" t="s">
        <v>20</v>
      </c>
      <c r="B891" s="6">
        <v>2019</v>
      </c>
      <c r="C891" s="6" t="s">
        <v>47</v>
      </c>
      <c r="D891" s="7">
        <v>561.79999999999995</v>
      </c>
    </row>
    <row r="892" spans="1:4" x14ac:dyDescent="0.2">
      <c r="A892" s="6" t="s">
        <v>21</v>
      </c>
      <c r="B892" s="6">
        <v>2019</v>
      </c>
      <c r="C892" s="6" t="s">
        <v>47</v>
      </c>
      <c r="D892" s="7">
        <v>174</v>
      </c>
    </row>
    <row r="893" spans="1:4" x14ac:dyDescent="0.2">
      <c r="A893" s="6" t="s">
        <v>22</v>
      </c>
      <c r="B893" s="6">
        <v>2019</v>
      </c>
      <c r="C893" s="6" t="s">
        <v>47</v>
      </c>
      <c r="D893" s="7">
        <v>205.3</v>
      </c>
    </row>
    <row r="894" spans="1:4" x14ac:dyDescent="0.2">
      <c r="A894" s="6" t="s">
        <v>23</v>
      </c>
      <c r="B894" s="6">
        <v>2019</v>
      </c>
      <c r="C894" s="6" t="s">
        <v>47</v>
      </c>
      <c r="D894" s="7">
        <v>259.89999999999998</v>
      </c>
    </row>
    <row r="895" spans="1:4" x14ac:dyDescent="0.2">
      <c r="A895" s="6" t="s">
        <v>24</v>
      </c>
      <c r="B895" s="6">
        <v>2019</v>
      </c>
      <c r="C895" s="6" t="s">
        <v>47</v>
      </c>
      <c r="D895" s="7">
        <v>249.3</v>
      </c>
    </row>
    <row r="896" spans="1:4" x14ac:dyDescent="0.2">
      <c r="A896" s="6" t="s">
        <v>25</v>
      </c>
      <c r="B896" s="6">
        <v>2019</v>
      </c>
      <c r="C896" s="6" t="s">
        <v>47</v>
      </c>
      <c r="D896" s="7">
        <v>351.3</v>
      </c>
    </row>
    <row r="897" spans="1:4" x14ac:dyDescent="0.2">
      <c r="A897" s="6" t="s">
        <v>26</v>
      </c>
      <c r="B897" s="6">
        <v>2019</v>
      </c>
      <c r="C897" s="6" t="s">
        <v>47</v>
      </c>
      <c r="D897" s="7">
        <v>269.5</v>
      </c>
    </row>
    <row r="898" spans="1:4" x14ac:dyDescent="0.2">
      <c r="A898" s="6" t="s">
        <v>27</v>
      </c>
      <c r="B898" s="6">
        <v>2019</v>
      </c>
      <c r="C898" s="6" t="s">
        <v>47</v>
      </c>
      <c r="D898" s="7">
        <v>381.5</v>
      </c>
    </row>
    <row r="899" spans="1:4" x14ac:dyDescent="0.2">
      <c r="A899" s="6" t="s">
        <v>28</v>
      </c>
      <c r="B899" s="6">
        <v>2019</v>
      </c>
      <c r="C899" s="6" t="s">
        <v>47</v>
      </c>
      <c r="D899" s="7">
        <v>766.4</v>
      </c>
    </row>
    <row r="900" spans="1:4" x14ac:dyDescent="0.2">
      <c r="A900" s="6" t="s">
        <v>29</v>
      </c>
      <c r="B900" s="6">
        <v>2019</v>
      </c>
      <c r="C900" s="6" t="s">
        <v>47</v>
      </c>
      <c r="D900" s="7">
        <v>751.1</v>
      </c>
    </row>
    <row r="901" spans="1:4" x14ac:dyDescent="0.2">
      <c r="A901" s="6" t="s">
        <v>30</v>
      </c>
      <c r="B901" s="6">
        <v>2019</v>
      </c>
      <c r="C901" s="6" t="s">
        <v>47</v>
      </c>
      <c r="D901" s="7">
        <v>441.59999999999997</v>
      </c>
    </row>
    <row r="902" spans="1:4" x14ac:dyDescent="0.2">
      <c r="A902" s="6" t="s">
        <v>31</v>
      </c>
      <c r="B902" s="6">
        <v>2019</v>
      </c>
      <c r="C902" s="6" t="s">
        <v>47</v>
      </c>
      <c r="D902" s="7">
        <v>301.7</v>
      </c>
    </row>
    <row r="903" spans="1:4" x14ac:dyDescent="0.2">
      <c r="A903" s="6" t="s">
        <v>32</v>
      </c>
      <c r="B903" s="6">
        <v>2019</v>
      </c>
      <c r="C903" s="6" t="s">
        <v>47</v>
      </c>
      <c r="D903" s="7">
        <v>547</v>
      </c>
    </row>
    <row r="904" spans="1:4" x14ac:dyDescent="0.2">
      <c r="A904" s="6" t="s">
        <v>33</v>
      </c>
      <c r="B904" s="6">
        <v>2019</v>
      </c>
      <c r="C904" s="6" t="s">
        <v>47</v>
      </c>
      <c r="D904" s="7">
        <v>244.4</v>
      </c>
    </row>
    <row r="905" spans="1:4" x14ac:dyDescent="0.2">
      <c r="A905" s="6" t="s">
        <v>34</v>
      </c>
      <c r="B905" s="6">
        <v>2019</v>
      </c>
      <c r="C905" s="6" t="s">
        <v>47</v>
      </c>
      <c r="D905" s="7">
        <v>91.899999999999991</v>
      </c>
    </row>
    <row r="906" spans="1:4" x14ac:dyDescent="0.2">
      <c r="A906" s="6" t="s">
        <v>35</v>
      </c>
      <c r="B906" s="6">
        <v>2019</v>
      </c>
      <c r="C906" s="6" t="s">
        <v>47</v>
      </c>
      <c r="D906" s="7">
        <v>321.09999999999997</v>
      </c>
    </row>
    <row r="907" spans="1:4" x14ac:dyDescent="0.2">
      <c r="A907" s="6" t="s">
        <v>36</v>
      </c>
      <c r="B907" s="6">
        <v>2019</v>
      </c>
      <c r="C907" s="6" t="s">
        <v>47</v>
      </c>
      <c r="D907" s="7">
        <v>159.5</v>
      </c>
    </row>
    <row r="908" spans="1:4" x14ac:dyDescent="0.2">
      <c r="A908" s="6" t="s">
        <v>37</v>
      </c>
      <c r="B908" s="6">
        <v>2019</v>
      </c>
      <c r="C908" s="6" t="s">
        <v>47</v>
      </c>
      <c r="D908" s="7">
        <v>259</v>
      </c>
    </row>
    <row r="909" spans="1:4" x14ac:dyDescent="0.2">
      <c r="A909" s="6" t="s">
        <v>38</v>
      </c>
      <c r="B909" s="6">
        <v>2019</v>
      </c>
      <c r="C909" s="6" t="s">
        <v>47</v>
      </c>
      <c r="D909" s="7">
        <v>198.4</v>
      </c>
    </row>
    <row r="910" spans="1:4" x14ac:dyDescent="0.2">
      <c r="A910" s="6" t="s">
        <v>39</v>
      </c>
      <c r="B910" s="6">
        <v>2019</v>
      </c>
      <c r="C910" s="6" t="s">
        <v>47</v>
      </c>
      <c r="D910" s="7">
        <v>165.6</v>
      </c>
    </row>
    <row r="911" spans="1:4" x14ac:dyDescent="0.2">
      <c r="A911" s="6" t="s">
        <v>40</v>
      </c>
      <c r="B911" s="6">
        <v>2019</v>
      </c>
      <c r="C911" s="6" t="s">
        <v>47</v>
      </c>
      <c r="D911" s="7">
        <v>326.7</v>
      </c>
    </row>
    <row r="912" spans="1:4" x14ac:dyDescent="0.2">
      <c r="A912" s="6" t="s">
        <v>41</v>
      </c>
      <c r="B912" s="6">
        <v>2019</v>
      </c>
      <c r="C912" s="6" t="s">
        <v>47</v>
      </c>
      <c r="D912" s="7">
        <v>499.90000000000003</v>
      </c>
    </row>
    <row r="913" spans="1:4" x14ac:dyDescent="0.2">
      <c r="A913" s="6" t="s">
        <v>42</v>
      </c>
      <c r="B913" s="6">
        <v>2019</v>
      </c>
      <c r="C913" s="6" t="s">
        <v>47</v>
      </c>
      <c r="D913" s="7">
        <v>322.39999999999998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2FD2-4A7D-5640-A36C-9A39CB629986}">
  <dimension ref="A1:C25"/>
  <sheetViews>
    <sheetView workbookViewId="0">
      <selection activeCell="E12" sqref="E12"/>
    </sheetView>
  </sheetViews>
  <sheetFormatPr baseColWidth="10" defaultRowHeight="16" x14ac:dyDescent="0.2"/>
  <cols>
    <col min="1" max="2" width="10.83203125" style="1"/>
    <col min="3" max="3" width="17.83203125" style="5" bestFit="1" customWidth="1"/>
  </cols>
  <sheetData>
    <row r="1" spans="1:3" x14ac:dyDescent="0.2">
      <c r="A1" s="8" t="s">
        <v>1</v>
      </c>
      <c r="B1" s="8" t="s">
        <v>2</v>
      </c>
      <c r="C1" s="11" t="s">
        <v>48</v>
      </c>
    </row>
    <row r="2" spans="1:3" x14ac:dyDescent="0.2">
      <c r="A2" s="6">
        <v>1999</v>
      </c>
      <c r="B2" s="6" t="s">
        <v>5</v>
      </c>
      <c r="C2" s="10">
        <v>146970629</v>
      </c>
    </row>
    <row r="3" spans="1:3" x14ac:dyDescent="0.2">
      <c r="A3" s="6">
        <v>1999</v>
      </c>
      <c r="B3" s="6" t="s">
        <v>43</v>
      </c>
      <c r="C3" s="10">
        <v>14200111910</v>
      </c>
    </row>
    <row r="4" spans="1:3" x14ac:dyDescent="0.2">
      <c r="A4" s="6">
        <v>1999</v>
      </c>
      <c r="B4" s="6" t="s">
        <v>44</v>
      </c>
      <c r="C4" s="10">
        <v>0</v>
      </c>
    </row>
    <row r="5" spans="1:3" x14ac:dyDescent="0.2">
      <c r="A5" s="6">
        <v>1999</v>
      </c>
      <c r="B5" s="6" t="s">
        <v>45</v>
      </c>
      <c r="C5" s="10">
        <v>0</v>
      </c>
    </row>
    <row r="6" spans="1:3" x14ac:dyDescent="0.2">
      <c r="A6" s="6">
        <v>1999</v>
      </c>
      <c r="B6" s="6" t="s">
        <v>46</v>
      </c>
      <c r="C6" s="10">
        <v>55522</v>
      </c>
    </row>
    <row r="7" spans="1:3" x14ac:dyDescent="0.2">
      <c r="A7" s="6">
        <v>1999</v>
      </c>
      <c r="B7" s="6" t="s">
        <v>47</v>
      </c>
      <c r="C7" s="10">
        <v>3570931</v>
      </c>
    </row>
    <row r="8" spans="1:3" x14ac:dyDescent="0.2">
      <c r="A8" s="6">
        <v>2011</v>
      </c>
      <c r="B8" s="6" t="s">
        <v>5</v>
      </c>
      <c r="C8" s="10">
        <v>633660630.27900004</v>
      </c>
    </row>
    <row r="9" spans="1:3" x14ac:dyDescent="0.2">
      <c r="A9" s="6">
        <v>2011</v>
      </c>
      <c r="B9" s="6" t="s">
        <v>43</v>
      </c>
      <c r="C9" s="10">
        <v>110659133050.68896</v>
      </c>
    </row>
    <row r="10" spans="1:3" x14ac:dyDescent="0.2">
      <c r="A10" s="6">
        <v>2011</v>
      </c>
      <c r="B10" s="6" t="s">
        <v>44</v>
      </c>
      <c r="C10" s="10">
        <v>0</v>
      </c>
    </row>
    <row r="11" spans="1:3" x14ac:dyDescent="0.2">
      <c r="A11" s="6">
        <v>2011</v>
      </c>
      <c r="B11" s="6" t="s">
        <v>45</v>
      </c>
      <c r="C11" s="10">
        <v>0</v>
      </c>
    </row>
    <row r="12" spans="1:3" x14ac:dyDescent="0.2">
      <c r="A12" s="6">
        <v>2011</v>
      </c>
      <c r="B12" s="6" t="s">
        <v>46</v>
      </c>
      <c r="C12" s="10">
        <v>73440.386999999988</v>
      </c>
    </row>
    <row r="13" spans="1:3" x14ac:dyDescent="0.2">
      <c r="A13" s="6">
        <v>2011</v>
      </c>
      <c r="B13" s="6" t="s">
        <v>47</v>
      </c>
      <c r="C13" s="10">
        <v>13752870.020000001</v>
      </c>
    </row>
    <row r="14" spans="1:3" x14ac:dyDescent="0.2">
      <c r="A14" s="6">
        <v>2012</v>
      </c>
      <c r="B14" s="6" t="s">
        <v>5</v>
      </c>
      <c r="C14" s="10">
        <v>533349099.61199999</v>
      </c>
    </row>
    <row r="15" spans="1:3" x14ac:dyDescent="0.2">
      <c r="A15" s="6">
        <v>2012</v>
      </c>
      <c r="B15" s="6" t="s">
        <v>43</v>
      </c>
      <c r="C15" s="10">
        <v>101071578146.75795</v>
      </c>
    </row>
    <row r="16" spans="1:3" x14ac:dyDescent="0.2">
      <c r="A16" s="6">
        <v>2012</v>
      </c>
      <c r="B16" s="6" t="s">
        <v>44</v>
      </c>
      <c r="C16" s="10">
        <v>0</v>
      </c>
    </row>
    <row r="17" spans="1:3" x14ac:dyDescent="0.2">
      <c r="A17" s="6">
        <v>2012</v>
      </c>
      <c r="B17" s="6" t="s">
        <v>45</v>
      </c>
      <c r="C17" s="10">
        <v>0</v>
      </c>
    </row>
    <row r="18" spans="1:3" x14ac:dyDescent="0.2">
      <c r="A18" s="6">
        <v>2012</v>
      </c>
      <c r="B18" s="6" t="s">
        <v>46</v>
      </c>
      <c r="C18" s="10">
        <v>57016.032999999996</v>
      </c>
    </row>
    <row r="19" spans="1:3" x14ac:dyDescent="0.2">
      <c r="A19" s="6">
        <v>2012</v>
      </c>
      <c r="B19" s="6" t="s">
        <v>47</v>
      </c>
      <c r="C19" s="10">
        <v>7768447.6730000004</v>
      </c>
    </row>
    <row r="20" spans="1:3" x14ac:dyDescent="0.2">
      <c r="A20" s="6">
        <v>2019</v>
      </c>
      <c r="B20" s="6" t="s">
        <v>5</v>
      </c>
      <c r="C20" s="10">
        <v>489299766.17799991</v>
      </c>
    </row>
    <row r="21" spans="1:3" x14ac:dyDescent="0.2">
      <c r="A21" s="6">
        <v>2019</v>
      </c>
      <c r="B21" s="6" t="s">
        <v>43</v>
      </c>
      <c r="C21" s="10">
        <v>121093776670.34601</v>
      </c>
    </row>
    <row r="22" spans="1:3" x14ac:dyDescent="0.2">
      <c r="A22" s="6">
        <v>2019</v>
      </c>
      <c r="B22" s="6" t="s">
        <v>44</v>
      </c>
      <c r="C22" s="10">
        <v>0</v>
      </c>
    </row>
    <row r="23" spans="1:3" x14ac:dyDescent="0.2">
      <c r="A23" s="6">
        <v>2019</v>
      </c>
      <c r="B23" s="6" t="s">
        <v>45</v>
      </c>
      <c r="C23" s="10">
        <v>0</v>
      </c>
    </row>
    <row r="24" spans="1:3" x14ac:dyDescent="0.2">
      <c r="A24" s="6">
        <v>2019</v>
      </c>
      <c r="B24" s="6" t="s">
        <v>46</v>
      </c>
      <c r="C24" s="10">
        <v>61635.131999999998</v>
      </c>
    </row>
    <row r="25" spans="1:3" x14ac:dyDescent="0.2">
      <c r="A25" s="6">
        <v>2019</v>
      </c>
      <c r="B25" s="6" t="s">
        <v>47</v>
      </c>
      <c r="C25" s="10">
        <v>21161266.818999998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8BB0C-BF06-8145-A51A-B3E338CB9F10}">
  <dimension ref="A1:J39"/>
  <sheetViews>
    <sheetView workbookViewId="0">
      <selection activeCell="F16" sqref="F16"/>
    </sheetView>
  </sheetViews>
  <sheetFormatPr baseColWidth="10" defaultRowHeight="16" x14ac:dyDescent="0.2"/>
  <cols>
    <col min="1" max="1" width="10.83203125" style="1"/>
    <col min="3" max="3" width="10.83203125" style="4"/>
  </cols>
  <sheetData>
    <row r="1" spans="1:10" x14ac:dyDescent="0.2">
      <c r="A1" s="8" t="s">
        <v>1</v>
      </c>
      <c r="B1" s="14" t="s">
        <v>2</v>
      </c>
      <c r="C1" s="15" t="s">
        <v>49</v>
      </c>
    </row>
    <row r="2" spans="1:10" x14ac:dyDescent="0.2">
      <c r="A2" s="6">
        <v>1999</v>
      </c>
      <c r="B2" s="6" t="s">
        <v>5</v>
      </c>
      <c r="C2" s="7">
        <f>SUM(employment!D2:D39)</f>
        <v>919.79999999999973</v>
      </c>
      <c r="D2" s="2"/>
    </row>
    <row r="3" spans="1:10" x14ac:dyDescent="0.2">
      <c r="A3" s="6">
        <v>1999</v>
      </c>
      <c r="B3" s="6" t="s">
        <v>43</v>
      </c>
      <c r="C3" s="7">
        <f>SUM(employment!D154:D191)</f>
        <v>8638.9</v>
      </c>
      <c r="D3" s="2"/>
    </row>
    <row r="4" spans="1:10" x14ac:dyDescent="0.2">
      <c r="A4" s="6">
        <v>1999</v>
      </c>
      <c r="B4" s="6" t="s">
        <v>44</v>
      </c>
      <c r="C4" s="7">
        <f>SUM(employment!D306:D343)</f>
        <v>2830.4</v>
      </c>
      <c r="D4" s="2"/>
    </row>
    <row r="5" spans="1:10" x14ac:dyDescent="0.2">
      <c r="A5" s="6">
        <v>1999</v>
      </c>
      <c r="B5" s="6" t="s">
        <v>45</v>
      </c>
      <c r="C5" s="7">
        <f>SUM(employment!D458:D495)</f>
        <v>7772.9000000000005</v>
      </c>
      <c r="D5" s="2"/>
    </row>
    <row r="6" spans="1:10" x14ac:dyDescent="0.2">
      <c r="A6" s="6">
        <v>1999</v>
      </c>
      <c r="B6" s="6" t="s">
        <v>46</v>
      </c>
      <c r="C6" s="7">
        <f>SUM(employment!D610:D647)</f>
        <v>3768.7999999999993</v>
      </c>
      <c r="D6" s="2"/>
    </row>
    <row r="7" spans="1:10" x14ac:dyDescent="0.2">
      <c r="A7" s="6">
        <v>1999</v>
      </c>
      <c r="B7" s="6" t="s">
        <v>47</v>
      </c>
      <c r="C7" s="7">
        <f>SUM(employment!D762:D799)</f>
        <v>9883.6</v>
      </c>
      <c r="D7" s="2"/>
    </row>
    <row r="8" spans="1:10" x14ac:dyDescent="0.2">
      <c r="A8" s="6">
        <v>2011</v>
      </c>
      <c r="B8" s="6" t="s">
        <v>5</v>
      </c>
      <c r="C8" s="7">
        <f>SUM(employment!D40:D77)</f>
        <v>564.39999999999986</v>
      </c>
      <c r="D8" s="2"/>
      <c r="G8" s="3"/>
      <c r="H8" s="3"/>
      <c r="I8" s="3"/>
      <c r="J8" s="3"/>
    </row>
    <row r="9" spans="1:10" x14ac:dyDescent="0.2">
      <c r="A9" s="6">
        <v>2011</v>
      </c>
      <c r="B9" s="6" t="s">
        <v>43</v>
      </c>
      <c r="C9" s="7">
        <f>SUM(employment!D192:D229)</f>
        <v>8286.0999999999967</v>
      </c>
      <c r="D9" s="2"/>
      <c r="G9" s="3"/>
      <c r="H9" s="3"/>
      <c r="I9" s="3"/>
      <c r="J9" s="3"/>
    </row>
    <row r="10" spans="1:10" x14ac:dyDescent="0.2">
      <c r="A10" s="6">
        <v>2011</v>
      </c>
      <c r="B10" s="6" t="s">
        <v>44</v>
      </c>
      <c r="C10" s="7">
        <f>SUM(employment!D344:D381)</f>
        <v>2527.9000000000005</v>
      </c>
      <c r="D10" s="2"/>
      <c r="G10" s="3"/>
      <c r="H10" s="3"/>
      <c r="I10" s="3"/>
      <c r="J10" s="3"/>
    </row>
    <row r="11" spans="1:10" x14ac:dyDescent="0.2">
      <c r="A11" s="6">
        <v>2011</v>
      </c>
      <c r="B11" s="6" t="s">
        <v>45</v>
      </c>
      <c r="C11" s="7">
        <f>SUM(employment!D496:D533)</f>
        <v>9568.7000000000025</v>
      </c>
      <c r="D11" s="2"/>
      <c r="G11" s="3"/>
      <c r="H11" s="3"/>
      <c r="I11" s="3"/>
      <c r="J11" s="3"/>
    </row>
    <row r="12" spans="1:10" x14ac:dyDescent="0.2">
      <c r="A12" s="6">
        <v>2011</v>
      </c>
      <c r="B12" s="6" t="s">
        <v>46</v>
      </c>
      <c r="C12" s="7">
        <f>SUM(employment!D648:D685)</f>
        <v>5387.8</v>
      </c>
      <c r="D12" s="2"/>
      <c r="G12" s="3"/>
      <c r="H12" s="3"/>
      <c r="I12" s="3"/>
      <c r="J12" s="3"/>
    </row>
    <row r="13" spans="1:10" x14ac:dyDescent="0.2">
      <c r="A13" s="6">
        <v>2011</v>
      </c>
      <c r="B13" s="6" t="s">
        <v>47</v>
      </c>
      <c r="C13" s="7">
        <f>SUM(employment!D800:D837)</f>
        <v>11631.100000000002</v>
      </c>
      <c r="D13" s="2"/>
      <c r="G13" s="3"/>
      <c r="H13" s="3"/>
      <c r="I13" s="3"/>
      <c r="J13" s="3"/>
    </row>
    <row r="14" spans="1:10" x14ac:dyDescent="0.2">
      <c r="A14" s="6">
        <v>2012</v>
      </c>
      <c r="B14" s="6" t="s">
        <v>5</v>
      </c>
      <c r="C14" s="7">
        <f>SUM(employment!D78:D115)</f>
        <v>541.09999999999991</v>
      </c>
      <c r="D14" s="2"/>
    </row>
    <row r="15" spans="1:10" x14ac:dyDescent="0.2">
      <c r="A15" s="6">
        <v>2012</v>
      </c>
      <c r="B15" s="6" t="s">
        <v>43</v>
      </c>
      <c r="C15" s="7">
        <f>SUM(employment!D230:D267)</f>
        <v>8311.1</v>
      </c>
      <c r="D15" s="2"/>
    </row>
    <row r="16" spans="1:10" x14ac:dyDescent="0.2">
      <c r="A16" s="6">
        <v>2012</v>
      </c>
      <c r="B16" s="6" t="s">
        <v>44</v>
      </c>
      <c r="C16" s="7">
        <f>SUM(employment!D382:D419)</f>
        <v>2573</v>
      </c>
      <c r="D16" s="2"/>
    </row>
    <row r="17" spans="1:4" x14ac:dyDescent="0.2">
      <c r="A17" s="6">
        <v>2012</v>
      </c>
      <c r="B17" s="6" t="s">
        <v>45</v>
      </c>
      <c r="C17" s="7">
        <f>SUM(employment!D534:D571)</f>
        <v>9643.7000000000025</v>
      </c>
      <c r="D17" s="2"/>
    </row>
    <row r="18" spans="1:4" x14ac:dyDescent="0.2">
      <c r="A18" s="6">
        <v>2012</v>
      </c>
      <c r="B18" s="6" t="s">
        <v>46</v>
      </c>
      <c r="C18" s="7">
        <f>SUM(employment!D686:D723)</f>
        <v>5389.7999999999993</v>
      </c>
      <c r="D18" s="2"/>
    </row>
    <row r="19" spans="1:4" x14ac:dyDescent="0.2">
      <c r="A19" s="6">
        <v>2012</v>
      </c>
      <c r="B19" s="6" t="s">
        <v>47</v>
      </c>
      <c r="C19" s="7">
        <f>SUM(employment!D838:D875)</f>
        <v>11789.600000000002</v>
      </c>
      <c r="D19" s="2"/>
    </row>
    <row r="20" spans="1:4" x14ac:dyDescent="0.2">
      <c r="A20" s="6">
        <v>2019</v>
      </c>
      <c r="B20" s="6" t="s">
        <v>5</v>
      </c>
      <c r="C20" s="7">
        <f>SUM(employment!D116:D153)</f>
        <v>454.99999999999994</v>
      </c>
      <c r="D20" s="2"/>
    </row>
    <row r="21" spans="1:4" x14ac:dyDescent="0.2">
      <c r="A21" s="6">
        <v>2019</v>
      </c>
      <c r="B21" s="6" t="s">
        <v>43</v>
      </c>
      <c r="C21" s="7">
        <f>SUM(employment!D268:D305)</f>
        <v>8508.4</v>
      </c>
      <c r="D21" s="2"/>
    </row>
    <row r="22" spans="1:4" x14ac:dyDescent="0.2">
      <c r="A22" s="6">
        <v>2019</v>
      </c>
      <c r="B22" s="6" t="s">
        <v>44</v>
      </c>
      <c r="C22" s="7">
        <f>SUM(employment!D420:D457)</f>
        <v>2771.5000000000014</v>
      </c>
      <c r="D22" s="2"/>
    </row>
    <row r="23" spans="1:4" x14ac:dyDescent="0.2">
      <c r="A23" s="6">
        <v>2019</v>
      </c>
      <c r="B23" s="6" t="s">
        <v>45</v>
      </c>
      <c r="C23" s="7">
        <f>SUM(employment!D572:D609)</f>
        <v>10513.400000000001</v>
      </c>
      <c r="D23" s="2"/>
    </row>
    <row r="24" spans="1:4" x14ac:dyDescent="0.2">
      <c r="A24" s="6">
        <v>2019</v>
      </c>
      <c r="B24" s="6" t="s">
        <v>46</v>
      </c>
      <c r="C24" s="7">
        <f>SUM(employment!D724:D761)</f>
        <v>5731.4</v>
      </c>
      <c r="D24" s="2"/>
    </row>
    <row r="25" spans="1:4" x14ac:dyDescent="0.2">
      <c r="A25" s="6">
        <v>2019</v>
      </c>
      <c r="B25" s="6" t="s">
        <v>47</v>
      </c>
      <c r="C25" s="7">
        <f>SUM(employment!D876:D913)</f>
        <v>13002.700000000003</v>
      </c>
      <c r="D25" s="2"/>
    </row>
    <row r="26" spans="1:4" x14ac:dyDescent="0.2">
      <c r="B26" s="1"/>
      <c r="C26" s="2"/>
      <c r="D26" s="2"/>
    </row>
    <row r="27" spans="1:4" x14ac:dyDescent="0.2">
      <c r="B27" s="1"/>
      <c r="C27" s="2"/>
      <c r="D27" s="2"/>
    </row>
    <row r="28" spans="1:4" x14ac:dyDescent="0.2">
      <c r="B28" s="1"/>
      <c r="C28" s="2"/>
      <c r="D28" s="2"/>
    </row>
    <row r="29" spans="1:4" x14ac:dyDescent="0.2">
      <c r="B29" s="1"/>
      <c r="C29" s="2"/>
      <c r="D29" s="2"/>
    </row>
    <row r="30" spans="1:4" x14ac:dyDescent="0.2">
      <c r="B30" s="1"/>
      <c r="C30" s="2"/>
      <c r="D30" s="2"/>
    </row>
    <row r="31" spans="1:4" x14ac:dyDescent="0.2">
      <c r="B31" s="1"/>
      <c r="C31" s="2"/>
      <c r="D31" s="2"/>
    </row>
    <row r="32" spans="1:4" x14ac:dyDescent="0.2">
      <c r="B32" s="1"/>
      <c r="C32" s="2"/>
      <c r="D32" s="2"/>
    </row>
    <row r="33" spans="2:4" x14ac:dyDescent="0.2">
      <c r="B33" s="1"/>
      <c r="C33" s="2"/>
      <c r="D33" s="2"/>
    </row>
    <row r="34" spans="2:4" x14ac:dyDescent="0.2">
      <c r="B34" s="1"/>
      <c r="C34" s="2"/>
      <c r="D34" s="2"/>
    </row>
    <row r="35" spans="2:4" x14ac:dyDescent="0.2">
      <c r="B35" s="1"/>
      <c r="C35" s="2"/>
      <c r="D35" s="2"/>
    </row>
    <row r="36" spans="2:4" x14ac:dyDescent="0.2">
      <c r="B36" s="1"/>
      <c r="C36" s="2"/>
      <c r="D36" s="2"/>
    </row>
    <row r="37" spans="2:4" x14ac:dyDescent="0.2">
      <c r="B37" s="1"/>
      <c r="C37" s="2"/>
      <c r="D37" s="2"/>
    </row>
    <row r="38" spans="2:4" x14ac:dyDescent="0.2">
      <c r="B38" s="1"/>
      <c r="C38" s="2"/>
      <c r="D38" s="2"/>
    </row>
    <row r="39" spans="2:4" x14ac:dyDescent="0.2">
      <c r="B39" s="1"/>
      <c r="C39" s="2"/>
      <c r="D3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F079-7E3C-1F40-9313-CEBED88C629A}">
  <dimension ref="A1:C13"/>
  <sheetViews>
    <sheetView workbookViewId="0">
      <selection activeCell="D9" sqref="D9"/>
    </sheetView>
  </sheetViews>
  <sheetFormatPr baseColWidth="10" defaultRowHeight="16" x14ac:dyDescent="0.2"/>
  <cols>
    <col min="3" max="3" width="16.83203125" style="5" bestFit="1" customWidth="1"/>
  </cols>
  <sheetData>
    <row r="1" spans="1:3" x14ac:dyDescent="0.2">
      <c r="A1" s="14" t="s">
        <v>50</v>
      </c>
      <c r="B1" s="14" t="s">
        <v>2</v>
      </c>
      <c r="C1" s="11" t="s">
        <v>53</v>
      </c>
    </row>
    <row r="2" spans="1:3" x14ac:dyDescent="0.2">
      <c r="A2" s="16" t="s">
        <v>51</v>
      </c>
      <c r="B2" s="16" t="s">
        <v>5</v>
      </c>
      <c r="C2" s="10">
        <f>import!C8-import!C2</f>
        <v>486690001.27900004</v>
      </c>
    </row>
    <row r="3" spans="1:3" x14ac:dyDescent="0.2">
      <c r="A3" s="16" t="s">
        <v>51</v>
      </c>
      <c r="B3" s="16" t="s">
        <v>43</v>
      </c>
      <c r="C3" s="10">
        <f>import!C9-import!C3</f>
        <v>96459021140.688965</v>
      </c>
    </row>
    <row r="4" spans="1:3" x14ac:dyDescent="0.2">
      <c r="A4" s="16" t="s">
        <v>51</v>
      </c>
      <c r="B4" s="16" t="s">
        <v>44</v>
      </c>
      <c r="C4" s="10">
        <f>import!C10-import!C4</f>
        <v>0</v>
      </c>
    </row>
    <row r="5" spans="1:3" x14ac:dyDescent="0.2">
      <c r="A5" s="16" t="s">
        <v>51</v>
      </c>
      <c r="B5" s="16" t="s">
        <v>45</v>
      </c>
      <c r="C5" s="10">
        <f>import!C11-import!C5</f>
        <v>0</v>
      </c>
    </row>
    <row r="6" spans="1:3" x14ac:dyDescent="0.2">
      <c r="A6" s="16" t="s">
        <v>51</v>
      </c>
      <c r="B6" s="16" t="s">
        <v>46</v>
      </c>
      <c r="C6" s="10">
        <f>import!C12-import!C6</f>
        <v>17918.386999999988</v>
      </c>
    </row>
    <row r="7" spans="1:3" x14ac:dyDescent="0.2">
      <c r="A7" s="16" t="s">
        <v>51</v>
      </c>
      <c r="B7" s="16" t="s">
        <v>47</v>
      </c>
      <c r="C7" s="10">
        <f>import!C13-import!C7</f>
        <v>10181939.020000001</v>
      </c>
    </row>
    <row r="8" spans="1:3" x14ac:dyDescent="0.2">
      <c r="A8" s="16" t="s">
        <v>52</v>
      </c>
      <c r="B8" s="16" t="s">
        <v>5</v>
      </c>
      <c r="C8" s="10">
        <f>import!C20-import!C14</f>
        <v>-44049333.434000075</v>
      </c>
    </row>
    <row r="9" spans="1:3" x14ac:dyDescent="0.2">
      <c r="A9" s="16" t="s">
        <v>52</v>
      </c>
      <c r="B9" s="16" t="s">
        <v>43</v>
      </c>
      <c r="C9" s="10">
        <f>import!C21-import!C15</f>
        <v>20022198523.588058</v>
      </c>
    </row>
    <row r="10" spans="1:3" x14ac:dyDescent="0.2">
      <c r="A10" s="16" t="s">
        <v>52</v>
      </c>
      <c r="B10" s="16" t="s">
        <v>44</v>
      </c>
      <c r="C10" s="10">
        <f>import!C22-import!C16</f>
        <v>0</v>
      </c>
    </row>
    <row r="11" spans="1:3" x14ac:dyDescent="0.2">
      <c r="A11" s="16" t="s">
        <v>52</v>
      </c>
      <c r="B11" s="16" t="s">
        <v>45</v>
      </c>
      <c r="C11" s="10">
        <f>import!C23-import!C17</f>
        <v>0</v>
      </c>
    </row>
    <row r="12" spans="1:3" x14ac:dyDescent="0.2">
      <c r="A12" s="16" t="s">
        <v>52</v>
      </c>
      <c r="B12" s="16" t="s">
        <v>46</v>
      </c>
      <c r="C12" s="10">
        <f>import!C24-import!C18</f>
        <v>4619.099000000002</v>
      </c>
    </row>
    <row r="13" spans="1:3" x14ac:dyDescent="0.2">
      <c r="A13" s="16" t="s">
        <v>52</v>
      </c>
      <c r="B13" s="16" t="s">
        <v>47</v>
      </c>
      <c r="C13" s="10">
        <f>import!C25-import!C19</f>
        <v>13392819.145999998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5D97-1686-7B44-92AB-279A401A2C90}">
  <dimension ref="A1:E25"/>
  <sheetViews>
    <sheetView workbookViewId="0">
      <selection activeCell="L29" sqref="L29"/>
    </sheetView>
  </sheetViews>
  <sheetFormatPr baseColWidth="10" defaultRowHeight="16" x14ac:dyDescent="0.2"/>
  <cols>
    <col min="4" max="4" width="16.83203125" style="5" bestFit="1" customWidth="1"/>
    <col min="5" max="5" width="13.33203125" style="5" bestFit="1" customWidth="1"/>
  </cols>
  <sheetData>
    <row r="1" spans="1:5" x14ac:dyDescent="0.2">
      <c r="A1" s="8" t="s">
        <v>50</v>
      </c>
      <c r="B1" s="14" t="s">
        <v>2</v>
      </c>
      <c r="C1" s="14" t="s">
        <v>54</v>
      </c>
      <c r="D1" s="11" t="s">
        <v>53</v>
      </c>
      <c r="E1" s="11" t="s">
        <v>55</v>
      </c>
    </row>
    <row r="2" spans="1:5" x14ac:dyDescent="0.2">
      <c r="A2" s="6" t="s">
        <v>51</v>
      </c>
      <c r="B2" s="6" t="s">
        <v>5</v>
      </c>
      <c r="C2" s="7">
        <f>L_i!C2</f>
        <v>919.79999999999973</v>
      </c>
      <c r="D2" s="10">
        <f>delta_М!C2</f>
        <v>486690001.27900004</v>
      </c>
      <c r="E2" s="10">
        <f>D2/C2</f>
        <v>529125.89832463604</v>
      </c>
    </row>
    <row r="3" spans="1:5" x14ac:dyDescent="0.2">
      <c r="A3" s="6" t="s">
        <v>51</v>
      </c>
      <c r="B3" s="6" t="s">
        <v>43</v>
      </c>
      <c r="C3" s="7">
        <f>L_i!C3</f>
        <v>8638.9</v>
      </c>
      <c r="D3" s="10">
        <f>delta_М!C3</f>
        <v>96459021140.688965</v>
      </c>
      <c r="E3" s="10">
        <f t="shared" ref="E3:E13" si="0">D3/C3</f>
        <v>11165660.111899544</v>
      </c>
    </row>
    <row r="4" spans="1:5" x14ac:dyDescent="0.2">
      <c r="A4" s="6" t="s">
        <v>51</v>
      </c>
      <c r="B4" s="6" t="s">
        <v>44</v>
      </c>
      <c r="C4" s="7">
        <f>L_i!C4</f>
        <v>2830.4</v>
      </c>
      <c r="D4" s="10">
        <f>delta_М!C4</f>
        <v>0</v>
      </c>
      <c r="E4" s="10">
        <f t="shared" si="0"/>
        <v>0</v>
      </c>
    </row>
    <row r="5" spans="1:5" x14ac:dyDescent="0.2">
      <c r="A5" s="6" t="s">
        <v>51</v>
      </c>
      <c r="B5" s="6" t="s">
        <v>45</v>
      </c>
      <c r="C5" s="7">
        <f>L_i!C5</f>
        <v>7772.9000000000005</v>
      </c>
      <c r="D5" s="10">
        <f>delta_М!C5</f>
        <v>0</v>
      </c>
      <c r="E5" s="10">
        <f t="shared" si="0"/>
        <v>0</v>
      </c>
    </row>
    <row r="6" spans="1:5" x14ac:dyDescent="0.2">
      <c r="A6" s="6" t="s">
        <v>51</v>
      </c>
      <c r="B6" s="6" t="s">
        <v>46</v>
      </c>
      <c r="C6" s="7">
        <f>L_i!C6</f>
        <v>3768.7999999999993</v>
      </c>
      <c r="D6" s="10">
        <f>delta_М!C6</f>
        <v>17918.386999999988</v>
      </c>
      <c r="E6" s="10">
        <f t="shared" si="0"/>
        <v>4.7544011356399896</v>
      </c>
    </row>
    <row r="7" spans="1:5" x14ac:dyDescent="0.2">
      <c r="A7" s="6" t="s">
        <v>51</v>
      </c>
      <c r="B7" s="6" t="s">
        <v>47</v>
      </c>
      <c r="C7" s="7">
        <f>L_i!C7</f>
        <v>9883.6</v>
      </c>
      <c r="D7" s="10">
        <f>delta_М!C7</f>
        <v>10181939.020000001</v>
      </c>
      <c r="E7" s="10">
        <f t="shared" si="0"/>
        <v>1030.1852584078677</v>
      </c>
    </row>
    <row r="8" spans="1:5" x14ac:dyDescent="0.2">
      <c r="A8" s="6" t="s">
        <v>52</v>
      </c>
      <c r="B8" s="6" t="s">
        <v>5</v>
      </c>
      <c r="C8" s="7">
        <f>L_i!C14</f>
        <v>541.09999999999991</v>
      </c>
      <c r="D8" s="10">
        <f>delta_М!C8</f>
        <v>-44049333.434000075</v>
      </c>
      <c r="E8" s="10">
        <f t="shared" si="0"/>
        <v>-81407.010596932334</v>
      </c>
    </row>
    <row r="9" spans="1:5" x14ac:dyDescent="0.2">
      <c r="A9" s="6" t="s">
        <v>52</v>
      </c>
      <c r="B9" s="6" t="s">
        <v>43</v>
      </c>
      <c r="C9" s="7">
        <f>L_i!C15</f>
        <v>8311.1</v>
      </c>
      <c r="D9" s="10">
        <f>delta_М!C9</f>
        <v>20022198523.588058</v>
      </c>
      <c r="E9" s="10">
        <f t="shared" si="0"/>
        <v>2409091.2783612348</v>
      </c>
    </row>
    <row r="10" spans="1:5" x14ac:dyDescent="0.2">
      <c r="A10" s="6" t="s">
        <v>52</v>
      </c>
      <c r="B10" s="6" t="s">
        <v>44</v>
      </c>
      <c r="C10" s="7">
        <f>L_i!C16</f>
        <v>2573</v>
      </c>
      <c r="D10" s="10">
        <f>delta_М!C10</f>
        <v>0</v>
      </c>
      <c r="E10" s="10">
        <f t="shared" si="0"/>
        <v>0</v>
      </c>
    </row>
    <row r="11" spans="1:5" x14ac:dyDescent="0.2">
      <c r="A11" s="6" t="s">
        <v>52</v>
      </c>
      <c r="B11" s="6" t="s">
        <v>45</v>
      </c>
      <c r="C11" s="7">
        <f>L_i!C17</f>
        <v>9643.7000000000025</v>
      </c>
      <c r="D11" s="10">
        <f>delta_М!C11</f>
        <v>0</v>
      </c>
      <c r="E11" s="10">
        <f t="shared" si="0"/>
        <v>0</v>
      </c>
    </row>
    <row r="12" spans="1:5" x14ac:dyDescent="0.2">
      <c r="A12" s="6" t="s">
        <v>52</v>
      </c>
      <c r="B12" s="6" t="s">
        <v>46</v>
      </c>
      <c r="C12" s="7">
        <f>L_i!C18</f>
        <v>5389.7999999999993</v>
      </c>
      <c r="D12" s="10">
        <f>delta_М!C12</f>
        <v>4619.099000000002</v>
      </c>
      <c r="E12" s="10">
        <f t="shared" si="0"/>
        <v>0.85700749563991296</v>
      </c>
    </row>
    <row r="13" spans="1:5" x14ac:dyDescent="0.2">
      <c r="A13" s="6" t="s">
        <v>52</v>
      </c>
      <c r="B13" s="6" t="s">
        <v>47</v>
      </c>
      <c r="C13" s="7">
        <f>L_i!C19</f>
        <v>11789.600000000002</v>
      </c>
      <c r="D13" s="10">
        <f>delta_М!C13</f>
        <v>13392819.145999998</v>
      </c>
      <c r="E13" s="10">
        <f t="shared" si="0"/>
        <v>1135.9858812852001</v>
      </c>
    </row>
    <row r="14" spans="1:5" x14ac:dyDescent="0.2">
      <c r="A14" s="1"/>
      <c r="B14" s="1"/>
      <c r="C14" s="2"/>
    </row>
    <row r="15" spans="1:5" x14ac:dyDescent="0.2">
      <c r="A15" s="1"/>
      <c r="B15" s="1"/>
      <c r="C15" s="2"/>
    </row>
    <row r="16" spans="1:5" x14ac:dyDescent="0.2">
      <c r="A16" s="1"/>
      <c r="B16" s="1"/>
      <c r="C16" s="2"/>
    </row>
    <row r="17" spans="1:3" x14ac:dyDescent="0.2">
      <c r="A17" s="1"/>
      <c r="B17" s="1"/>
      <c r="C17" s="2"/>
    </row>
    <row r="18" spans="1:3" x14ac:dyDescent="0.2">
      <c r="A18" s="1"/>
      <c r="B18" s="1"/>
      <c r="C18" s="2"/>
    </row>
    <row r="19" spans="1:3" x14ac:dyDescent="0.2">
      <c r="A19" s="1"/>
      <c r="B19" s="1"/>
      <c r="C19" s="2"/>
    </row>
    <row r="20" spans="1:3" x14ac:dyDescent="0.2">
      <c r="A20" s="1"/>
      <c r="B20" s="1"/>
      <c r="C20" s="2"/>
    </row>
    <row r="21" spans="1:3" x14ac:dyDescent="0.2">
      <c r="A21" s="1"/>
      <c r="B21" s="1"/>
      <c r="C21" s="2"/>
    </row>
    <row r="22" spans="1:3" x14ac:dyDescent="0.2">
      <c r="A22" s="1"/>
      <c r="B22" s="1"/>
      <c r="C22" s="2"/>
    </row>
    <row r="23" spans="1:3" x14ac:dyDescent="0.2">
      <c r="A23" s="1"/>
      <c r="B23" s="1"/>
      <c r="C23" s="2"/>
    </row>
    <row r="24" spans="1:3" x14ac:dyDescent="0.2">
      <c r="A24" s="1"/>
      <c r="B24" s="1"/>
      <c r="C24" s="2"/>
    </row>
    <row r="25" spans="1:3" x14ac:dyDescent="0.2">
      <c r="A25" s="1"/>
      <c r="B25" s="1"/>
      <c r="C25" s="2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5518-44C4-634B-9145-B97B593F6369}">
  <dimension ref="A1:R40"/>
  <sheetViews>
    <sheetView workbookViewId="0">
      <selection activeCell="J11" sqref="J11"/>
    </sheetView>
  </sheetViews>
  <sheetFormatPr baseColWidth="10" defaultRowHeight="16" x14ac:dyDescent="0.2"/>
  <cols>
    <col min="1" max="1" width="22.83203125" bestFit="1" customWidth="1"/>
    <col min="11" max="11" width="22.83203125" bestFit="1" customWidth="1"/>
  </cols>
  <sheetData>
    <row r="1" spans="1:18" x14ac:dyDescent="0.2">
      <c r="A1" s="20">
        <v>1999</v>
      </c>
      <c r="B1" s="20"/>
      <c r="C1" s="20"/>
      <c r="D1" s="20"/>
      <c r="E1" s="20"/>
      <c r="F1" s="20"/>
      <c r="G1" s="20"/>
      <c r="H1" s="20"/>
      <c r="K1" s="20">
        <v>2012</v>
      </c>
      <c r="L1" s="20"/>
      <c r="M1" s="20"/>
      <c r="N1" s="20"/>
      <c r="O1" s="20"/>
      <c r="P1" s="20"/>
      <c r="Q1" s="20"/>
      <c r="R1" s="20"/>
    </row>
    <row r="2" spans="1:18" x14ac:dyDescent="0.2">
      <c r="A2" s="8"/>
      <c r="B2" s="8" t="s">
        <v>5</v>
      </c>
      <c r="C2" s="8" t="s">
        <v>43</v>
      </c>
      <c r="D2" s="8" t="s">
        <v>44</v>
      </c>
      <c r="E2" s="8" t="s">
        <v>45</v>
      </c>
      <c r="F2" s="8" t="s">
        <v>46</v>
      </c>
      <c r="G2" s="8" t="s">
        <v>47</v>
      </c>
      <c r="H2" s="8" t="s">
        <v>56</v>
      </c>
      <c r="K2" s="8"/>
      <c r="L2" s="8" t="s">
        <v>5</v>
      </c>
      <c r="M2" s="8" t="s">
        <v>43</v>
      </c>
      <c r="N2" s="8" t="s">
        <v>44</v>
      </c>
      <c r="O2" s="8" t="s">
        <v>45</v>
      </c>
      <c r="P2" s="8" t="s">
        <v>46</v>
      </c>
      <c r="Q2" s="8" t="s">
        <v>47</v>
      </c>
      <c r="R2" s="8" t="s">
        <v>57</v>
      </c>
    </row>
    <row r="3" spans="1:18" x14ac:dyDescent="0.2">
      <c r="A3" s="8" t="s">
        <v>4</v>
      </c>
      <c r="B3" s="7">
        <f>employment!D2</f>
        <v>31.3</v>
      </c>
      <c r="C3" s="7">
        <f>employment!D154</f>
        <v>677</v>
      </c>
      <c r="D3" s="7">
        <f>employment!D306</f>
        <v>125.3</v>
      </c>
      <c r="E3" s="7">
        <f>employment!D458</f>
        <v>358.7</v>
      </c>
      <c r="F3" s="7">
        <f>employment!D610</f>
        <v>194.7</v>
      </c>
      <c r="G3" s="7">
        <f>employment!D762</f>
        <v>437.5</v>
      </c>
      <c r="H3" s="7">
        <f>SUM(B3:G3)</f>
        <v>1824.5</v>
      </c>
      <c r="K3" s="8" t="s">
        <v>4</v>
      </c>
      <c r="L3" s="7">
        <f>employment!D78</f>
        <v>19.7</v>
      </c>
      <c r="M3" s="7">
        <f>employment!D230</f>
        <v>595.6</v>
      </c>
      <c r="N3" s="7">
        <f>employment!D382</f>
        <v>116</v>
      </c>
      <c r="O3" s="7">
        <f>employment!D534</f>
        <v>421.8</v>
      </c>
      <c r="P3" s="7">
        <f>employment!D686</f>
        <v>274.39999999999998</v>
      </c>
      <c r="Q3" s="7">
        <f>employment!D838</f>
        <v>505.8</v>
      </c>
      <c r="R3" s="7">
        <f>SUM(L3:Q3)</f>
        <v>1933.3</v>
      </c>
    </row>
    <row r="4" spans="1:18" x14ac:dyDescent="0.2">
      <c r="A4" s="8" t="s">
        <v>6</v>
      </c>
      <c r="B4" s="7">
        <f>employment!D3</f>
        <v>17.3</v>
      </c>
      <c r="C4" s="7">
        <f>employment!D155</f>
        <v>379.4</v>
      </c>
      <c r="D4" s="7">
        <f>employment!D307</f>
        <v>67.3</v>
      </c>
      <c r="E4" s="7">
        <f>employment!D459</f>
        <v>237.8</v>
      </c>
      <c r="F4" s="7">
        <f>employment!D611</f>
        <v>135.19999999999999</v>
      </c>
      <c r="G4" s="7">
        <f>employment!D763</f>
        <v>335.2</v>
      </c>
      <c r="H4" s="7">
        <f t="shared" ref="H4:H40" si="0">SUM(B4:G4)</f>
        <v>1172.2</v>
      </c>
      <c r="K4" s="8" t="s">
        <v>6</v>
      </c>
      <c r="L4" s="7">
        <f>employment!D79</f>
        <v>5.9</v>
      </c>
      <c r="M4" s="7">
        <f>employment!D231</f>
        <v>353.1</v>
      </c>
      <c r="N4" s="7">
        <f>employment!D383</f>
        <v>68.099999999999994</v>
      </c>
      <c r="O4" s="7">
        <f>employment!D535</f>
        <v>312.39999999999998</v>
      </c>
      <c r="P4" s="7">
        <f>employment!D687</f>
        <v>181</v>
      </c>
      <c r="Q4" s="7">
        <f>employment!D839</f>
        <v>392.5</v>
      </c>
      <c r="R4" s="7">
        <f t="shared" ref="R4:R40" si="1">SUM(L4:Q4)</f>
        <v>1313</v>
      </c>
    </row>
    <row r="5" spans="1:18" x14ac:dyDescent="0.2">
      <c r="A5" s="8" t="s">
        <v>7</v>
      </c>
      <c r="B5" s="7">
        <f>employment!D4</f>
        <v>31.1</v>
      </c>
      <c r="C5" s="7">
        <f>employment!D156</f>
        <v>311.7</v>
      </c>
      <c r="D5" s="7">
        <f>employment!D308</f>
        <v>69.400000000000006</v>
      </c>
      <c r="E5" s="7">
        <f>employment!D460</f>
        <v>194.7</v>
      </c>
      <c r="F5" s="7">
        <f>employment!D612</f>
        <v>86.6</v>
      </c>
      <c r="G5" s="7">
        <f>employment!D764</f>
        <v>253.3</v>
      </c>
      <c r="H5" s="7">
        <f t="shared" si="0"/>
        <v>946.80000000000018</v>
      </c>
      <c r="K5" s="8" t="s">
        <v>7</v>
      </c>
      <c r="L5" s="7">
        <f>employment!D80</f>
        <v>12</v>
      </c>
      <c r="M5" s="7">
        <f>employment!D232</f>
        <v>315.2</v>
      </c>
      <c r="N5" s="7">
        <f>employment!D384</f>
        <v>69.3</v>
      </c>
      <c r="O5" s="7">
        <f>employment!D536</f>
        <v>265.2</v>
      </c>
      <c r="P5" s="7">
        <f>employment!D688</f>
        <v>109.39999999999999</v>
      </c>
      <c r="Q5" s="7">
        <f>employment!D840</f>
        <v>328.09999999999997</v>
      </c>
      <c r="R5" s="7">
        <f t="shared" si="1"/>
        <v>1099.2</v>
      </c>
    </row>
    <row r="6" spans="1:18" x14ac:dyDescent="0.2">
      <c r="A6" s="8" t="s">
        <v>8</v>
      </c>
      <c r="B6" s="7">
        <f>employment!D5</f>
        <v>32.200000000000003</v>
      </c>
      <c r="C6" s="7">
        <f>employment!D157</f>
        <v>290.3</v>
      </c>
      <c r="D6" s="7">
        <f>employment!D309</f>
        <v>57.6</v>
      </c>
      <c r="E6" s="7">
        <f>employment!D461</f>
        <v>145</v>
      </c>
      <c r="F6" s="7">
        <f>employment!D613</f>
        <v>71.8</v>
      </c>
      <c r="G6" s="7">
        <f>employment!D765</f>
        <v>205.4</v>
      </c>
      <c r="H6" s="7">
        <f t="shared" si="0"/>
        <v>802.3</v>
      </c>
      <c r="K6" s="8" t="s">
        <v>8</v>
      </c>
      <c r="L6" s="7">
        <f>employment!D81</f>
        <v>18.600000000000001</v>
      </c>
      <c r="M6" s="7">
        <f>employment!D233</f>
        <v>288.39999999999998</v>
      </c>
      <c r="N6" s="7">
        <f>employment!D385</f>
        <v>53.7</v>
      </c>
      <c r="O6" s="7">
        <f>employment!D537</f>
        <v>181.2</v>
      </c>
      <c r="P6" s="7">
        <f>employment!D689</f>
        <v>89.300000000000011</v>
      </c>
      <c r="Q6" s="7">
        <f>employment!D841</f>
        <v>260.3</v>
      </c>
      <c r="R6" s="7">
        <f t="shared" si="1"/>
        <v>891.5</v>
      </c>
    </row>
    <row r="7" spans="1:18" x14ac:dyDescent="0.2">
      <c r="A7" s="8" t="s">
        <v>9</v>
      </c>
      <c r="B7" s="7">
        <f>employment!D6</f>
        <v>52.8</v>
      </c>
      <c r="C7" s="7">
        <f>employment!D158</f>
        <v>474.8</v>
      </c>
      <c r="D7" s="7">
        <f>employment!D310</f>
        <v>125.1</v>
      </c>
      <c r="E7" s="7">
        <f>employment!D462</f>
        <v>446.7</v>
      </c>
      <c r="F7" s="7">
        <f>employment!D614</f>
        <v>331.9</v>
      </c>
      <c r="G7" s="7">
        <f>employment!D766</f>
        <v>549.4</v>
      </c>
      <c r="H7" s="7">
        <f t="shared" si="0"/>
        <v>1980.7000000000003</v>
      </c>
      <c r="K7" s="8" t="s">
        <v>9</v>
      </c>
      <c r="L7" s="7">
        <f>employment!D82</f>
        <v>34.6</v>
      </c>
      <c r="M7" s="7">
        <f>employment!D234</f>
        <v>450.8</v>
      </c>
      <c r="N7" s="7">
        <f>employment!D386</f>
        <v>130.69999999999999</v>
      </c>
      <c r="O7" s="7">
        <f>employment!D538</f>
        <v>593.1</v>
      </c>
      <c r="P7" s="7">
        <f>employment!D690</f>
        <v>414.4</v>
      </c>
      <c r="Q7" s="7">
        <f>employment!D842</f>
        <v>632.19999999999993</v>
      </c>
      <c r="R7" s="7">
        <f t="shared" si="1"/>
        <v>2255.7999999999997</v>
      </c>
    </row>
    <row r="8" spans="1:18" x14ac:dyDescent="0.2">
      <c r="A8" s="8" t="s">
        <v>10</v>
      </c>
      <c r="B8" s="7">
        <f>employment!D7</f>
        <v>35.6</v>
      </c>
      <c r="C8" s="7">
        <f>employment!D159</f>
        <v>167.7</v>
      </c>
      <c r="D8" s="7">
        <f>employment!D311</f>
        <v>56.3</v>
      </c>
      <c r="E8" s="7">
        <f>employment!D463</f>
        <v>117.3</v>
      </c>
      <c r="F8" s="7">
        <f>employment!D615</f>
        <v>48.8</v>
      </c>
      <c r="G8" s="7">
        <f>employment!D767</f>
        <v>128.30000000000001</v>
      </c>
      <c r="H8" s="7">
        <f t="shared" si="0"/>
        <v>554</v>
      </c>
      <c r="K8" s="8" t="s">
        <v>10</v>
      </c>
      <c r="L8" s="7">
        <f>employment!D83</f>
        <v>20.9</v>
      </c>
      <c r="M8" s="7">
        <f>employment!D235</f>
        <v>163.1</v>
      </c>
      <c r="N8" s="7">
        <f>employment!D387</f>
        <v>56.5</v>
      </c>
      <c r="O8" s="7">
        <f>employment!D539</f>
        <v>139.69999999999999</v>
      </c>
      <c r="P8" s="7">
        <f>employment!D691</f>
        <v>61.400000000000006</v>
      </c>
      <c r="Q8" s="7">
        <f>employment!D843</f>
        <v>156</v>
      </c>
      <c r="R8" s="7">
        <f t="shared" si="1"/>
        <v>597.6</v>
      </c>
    </row>
    <row r="9" spans="1:18" x14ac:dyDescent="0.2">
      <c r="A9" s="8" t="s">
        <v>11</v>
      </c>
      <c r="B9" s="7">
        <f>employment!D8</f>
        <v>29.9</v>
      </c>
      <c r="C9" s="7">
        <f>employment!D160</f>
        <v>146.6</v>
      </c>
      <c r="D9" s="7">
        <f>employment!D312</f>
        <v>45.9</v>
      </c>
      <c r="E9" s="7">
        <f>employment!D464</f>
        <v>102.9</v>
      </c>
      <c r="F9" s="7">
        <f>employment!D616</f>
        <v>39.9</v>
      </c>
      <c r="G9" s="7">
        <f>employment!D768</f>
        <v>129.6</v>
      </c>
      <c r="H9" s="7">
        <f t="shared" si="0"/>
        <v>494.79999999999995</v>
      </c>
      <c r="K9" s="8" t="s">
        <v>11</v>
      </c>
      <c r="L9" s="7">
        <f>employment!D84</f>
        <v>14.1</v>
      </c>
      <c r="M9" s="7">
        <f>employment!D236</f>
        <v>155</v>
      </c>
      <c r="N9" s="7">
        <f>employment!D388</f>
        <v>36.700000000000003</v>
      </c>
      <c r="O9" s="7">
        <f>employment!D540</f>
        <v>121.8</v>
      </c>
      <c r="P9" s="7">
        <f>employment!D692</f>
        <v>53.2</v>
      </c>
      <c r="Q9" s="7">
        <f>employment!D844</f>
        <v>161</v>
      </c>
      <c r="R9" s="7">
        <f t="shared" si="1"/>
        <v>541.79999999999995</v>
      </c>
    </row>
    <row r="10" spans="1:18" x14ac:dyDescent="0.2">
      <c r="A10" s="8" t="s">
        <v>12</v>
      </c>
      <c r="B10" s="7">
        <f>employment!D9</f>
        <v>14.2</v>
      </c>
      <c r="C10" s="7">
        <f>employment!D161</f>
        <v>157.5</v>
      </c>
      <c r="D10" s="7">
        <f>employment!D313</f>
        <v>35.5</v>
      </c>
      <c r="E10" s="7">
        <f>employment!D465</f>
        <v>117.1</v>
      </c>
      <c r="F10" s="7">
        <f>employment!D617</f>
        <v>48.6</v>
      </c>
      <c r="G10" s="7">
        <f>employment!D769</f>
        <v>132.9</v>
      </c>
      <c r="H10" s="7">
        <f t="shared" si="0"/>
        <v>505.79999999999995</v>
      </c>
      <c r="K10" s="8" t="s">
        <v>12</v>
      </c>
      <c r="L10" s="7">
        <f>employment!D85</f>
        <v>9.1999999999999993</v>
      </c>
      <c r="M10" s="7">
        <f>employment!D237</f>
        <v>152.5</v>
      </c>
      <c r="N10" s="7">
        <f>employment!D389</f>
        <v>34.700000000000003</v>
      </c>
      <c r="O10" s="7">
        <f>employment!D541</f>
        <v>117.8</v>
      </c>
      <c r="P10" s="7">
        <f>employment!D693</f>
        <v>58.099999999999994</v>
      </c>
      <c r="Q10" s="7">
        <f>employment!D845</f>
        <v>151.70000000000002</v>
      </c>
      <c r="R10" s="7">
        <f t="shared" si="1"/>
        <v>524</v>
      </c>
    </row>
    <row r="11" spans="1:18" x14ac:dyDescent="0.2">
      <c r="A11" s="8" t="s">
        <v>13</v>
      </c>
      <c r="B11" s="7">
        <f>employment!D10</f>
        <v>33.299999999999997</v>
      </c>
      <c r="C11" s="7">
        <f>employment!D162</f>
        <v>234.3</v>
      </c>
      <c r="D11" s="7">
        <f>employment!D314</f>
        <v>56</v>
      </c>
      <c r="E11" s="7">
        <f>employment!D466</f>
        <v>165.2</v>
      </c>
      <c r="F11" s="7">
        <f>employment!D618</f>
        <v>91.8</v>
      </c>
      <c r="G11" s="7">
        <f>employment!D770</f>
        <v>177.2</v>
      </c>
      <c r="H11" s="7">
        <f t="shared" si="0"/>
        <v>757.8</v>
      </c>
      <c r="K11" s="8" t="s">
        <v>13</v>
      </c>
      <c r="L11" s="7">
        <f>employment!D86</f>
        <v>12</v>
      </c>
      <c r="M11" s="7">
        <f>employment!D238</f>
        <v>222.9</v>
      </c>
      <c r="N11" s="7">
        <f>employment!D390</f>
        <v>46.6</v>
      </c>
      <c r="O11" s="7">
        <f>employment!D542</f>
        <v>215.7</v>
      </c>
      <c r="P11" s="7">
        <f>employment!D694</f>
        <v>113</v>
      </c>
      <c r="Q11" s="7">
        <f>employment!D846</f>
        <v>242.60000000000002</v>
      </c>
      <c r="R11" s="7">
        <f t="shared" si="1"/>
        <v>852.80000000000007</v>
      </c>
    </row>
    <row r="12" spans="1:18" x14ac:dyDescent="0.2">
      <c r="A12" s="8" t="s">
        <v>14</v>
      </c>
      <c r="B12" s="7">
        <f>employment!D11</f>
        <v>15.9</v>
      </c>
      <c r="C12" s="7">
        <f>employment!D163</f>
        <v>184.5</v>
      </c>
      <c r="D12" s="7">
        <f>employment!D315</f>
        <v>51.6</v>
      </c>
      <c r="E12" s="7">
        <f>employment!D467</f>
        <v>128.1</v>
      </c>
      <c r="F12" s="7">
        <f>employment!D619</f>
        <v>53.5</v>
      </c>
      <c r="G12" s="7">
        <f>employment!D771</f>
        <v>163.6</v>
      </c>
      <c r="H12" s="7">
        <f t="shared" si="0"/>
        <v>597.20000000000005</v>
      </c>
      <c r="K12" s="8" t="s">
        <v>14</v>
      </c>
      <c r="L12" s="7">
        <f>employment!D87</f>
        <v>10.4</v>
      </c>
      <c r="M12" s="7">
        <f>employment!D239</f>
        <v>175.8</v>
      </c>
      <c r="N12" s="7">
        <f>employment!D391</f>
        <v>44.4</v>
      </c>
      <c r="O12" s="7">
        <f>employment!D543</f>
        <v>155.9</v>
      </c>
      <c r="P12" s="7">
        <f>employment!D695</f>
        <v>69.199999999999989</v>
      </c>
      <c r="Q12" s="7">
        <f>employment!D847</f>
        <v>197.2</v>
      </c>
      <c r="R12" s="7">
        <f t="shared" si="1"/>
        <v>652.9</v>
      </c>
    </row>
    <row r="13" spans="1:18" x14ac:dyDescent="0.2">
      <c r="A13" s="8" t="s">
        <v>15</v>
      </c>
      <c r="B13" s="7">
        <f>employment!D12</f>
        <v>33.5</v>
      </c>
      <c r="C13" s="7">
        <f>employment!D164</f>
        <v>254</v>
      </c>
      <c r="D13" s="7">
        <f>employment!D316</f>
        <v>56.3</v>
      </c>
      <c r="E13" s="7">
        <f>employment!D468</f>
        <v>183.3</v>
      </c>
      <c r="F13" s="7">
        <f>employment!D620</f>
        <v>77.3</v>
      </c>
      <c r="G13" s="7">
        <f>employment!D772</f>
        <v>208.4</v>
      </c>
      <c r="H13" s="7">
        <f t="shared" si="0"/>
        <v>812.8</v>
      </c>
      <c r="K13" s="8" t="s">
        <v>15</v>
      </c>
      <c r="L13" s="7">
        <f>employment!D88</f>
        <v>20.100000000000001</v>
      </c>
      <c r="M13" s="7">
        <f>employment!D240</f>
        <v>250.3</v>
      </c>
      <c r="N13" s="7">
        <f>employment!D392</f>
        <v>63.1</v>
      </c>
      <c r="O13" s="7">
        <f>employment!D544</f>
        <v>211.29999999999998</v>
      </c>
      <c r="P13" s="7">
        <f>employment!D696</f>
        <v>100.19999999999999</v>
      </c>
      <c r="Q13" s="7">
        <f>employment!D848</f>
        <v>233.7</v>
      </c>
      <c r="R13" s="7">
        <f t="shared" si="1"/>
        <v>878.7</v>
      </c>
    </row>
    <row r="14" spans="1:18" x14ac:dyDescent="0.2">
      <c r="A14" s="8" t="s">
        <v>16</v>
      </c>
      <c r="B14" s="7">
        <f>employment!D13</f>
        <v>11.4</v>
      </c>
      <c r="C14" s="7">
        <f>employment!D165</f>
        <v>205.8</v>
      </c>
      <c r="D14" s="7">
        <f>employment!D317</f>
        <v>132.80000000000001</v>
      </c>
      <c r="E14" s="7">
        <f>employment!D469</f>
        <v>314.39999999999998</v>
      </c>
      <c r="F14" s="7">
        <f>employment!D621</f>
        <v>237.6</v>
      </c>
      <c r="G14" s="7">
        <f>employment!D773</f>
        <v>545.79999999999995</v>
      </c>
      <c r="H14" s="7">
        <f t="shared" si="0"/>
        <v>1447.8</v>
      </c>
      <c r="K14" s="8" t="s">
        <v>16</v>
      </c>
      <c r="L14" s="7">
        <f>employment!D89</f>
        <v>0</v>
      </c>
      <c r="M14" s="7">
        <f>employment!D241</f>
        <v>144.19999999999999</v>
      </c>
      <c r="N14" s="7">
        <f>employment!D393</f>
        <v>88.6</v>
      </c>
      <c r="O14" s="7">
        <f>employment!D545</f>
        <v>442</v>
      </c>
      <c r="P14" s="7">
        <f>employment!D697</f>
        <v>295.20000000000005</v>
      </c>
      <c r="Q14" s="7">
        <f>employment!D849</f>
        <v>570.6</v>
      </c>
      <c r="R14" s="7">
        <f t="shared" si="1"/>
        <v>1540.6</v>
      </c>
    </row>
    <row r="15" spans="1:18" x14ac:dyDescent="0.2">
      <c r="A15" s="8" t="s">
        <v>17</v>
      </c>
      <c r="B15" s="7">
        <f>employment!D14</f>
        <v>61.4</v>
      </c>
      <c r="C15" s="7">
        <f>employment!D166</f>
        <v>171.9</v>
      </c>
      <c r="D15" s="7">
        <f>employment!D318</f>
        <v>196.5</v>
      </c>
      <c r="E15" s="7">
        <f>employment!D470</f>
        <v>245.7</v>
      </c>
      <c r="F15" s="7">
        <f>employment!D622</f>
        <v>101.7</v>
      </c>
      <c r="G15" s="7">
        <f>employment!D774</f>
        <v>362.3</v>
      </c>
      <c r="H15" s="7">
        <f t="shared" si="0"/>
        <v>1139.5</v>
      </c>
      <c r="K15" s="8" t="s">
        <v>17</v>
      </c>
      <c r="L15" s="7">
        <f>employment!D90</f>
        <v>27.2</v>
      </c>
      <c r="M15" s="7">
        <f>employment!D242</f>
        <v>179.5</v>
      </c>
      <c r="N15" s="7">
        <f>employment!D394</f>
        <v>113.5</v>
      </c>
      <c r="O15" s="7">
        <f>employment!D546</f>
        <v>295.60000000000002</v>
      </c>
      <c r="P15" s="7">
        <f>employment!D698</f>
        <v>172.6</v>
      </c>
      <c r="Q15" s="7">
        <f>employment!D850</f>
        <v>397.70000000000005</v>
      </c>
      <c r="R15" s="7">
        <f t="shared" si="1"/>
        <v>1186.0999999999999</v>
      </c>
    </row>
    <row r="16" spans="1:18" x14ac:dyDescent="0.2">
      <c r="A16" s="8" t="s">
        <v>18</v>
      </c>
      <c r="B16" s="7">
        <f>employment!D15</f>
        <v>0</v>
      </c>
      <c r="C16" s="7">
        <f>employment!D167</f>
        <v>55.6</v>
      </c>
      <c r="D16" s="7">
        <f>employment!D319</f>
        <v>16.2</v>
      </c>
      <c r="E16" s="7">
        <f>employment!D471</f>
        <v>83.7</v>
      </c>
      <c r="F16" s="7">
        <f>employment!D623</f>
        <v>31.2</v>
      </c>
      <c r="G16" s="7">
        <f>employment!D775</f>
        <v>81.099999999999994</v>
      </c>
      <c r="H16" s="7">
        <f t="shared" si="0"/>
        <v>267.79999999999995</v>
      </c>
      <c r="K16" s="8" t="s">
        <v>18</v>
      </c>
      <c r="L16" s="7">
        <f>employment!D91</f>
        <v>0</v>
      </c>
      <c r="M16" s="7">
        <f>employment!D243</f>
        <v>44.1</v>
      </c>
      <c r="N16" s="7">
        <f>employment!D395</f>
        <v>13.2</v>
      </c>
      <c r="O16" s="7">
        <f>employment!D547</f>
        <v>92.1</v>
      </c>
      <c r="P16" s="7">
        <f>employment!D699</f>
        <v>44.199999999999996</v>
      </c>
      <c r="Q16" s="7">
        <f>employment!D851</f>
        <v>94.8</v>
      </c>
      <c r="R16" s="7">
        <f t="shared" si="1"/>
        <v>288.39999999999998</v>
      </c>
    </row>
    <row r="17" spans="1:18" x14ac:dyDescent="0.2">
      <c r="A17" s="8" t="s">
        <v>19</v>
      </c>
      <c r="B17" s="7">
        <f>employment!D16</f>
        <v>0</v>
      </c>
      <c r="C17" s="7">
        <f>employment!D168</f>
        <v>127.1</v>
      </c>
      <c r="D17" s="7">
        <f>employment!D320</f>
        <v>47.7</v>
      </c>
      <c r="E17" s="7">
        <f>employment!D472</f>
        <v>234.4</v>
      </c>
      <c r="F17" s="7">
        <f>employment!D624</f>
        <v>140.4</v>
      </c>
      <c r="G17" s="7">
        <f>employment!D776</f>
        <v>226.9</v>
      </c>
      <c r="H17" s="7">
        <f t="shared" si="0"/>
        <v>776.5</v>
      </c>
      <c r="K17" s="8" t="s">
        <v>19</v>
      </c>
      <c r="L17" s="7">
        <f>employment!D92</f>
        <v>0</v>
      </c>
      <c r="M17" s="7">
        <f>employment!D244</f>
        <v>96.4</v>
      </c>
      <c r="N17" s="7">
        <f>employment!D396</f>
        <v>37.9</v>
      </c>
      <c r="O17" s="7">
        <f>employment!D548</f>
        <v>273.10000000000002</v>
      </c>
      <c r="P17" s="7">
        <f>employment!D700</f>
        <v>180</v>
      </c>
      <c r="Q17" s="7">
        <f>employment!D852</f>
        <v>258.7</v>
      </c>
      <c r="R17" s="7">
        <f t="shared" si="1"/>
        <v>846.10000000000014</v>
      </c>
    </row>
    <row r="18" spans="1:18" x14ac:dyDescent="0.2">
      <c r="A18" s="8" t="s">
        <v>20</v>
      </c>
      <c r="B18" s="7">
        <f>employment!D17</f>
        <v>18</v>
      </c>
      <c r="C18" s="7">
        <f>employment!D169</f>
        <v>392.2</v>
      </c>
      <c r="D18" s="7">
        <f>employment!D321</f>
        <v>104.1</v>
      </c>
      <c r="E18" s="7">
        <f>employment!D473</f>
        <v>424.2</v>
      </c>
      <c r="F18" s="7">
        <f>employment!D625</f>
        <v>294.39999999999998</v>
      </c>
      <c r="G18" s="7">
        <f>employment!D777</f>
        <v>454.2</v>
      </c>
      <c r="H18" s="7">
        <f t="shared" si="0"/>
        <v>1687.1000000000001</v>
      </c>
      <c r="K18" s="8" t="s">
        <v>20</v>
      </c>
      <c r="L18" s="7">
        <f>employment!D93</f>
        <v>14.3</v>
      </c>
      <c r="M18" s="7">
        <f>employment!D245</f>
        <v>331.2</v>
      </c>
      <c r="N18" s="7">
        <f>employment!D397</f>
        <v>91.2</v>
      </c>
      <c r="O18" s="7">
        <f>employment!D549</f>
        <v>514.5</v>
      </c>
      <c r="P18" s="7">
        <f>employment!D701</f>
        <v>378.9</v>
      </c>
      <c r="Q18" s="7">
        <f>employment!D853</f>
        <v>507</v>
      </c>
      <c r="R18" s="7">
        <f t="shared" si="1"/>
        <v>1837.1</v>
      </c>
    </row>
    <row r="19" spans="1:18" x14ac:dyDescent="0.2">
      <c r="A19" s="8" t="s">
        <v>21</v>
      </c>
      <c r="B19" s="7">
        <f>employment!D18</f>
        <v>9.6999999999999993</v>
      </c>
      <c r="C19" s="7">
        <f>employment!D170</f>
        <v>127.2</v>
      </c>
      <c r="D19" s="7">
        <f>employment!D322</f>
        <v>33</v>
      </c>
      <c r="E19" s="7">
        <f>employment!D474</f>
        <v>97.4</v>
      </c>
      <c r="F19" s="7">
        <f>employment!D626</f>
        <v>41.3</v>
      </c>
      <c r="G19" s="7">
        <f>employment!D778</f>
        <v>132.4</v>
      </c>
      <c r="H19" s="7">
        <f t="shared" si="0"/>
        <v>441</v>
      </c>
      <c r="K19" s="8" t="s">
        <v>21</v>
      </c>
      <c r="L19" s="7">
        <f>employment!D94</f>
        <v>0</v>
      </c>
      <c r="M19" s="7">
        <f>employment!D246</f>
        <v>120.8</v>
      </c>
      <c r="N19" s="7">
        <f>employment!D398</f>
        <v>31.3</v>
      </c>
      <c r="O19" s="7">
        <f>employment!D550</f>
        <v>107.19999999999999</v>
      </c>
      <c r="P19" s="7">
        <f>employment!D702</f>
        <v>54</v>
      </c>
      <c r="Q19" s="7">
        <f>employment!D854</f>
        <v>164.5</v>
      </c>
      <c r="R19" s="7">
        <f t="shared" si="1"/>
        <v>477.79999999999995</v>
      </c>
    </row>
    <row r="20" spans="1:18" x14ac:dyDescent="0.2">
      <c r="A20" s="8" t="s">
        <v>22</v>
      </c>
      <c r="B20" s="7">
        <f>employment!D19</f>
        <v>15.5</v>
      </c>
      <c r="C20" s="7">
        <f>employment!D171</f>
        <v>143.19999999999999</v>
      </c>
      <c r="D20" s="7">
        <f>employment!D323</f>
        <v>45.2</v>
      </c>
      <c r="E20" s="7">
        <f>employment!D475</f>
        <v>125.5</v>
      </c>
      <c r="F20" s="7">
        <f>employment!D627</f>
        <v>44.5</v>
      </c>
      <c r="G20" s="7">
        <f>employment!D779</f>
        <v>158.69999999999999</v>
      </c>
      <c r="H20" s="7">
        <f t="shared" si="0"/>
        <v>532.59999999999991</v>
      </c>
      <c r="K20" s="8" t="s">
        <v>22</v>
      </c>
      <c r="L20" s="7">
        <f>employment!D95</f>
        <v>6.8</v>
      </c>
      <c r="M20" s="7">
        <f>employment!D247</f>
        <v>132.1</v>
      </c>
      <c r="N20" s="7">
        <f>employment!D399</f>
        <v>32.4</v>
      </c>
      <c r="O20" s="7">
        <f>employment!D551</f>
        <v>147.5</v>
      </c>
      <c r="P20" s="7">
        <f>employment!D703</f>
        <v>64.3</v>
      </c>
      <c r="Q20" s="7">
        <f>employment!D855</f>
        <v>192.6</v>
      </c>
      <c r="R20" s="7">
        <f t="shared" si="1"/>
        <v>575.70000000000005</v>
      </c>
    </row>
    <row r="21" spans="1:18" x14ac:dyDescent="0.2">
      <c r="A21" s="8" t="s">
        <v>23</v>
      </c>
      <c r="B21" s="7">
        <f>employment!D20</f>
        <v>50.6</v>
      </c>
      <c r="C21" s="7">
        <f>employment!D172</f>
        <v>80.7</v>
      </c>
      <c r="D21" s="7">
        <f>employment!D324</f>
        <v>122.4</v>
      </c>
      <c r="E21" s="7">
        <f>employment!D476</f>
        <v>186.6</v>
      </c>
      <c r="F21" s="7">
        <f>employment!D628</f>
        <v>47.8</v>
      </c>
      <c r="G21" s="7">
        <f>employment!D780</f>
        <v>264.60000000000002</v>
      </c>
      <c r="H21" s="7">
        <f t="shared" si="0"/>
        <v>752.7</v>
      </c>
      <c r="K21" s="8" t="s">
        <v>23</v>
      </c>
      <c r="L21" s="7">
        <f>employment!D96</f>
        <v>26.9</v>
      </c>
      <c r="M21" s="7">
        <f>employment!D248</f>
        <v>104.3</v>
      </c>
      <c r="N21" s="7">
        <f>employment!D400</f>
        <v>79.8</v>
      </c>
      <c r="O21" s="7">
        <f>employment!D552</f>
        <v>196</v>
      </c>
      <c r="P21" s="7">
        <f>employment!D704</f>
        <v>98</v>
      </c>
      <c r="Q21" s="7">
        <f>employment!D856</f>
        <v>231.29999999999998</v>
      </c>
      <c r="R21" s="7">
        <f t="shared" si="1"/>
        <v>736.3</v>
      </c>
    </row>
    <row r="22" spans="1:18" x14ac:dyDescent="0.2">
      <c r="A22" s="8" t="s">
        <v>24</v>
      </c>
      <c r="B22" s="7">
        <f>employment!D21</f>
        <v>15.7</v>
      </c>
      <c r="C22" s="7">
        <f>employment!D173</f>
        <v>220.7</v>
      </c>
      <c r="D22" s="7">
        <f>employment!D325</f>
        <v>42.6</v>
      </c>
      <c r="E22" s="7">
        <f>employment!D477</f>
        <v>147.4</v>
      </c>
      <c r="F22" s="7">
        <f>employment!D629</f>
        <v>69.3</v>
      </c>
      <c r="G22" s="7">
        <f>employment!D781</f>
        <v>201</v>
      </c>
      <c r="H22" s="7">
        <f t="shared" si="0"/>
        <v>696.7</v>
      </c>
      <c r="K22" s="8" t="s">
        <v>24</v>
      </c>
      <c r="L22" s="7">
        <f>employment!D97</f>
        <v>10.9</v>
      </c>
      <c r="M22" s="7">
        <f>employment!D249</f>
        <v>187.6</v>
      </c>
      <c r="N22" s="7">
        <f>employment!D401</f>
        <v>33.9</v>
      </c>
      <c r="O22" s="7">
        <f>employment!D553</f>
        <v>161.80000000000001</v>
      </c>
      <c r="P22" s="7">
        <f>employment!D705</f>
        <v>96.4</v>
      </c>
      <c r="Q22" s="7">
        <f>employment!D857</f>
        <v>232.7</v>
      </c>
      <c r="R22" s="7">
        <f t="shared" si="1"/>
        <v>723.3</v>
      </c>
    </row>
    <row r="23" spans="1:18" x14ac:dyDescent="0.2">
      <c r="A23" s="8" t="s">
        <v>25</v>
      </c>
      <c r="B23" s="7">
        <f>employment!D22</f>
        <v>18.600000000000001</v>
      </c>
      <c r="C23" s="7">
        <f>employment!D174</f>
        <v>217.2</v>
      </c>
      <c r="D23" s="7">
        <f>employment!D326</f>
        <v>77</v>
      </c>
      <c r="E23" s="7">
        <f>employment!D478</f>
        <v>221.5</v>
      </c>
      <c r="F23" s="7">
        <f>employment!D630</f>
        <v>106.5</v>
      </c>
      <c r="G23" s="7">
        <f>employment!D782</f>
        <v>268.2</v>
      </c>
      <c r="H23" s="7">
        <f t="shared" si="0"/>
        <v>909</v>
      </c>
      <c r="K23" s="8" t="s">
        <v>25</v>
      </c>
      <c r="L23" s="7">
        <f>employment!D98</f>
        <v>13.2</v>
      </c>
      <c r="M23" s="7">
        <f>employment!D250</f>
        <v>178.8</v>
      </c>
      <c r="N23" s="7">
        <f>employment!D402</f>
        <v>57.6</v>
      </c>
      <c r="O23" s="7">
        <f>employment!D554</f>
        <v>251.5</v>
      </c>
      <c r="P23" s="7">
        <f>employment!D706</f>
        <v>145.5</v>
      </c>
      <c r="Q23" s="7">
        <f>employment!D858</f>
        <v>335.29999999999995</v>
      </c>
      <c r="R23" s="7">
        <f t="shared" si="1"/>
        <v>981.9</v>
      </c>
    </row>
    <row r="24" spans="1:18" x14ac:dyDescent="0.2">
      <c r="A24" s="8" t="s">
        <v>26</v>
      </c>
      <c r="B24" s="7">
        <f>employment!D23</f>
        <v>33.299999999999997</v>
      </c>
      <c r="C24" s="7">
        <f>employment!D175</f>
        <v>138.5</v>
      </c>
      <c r="D24" s="7">
        <f>employment!D327</f>
        <v>64.5</v>
      </c>
      <c r="E24" s="7">
        <f>employment!D479</f>
        <v>182.8</v>
      </c>
      <c r="F24" s="7">
        <f>employment!D631</f>
        <v>73.8</v>
      </c>
      <c r="G24" s="7">
        <f>employment!D783</f>
        <v>218.7</v>
      </c>
      <c r="H24" s="7">
        <f t="shared" si="0"/>
        <v>711.6</v>
      </c>
      <c r="K24" s="8" t="s">
        <v>26</v>
      </c>
      <c r="L24" s="7">
        <f>employment!D99</f>
        <v>28.4</v>
      </c>
      <c r="M24" s="7">
        <f>employment!D251</f>
        <v>131.19999999999999</v>
      </c>
      <c r="N24" s="7">
        <f>employment!D403</f>
        <v>55.2</v>
      </c>
      <c r="O24" s="7">
        <f>employment!D555</f>
        <v>221.39999999999998</v>
      </c>
      <c r="P24" s="7">
        <f>employment!D707</f>
        <v>90.8</v>
      </c>
      <c r="Q24" s="7">
        <f>employment!D859</f>
        <v>247.79999999999998</v>
      </c>
      <c r="R24" s="7">
        <f t="shared" si="1"/>
        <v>774.8</v>
      </c>
    </row>
    <row r="25" spans="1:18" x14ac:dyDescent="0.2">
      <c r="A25" s="8" t="s">
        <v>27</v>
      </c>
      <c r="B25" s="7">
        <f>employment!D24</f>
        <v>62</v>
      </c>
      <c r="C25" s="7">
        <f>employment!D176</f>
        <v>242.5</v>
      </c>
      <c r="D25" s="7">
        <f>employment!D328</f>
        <v>86.8</v>
      </c>
      <c r="E25" s="7">
        <f>employment!D480</f>
        <v>239.3</v>
      </c>
      <c r="F25" s="7">
        <f>employment!D632</f>
        <v>81.599999999999994</v>
      </c>
      <c r="G25" s="7">
        <f>employment!D784</f>
        <v>305.60000000000002</v>
      </c>
      <c r="H25" s="7">
        <f t="shared" si="0"/>
        <v>1017.8000000000001</v>
      </c>
      <c r="K25" s="8" t="s">
        <v>27</v>
      </c>
      <c r="L25" s="7">
        <f>employment!D100</f>
        <v>39.1</v>
      </c>
      <c r="M25" s="7">
        <f>employment!D252</f>
        <v>243.6</v>
      </c>
      <c r="N25" s="7">
        <f>employment!D404</f>
        <v>91.9</v>
      </c>
      <c r="O25" s="7">
        <f>employment!D556</f>
        <v>292</v>
      </c>
      <c r="P25" s="7">
        <f>employment!D708</f>
        <v>119.2</v>
      </c>
      <c r="Q25" s="7">
        <f>employment!D860</f>
        <v>362.70000000000005</v>
      </c>
      <c r="R25" s="7">
        <f t="shared" si="1"/>
        <v>1148.5</v>
      </c>
    </row>
    <row r="26" spans="1:18" x14ac:dyDescent="0.2">
      <c r="A26" s="8" t="s">
        <v>28</v>
      </c>
      <c r="B26" s="7">
        <f>employment!D25</f>
        <v>31.5</v>
      </c>
      <c r="C26" s="7">
        <f>employment!D177</f>
        <v>567.79999999999995</v>
      </c>
      <c r="D26" s="7">
        <f>employment!D329</f>
        <v>138</v>
      </c>
      <c r="E26" s="7">
        <f>employment!D481</f>
        <v>557.4</v>
      </c>
      <c r="F26" s="7">
        <f>employment!D633</f>
        <v>265.10000000000002</v>
      </c>
      <c r="G26" s="7">
        <f>employment!D785</f>
        <v>609.1</v>
      </c>
      <c r="H26" s="7">
        <f t="shared" si="0"/>
        <v>2168.8999999999996</v>
      </c>
      <c r="K26" s="8" t="s">
        <v>28</v>
      </c>
      <c r="L26" s="7">
        <f>employment!D101</f>
        <v>9.9</v>
      </c>
      <c r="M26" s="7">
        <f>employment!D253</f>
        <v>467.4</v>
      </c>
      <c r="N26" s="7">
        <f>employment!D405</f>
        <v>136.19999999999999</v>
      </c>
      <c r="O26" s="7">
        <f>employment!D557</f>
        <v>631.09999999999991</v>
      </c>
      <c r="P26" s="7">
        <f>employment!D709</f>
        <v>364.29999999999995</v>
      </c>
      <c r="Q26" s="7">
        <f>employment!D861</f>
        <v>690.6</v>
      </c>
      <c r="R26" s="7">
        <f t="shared" si="1"/>
        <v>2299.5</v>
      </c>
    </row>
    <row r="27" spans="1:18" x14ac:dyDescent="0.2">
      <c r="A27" s="8" t="s">
        <v>29</v>
      </c>
      <c r="B27" s="7">
        <f>employment!D26</f>
        <v>26.4</v>
      </c>
      <c r="C27" s="7">
        <f>employment!D178</f>
        <v>430.7</v>
      </c>
      <c r="D27" s="7">
        <f>employment!D330</f>
        <v>119.4</v>
      </c>
      <c r="E27" s="7">
        <f>employment!D482</f>
        <v>423.5</v>
      </c>
      <c r="F27" s="7">
        <f>employment!D634</f>
        <v>233.1</v>
      </c>
      <c r="G27" s="7">
        <f>employment!D786</f>
        <v>577.20000000000005</v>
      </c>
      <c r="H27" s="7">
        <f t="shared" si="0"/>
        <v>1810.3</v>
      </c>
      <c r="K27" s="8" t="s">
        <v>29</v>
      </c>
      <c r="L27" s="7">
        <f>employment!D102</f>
        <v>12.4</v>
      </c>
      <c r="M27" s="7">
        <f>employment!D254</f>
        <v>366.3</v>
      </c>
      <c r="N27" s="7">
        <f>employment!D406</f>
        <v>106.3</v>
      </c>
      <c r="O27" s="7">
        <f>employment!D558</f>
        <v>500.40000000000003</v>
      </c>
      <c r="P27" s="7">
        <f>employment!D710</f>
        <v>331.7</v>
      </c>
      <c r="Q27" s="7">
        <f>employment!D862</f>
        <v>652.70000000000005</v>
      </c>
      <c r="R27" s="7">
        <f t="shared" si="1"/>
        <v>1969.8000000000002</v>
      </c>
    </row>
    <row r="28" spans="1:18" x14ac:dyDescent="0.2">
      <c r="A28" s="8" t="s">
        <v>30</v>
      </c>
      <c r="B28" s="7">
        <f>employment!D27</f>
        <v>29.4</v>
      </c>
      <c r="C28" s="7">
        <f>employment!D179</f>
        <v>286.5</v>
      </c>
      <c r="D28" s="7">
        <f>employment!D331</f>
        <v>86.4</v>
      </c>
      <c r="E28" s="7">
        <f>employment!D483</f>
        <v>251.1</v>
      </c>
      <c r="F28" s="7">
        <f>employment!D635</f>
        <v>105.6</v>
      </c>
      <c r="G28" s="7">
        <f>employment!D787</f>
        <v>300.7</v>
      </c>
      <c r="H28" s="7">
        <f t="shared" si="0"/>
        <v>1059.7</v>
      </c>
      <c r="K28" s="8" t="s">
        <v>30</v>
      </c>
      <c r="L28" s="7">
        <f>employment!D103</f>
        <v>16.899999999999999</v>
      </c>
      <c r="M28" s="7">
        <f>employment!D255</f>
        <v>247.3</v>
      </c>
      <c r="N28" s="7">
        <f>employment!D407</f>
        <v>91</v>
      </c>
      <c r="O28" s="7">
        <f>employment!D559</f>
        <v>296.5</v>
      </c>
      <c r="P28" s="7">
        <f>employment!D711</f>
        <v>148.5</v>
      </c>
      <c r="Q28" s="7">
        <f>employment!D863</f>
        <v>379.1</v>
      </c>
      <c r="R28" s="7">
        <f t="shared" si="1"/>
        <v>1179.3000000000002</v>
      </c>
    </row>
    <row r="29" spans="1:18" x14ac:dyDescent="0.2">
      <c r="A29" s="8" t="s">
        <v>31</v>
      </c>
      <c r="B29" s="7">
        <f>employment!D28</f>
        <v>17.3</v>
      </c>
      <c r="C29" s="7">
        <f>employment!D180</f>
        <v>290.2</v>
      </c>
      <c r="D29" s="7">
        <f>employment!D332</f>
        <v>64.400000000000006</v>
      </c>
      <c r="E29" s="7">
        <f>employment!D484</f>
        <v>191.9</v>
      </c>
      <c r="F29" s="7">
        <f>employment!D636</f>
        <v>72.2</v>
      </c>
      <c r="G29" s="7">
        <f>employment!D788</f>
        <v>241.6</v>
      </c>
      <c r="H29" s="7">
        <f t="shared" si="0"/>
        <v>877.6</v>
      </c>
      <c r="K29" s="8" t="s">
        <v>31</v>
      </c>
      <c r="L29" s="7">
        <f>employment!D104</f>
        <v>10.7</v>
      </c>
      <c r="M29" s="7">
        <f>employment!D256</f>
        <v>254.2</v>
      </c>
      <c r="N29" s="7">
        <f>employment!D408</f>
        <v>62.8</v>
      </c>
      <c r="O29" s="7">
        <f>employment!D560</f>
        <v>233.10000000000002</v>
      </c>
      <c r="P29" s="7">
        <f>employment!D712</f>
        <v>100.9</v>
      </c>
      <c r="Q29" s="7">
        <f>employment!D864</f>
        <v>284.5</v>
      </c>
      <c r="R29" s="7">
        <f t="shared" si="1"/>
        <v>946.19999999999993</v>
      </c>
    </row>
    <row r="30" spans="1:18" x14ac:dyDescent="0.2">
      <c r="A30" s="8" t="s">
        <v>32</v>
      </c>
      <c r="B30" s="7">
        <f>employment!D29</f>
        <v>25.7</v>
      </c>
      <c r="C30" s="7">
        <f>employment!D181</f>
        <v>469.2</v>
      </c>
      <c r="D30" s="7">
        <f>employment!D333</f>
        <v>104.8</v>
      </c>
      <c r="E30" s="7">
        <f>employment!D485</f>
        <v>363.3</v>
      </c>
      <c r="F30" s="7">
        <f>employment!D637</f>
        <v>144.69999999999999</v>
      </c>
      <c r="G30" s="7">
        <f>employment!D789</f>
        <v>429.1</v>
      </c>
      <c r="H30" s="7">
        <f t="shared" si="0"/>
        <v>1536.8000000000002</v>
      </c>
      <c r="K30" s="8" t="s">
        <v>32</v>
      </c>
      <c r="L30" s="7">
        <f>employment!D105</f>
        <v>8.1</v>
      </c>
      <c r="M30" s="7">
        <f>employment!D257</f>
        <v>418.8</v>
      </c>
      <c r="N30" s="7">
        <f>employment!D409</f>
        <v>89.2</v>
      </c>
      <c r="O30" s="7">
        <f>employment!D561</f>
        <v>389.4</v>
      </c>
      <c r="P30" s="7">
        <f>employment!D713</f>
        <v>192.2</v>
      </c>
      <c r="Q30" s="7">
        <f>employment!D865</f>
        <v>494</v>
      </c>
      <c r="R30" s="7">
        <f t="shared" si="1"/>
        <v>1591.7</v>
      </c>
    </row>
    <row r="31" spans="1:18" x14ac:dyDescent="0.2">
      <c r="A31" s="8" t="s">
        <v>33</v>
      </c>
      <c r="B31" s="7">
        <f>employment!D30</f>
        <v>14</v>
      </c>
      <c r="C31" s="7">
        <f>employment!D182</f>
        <v>175</v>
      </c>
      <c r="D31" s="7">
        <f>employment!D334</f>
        <v>60.7</v>
      </c>
      <c r="E31" s="7">
        <f>employment!D486</f>
        <v>142.19999999999999</v>
      </c>
      <c r="F31" s="7">
        <f>employment!D638</f>
        <v>57.7</v>
      </c>
      <c r="G31" s="7">
        <f>employment!D790</f>
        <v>196</v>
      </c>
      <c r="H31" s="7">
        <f t="shared" si="0"/>
        <v>645.59999999999991</v>
      </c>
      <c r="K31" s="8" t="s">
        <v>33</v>
      </c>
      <c r="L31" s="7">
        <f>employment!D106</f>
        <v>8.3000000000000007</v>
      </c>
      <c r="M31" s="7">
        <f>employment!D258</f>
        <v>145.4</v>
      </c>
      <c r="N31" s="7">
        <f>employment!D410</f>
        <v>50.7</v>
      </c>
      <c r="O31" s="7">
        <f>employment!D562</f>
        <v>175.3</v>
      </c>
      <c r="P31" s="7">
        <f>employment!D714</f>
        <v>75.199999999999989</v>
      </c>
      <c r="Q31" s="7">
        <f>employment!D866</f>
        <v>243.10000000000002</v>
      </c>
      <c r="R31" s="7">
        <f t="shared" si="1"/>
        <v>698</v>
      </c>
    </row>
    <row r="32" spans="1:18" x14ac:dyDescent="0.2">
      <c r="A32" s="8" t="s">
        <v>34</v>
      </c>
      <c r="B32" s="7">
        <f>employment!D31</f>
        <v>8.8000000000000007</v>
      </c>
      <c r="C32" s="7">
        <f>employment!D183</f>
        <v>46.4</v>
      </c>
      <c r="D32" s="7">
        <f>employment!D335</f>
        <v>20.6</v>
      </c>
      <c r="E32" s="7">
        <f>employment!D487</f>
        <v>49</v>
      </c>
      <c r="F32" s="7">
        <f>employment!D639</f>
        <v>21.2</v>
      </c>
      <c r="G32" s="7">
        <f>employment!D791</f>
        <v>67.7</v>
      </c>
      <c r="H32" s="7">
        <f t="shared" si="0"/>
        <v>213.7</v>
      </c>
      <c r="K32" s="8" t="s">
        <v>34</v>
      </c>
      <c r="L32" s="7">
        <f>employment!D107</f>
        <v>8.1999999999999993</v>
      </c>
      <c r="M32" s="7">
        <f>employment!D259</f>
        <v>46.4</v>
      </c>
      <c r="N32" s="7">
        <f>employment!D411</f>
        <v>22.1</v>
      </c>
      <c r="O32" s="7">
        <f>employment!D563</f>
        <v>68.3</v>
      </c>
      <c r="P32" s="7">
        <f>employment!D715</f>
        <v>29.299999999999997</v>
      </c>
      <c r="Q32" s="7">
        <f>employment!D867</f>
        <v>79.099999999999994</v>
      </c>
      <c r="R32" s="7">
        <f t="shared" si="1"/>
        <v>253.4</v>
      </c>
    </row>
    <row r="33" spans="1:18" x14ac:dyDescent="0.2">
      <c r="A33" s="8" t="s">
        <v>35</v>
      </c>
      <c r="B33" s="7">
        <f>employment!D32</f>
        <v>19.100000000000001</v>
      </c>
      <c r="C33" s="7">
        <f>employment!D184</f>
        <v>265.10000000000002</v>
      </c>
      <c r="D33" s="7">
        <f>employment!D336</f>
        <v>67.400000000000006</v>
      </c>
      <c r="E33" s="7">
        <f>employment!D488</f>
        <v>197.9</v>
      </c>
      <c r="F33" s="7">
        <f>employment!D640</f>
        <v>88.8</v>
      </c>
      <c r="G33" s="7">
        <f>employment!D792</f>
        <v>247.5</v>
      </c>
      <c r="H33" s="7">
        <f t="shared" si="0"/>
        <v>885.8</v>
      </c>
      <c r="K33" s="8" t="s">
        <v>35</v>
      </c>
      <c r="L33" s="7">
        <f>employment!D108</f>
        <v>16.2</v>
      </c>
      <c r="M33" s="7">
        <f>employment!D260</f>
        <v>222.9</v>
      </c>
      <c r="N33" s="7">
        <f>employment!D412</f>
        <v>58.4</v>
      </c>
      <c r="O33" s="7">
        <f>employment!D564</f>
        <v>221.2</v>
      </c>
      <c r="P33" s="7">
        <f>employment!D716</f>
        <v>120.2</v>
      </c>
      <c r="Q33" s="7">
        <f>employment!D868</f>
        <v>309.60000000000002</v>
      </c>
      <c r="R33" s="7">
        <f t="shared" si="1"/>
        <v>948.50000000000011</v>
      </c>
    </row>
    <row r="34" spans="1:18" x14ac:dyDescent="0.2">
      <c r="A34" s="8" t="s">
        <v>36</v>
      </c>
      <c r="B34" s="7">
        <f>employment!D33</f>
        <v>0</v>
      </c>
      <c r="C34" s="7">
        <f>employment!D185</f>
        <v>119.1</v>
      </c>
      <c r="D34" s="7">
        <f>employment!D337</f>
        <v>31.5</v>
      </c>
      <c r="E34" s="7">
        <f>employment!D489</f>
        <v>100.5</v>
      </c>
      <c r="F34" s="7">
        <f>employment!D641</f>
        <v>44.5</v>
      </c>
      <c r="G34" s="7">
        <f>employment!D793</f>
        <v>133.5</v>
      </c>
      <c r="H34" s="7">
        <f t="shared" si="0"/>
        <v>429.1</v>
      </c>
      <c r="K34" s="8" t="s">
        <v>36</v>
      </c>
      <c r="L34" s="7">
        <f>employment!D109</f>
        <v>0</v>
      </c>
      <c r="M34" s="7">
        <f>employment!D261</f>
        <v>108.3</v>
      </c>
      <c r="N34" s="7">
        <f>employment!D413</f>
        <v>29.7</v>
      </c>
      <c r="O34" s="7">
        <f>employment!D565</f>
        <v>107.39999999999999</v>
      </c>
      <c r="P34" s="7">
        <f>employment!D717</f>
        <v>54.7</v>
      </c>
      <c r="Q34" s="7">
        <f>employment!D869</f>
        <v>144.6</v>
      </c>
      <c r="R34" s="7">
        <f t="shared" si="1"/>
        <v>444.69999999999993</v>
      </c>
    </row>
    <row r="35" spans="1:18" x14ac:dyDescent="0.2">
      <c r="A35" s="8" t="s">
        <v>37</v>
      </c>
      <c r="B35" s="7">
        <f>employment!D34</f>
        <v>0</v>
      </c>
      <c r="C35" s="7">
        <f>employment!D186</f>
        <v>0</v>
      </c>
      <c r="D35" s="7">
        <f>employment!D338</f>
        <v>0</v>
      </c>
      <c r="E35" s="7">
        <f>employment!D490</f>
        <v>0</v>
      </c>
      <c r="F35" s="7">
        <f>employment!D642</f>
        <v>0</v>
      </c>
      <c r="G35" s="7">
        <f>employment!D794</f>
        <v>0</v>
      </c>
      <c r="H35" s="7">
        <f t="shared" si="0"/>
        <v>0</v>
      </c>
      <c r="K35" s="8" t="s">
        <v>37</v>
      </c>
      <c r="L35" s="7">
        <f>employment!D110</f>
        <v>11.4</v>
      </c>
      <c r="M35" s="7">
        <f>employment!D262</f>
        <v>151.4</v>
      </c>
      <c r="N35" s="7">
        <f>employment!D414</f>
        <v>64.8</v>
      </c>
      <c r="O35" s="7">
        <f>employment!D566</f>
        <v>170.60000000000002</v>
      </c>
      <c r="P35" s="7">
        <f>employment!D718</f>
        <v>103</v>
      </c>
      <c r="Q35" s="7">
        <f>employment!D870</f>
        <v>230.4</v>
      </c>
      <c r="R35" s="7">
        <f t="shared" si="1"/>
        <v>731.6</v>
      </c>
    </row>
    <row r="36" spans="1:18" x14ac:dyDescent="0.2">
      <c r="A36" s="8" t="s">
        <v>38</v>
      </c>
      <c r="B36" s="7">
        <f>employment!D35</f>
        <v>0</v>
      </c>
      <c r="C36" s="7">
        <f>employment!D187</f>
        <v>0</v>
      </c>
      <c r="D36" s="7">
        <f>employment!D339</f>
        <v>0</v>
      </c>
      <c r="E36" s="7">
        <f>employment!D491</f>
        <v>0</v>
      </c>
      <c r="F36" s="7">
        <f>employment!D643</f>
        <v>0</v>
      </c>
      <c r="G36" s="7">
        <f>employment!D795</f>
        <v>0</v>
      </c>
      <c r="H36" s="7">
        <f t="shared" si="0"/>
        <v>0</v>
      </c>
      <c r="K36" s="8" t="s">
        <v>38</v>
      </c>
      <c r="L36" s="7">
        <f>employment!D111</f>
        <v>10.7</v>
      </c>
      <c r="M36" s="7">
        <f>employment!D263</f>
        <v>169.3</v>
      </c>
      <c r="N36" s="7">
        <f>employment!D415</f>
        <v>68.599999999999994</v>
      </c>
      <c r="O36" s="7">
        <f>employment!D567</f>
        <v>160.69999999999999</v>
      </c>
      <c r="P36" s="7">
        <f>employment!D719</f>
        <v>75.400000000000006</v>
      </c>
      <c r="Q36" s="7">
        <f>employment!D871</f>
        <v>183.7</v>
      </c>
      <c r="R36" s="7">
        <f t="shared" si="1"/>
        <v>668.39999999999986</v>
      </c>
    </row>
    <row r="37" spans="1:18" x14ac:dyDescent="0.2">
      <c r="A37" s="8" t="s">
        <v>39</v>
      </c>
      <c r="B37" s="7">
        <f>employment!D36</f>
        <v>0</v>
      </c>
      <c r="C37" s="7">
        <f>employment!D188</f>
        <v>0</v>
      </c>
      <c r="D37" s="7">
        <f>employment!D340</f>
        <v>0</v>
      </c>
      <c r="E37" s="7">
        <f>employment!D492</f>
        <v>0</v>
      </c>
      <c r="F37" s="7">
        <f>employment!D644</f>
        <v>0</v>
      </c>
      <c r="G37" s="7">
        <f>employment!D796</f>
        <v>0</v>
      </c>
      <c r="H37" s="7">
        <f t="shared" si="0"/>
        <v>0</v>
      </c>
      <c r="K37" s="8" t="s">
        <v>39</v>
      </c>
      <c r="L37" s="7">
        <f>employment!D112</f>
        <v>7.2</v>
      </c>
      <c r="M37" s="7">
        <f>employment!D264</f>
        <v>66</v>
      </c>
      <c r="N37" s="7">
        <f>employment!D416</f>
        <v>41.4</v>
      </c>
      <c r="O37" s="7">
        <f>employment!D568</f>
        <v>126.5</v>
      </c>
      <c r="P37" s="7">
        <f>employment!D720</f>
        <v>73.900000000000006</v>
      </c>
      <c r="Q37" s="7">
        <f>employment!D872</f>
        <v>143.5</v>
      </c>
      <c r="R37" s="7">
        <f t="shared" si="1"/>
        <v>458.5</v>
      </c>
    </row>
    <row r="38" spans="1:18" x14ac:dyDescent="0.2">
      <c r="A38" s="8" t="s">
        <v>40</v>
      </c>
      <c r="B38" s="7">
        <f>employment!D37</f>
        <v>44.9</v>
      </c>
      <c r="C38" s="7">
        <f>employment!D189</f>
        <v>173.5</v>
      </c>
      <c r="D38" s="7">
        <f>employment!D341</f>
        <v>168.4</v>
      </c>
      <c r="E38" s="7">
        <f>employment!D493</f>
        <v>252.5</v>
      </c>
      <c r="F38" s="7">
        <f>employment!D645</f>
        <v>78.5</v>
      </c>
      <c r="G38" s="7">
        <f>employment!D797</f>
        <v>352.6</v>
      </c>
      <c r="H38" s="7">
        <f t="shared" si="0"/>
        <v>1070.4000000000001</v>
      </c>
      <c r="K38" s="8" t="s">
        <v>40</v>
      </c>
      <c r="L38" s="7">
        <f>employment!D113</f>
        <v>21.3</v>
      </c>
      <c r="M38" s="7">
        <f>employment!D265</f>
        <v>188.5</v>
      </c>
      <c r="N38" s="7">
        <f>employment!D417</f>
        <v>111.7</v>
      </c>
      <c r="O38" s="7">
        <f>employment!D569</f>
        <v>250.20000000000002</v>
      </c>
      <c r="P38" s="7">
        <f>employment!D721</f>
        <v>139.5</v>
      </c>
      <c r="Q38" s="7">
        <f>employment!D873</f>
        <v>328.6</v>
      </c>
      <c r="R38" s="7">
        <f t="shared" si="1"/>
        <v>1039.8000000000002</v>
      </c>
    </row>
    <row r="39" spans="1:18" x14ac:dyDescent="0.2">
      <c r="A39" s="8" t="s">
        <v>41</v>
      </c>
      <c r="B39" s="7">
        <f>employment!D38</f>
        <v>38.6</v>
      </c>
      <c r="C39" s="7">
        <f>employment!D190</f>
        <v>205.3</v>
      </c>
      <c r="D39" s="7">
        <f>employment!D342</f>
        <v>94.2</v>
      </c>
      <c r="E39" s="7">
        <f>employment!D494</f>
        <v>325.10000000000002</v>
      </c>
      <c r="F39" s="7">
        <f>employment!D646</f>
        <v>140.69999999999999</v>
      </c>
      <c r="G39" s="7">
        <f>employment!D798</f>
        <v>398.8</v>
      </c>
      <c r="H39" s="7">
        <f t="shared" si="0"/>
        <v>1202.7</v>
      </c>
      <c r="K39" s="8" t="s">
        <v>41</v>
      </c>
      <c r="L39" s="7">
        <f>employment!D114</f>
        <v>31.8</v>
      </c>
      <c r="M39" s="7">
        <f>employment!D266</f>
        <v>194.2</v>
      </c>
      <c r="N39" s="7">
        <f>employment!D418</f>
        <v>89.8</v>
      </c>
      <c r="O39" s="7">
        <f>employment!D570</f>
        <v>354.59999999999997</v>
      </c>
      <c r="P39" s="7">
        <f>employment!D722</f>
        <v>194.79999999999998</v>
      </c>
      <c r="Q39" s="7">
        <f>employment!D874</f>
        <v>446.9</v>
      </c>
      <c r="R39" s="7">
        <f t="shared" si="1"/>
        <v>1312.1</v>
      </c>
    </row>
    <row r="40" spans="1:18" x14ac:dyDescent="0.2">
      <c r="A40" s="8" t="s">
        <v>42</v>
      </c>
      <c r="B40" s="7">
        <f>employment!D39</f>
        <v>40.799999999999997</v>
      </c>
      <c r="C40" s="7">
        <f>employment!D191</f>
        <v>209.7</v>
      </c>
      <c r="D40" s="7">
        <f>employment!D343</f>
        <v>159.5</v>
      </c>
      <c r="E40" s="7">
        <f>employment!D495</f>
        <v>218.8</v>
      </c>
      <c r="F40" s="7">
        <f>employment!D647</f>
        <v>66.5</v>
      </c>
      <c r="G40" s="7">
        <f>employment!D799</f>
        <v>389.5</v>
      </c>
      <c r="H40" s="7">
        <f t="shared" si="0"/>
        <v>1084.8</v>
      </c>
      <c r="K40" s="8" t="s">
        <v>42</v>
      </c>
      <c r="L40" s="7">
        <f>employment!D115</f>
        <v>23.7</v>
      </c>
      <c r="M40" s="7">
        <f>employment!D267</f>
        <v>248.2</v>
      </c>
      <c r="N40" s="7">
        <f>employment!D419</f>
        <v>104</v>
      </c>
      <c r="O40" s="7">
        <f>employment!D571</f>
        <v>227.79999999999998</v>
      </c>
      <c r="P40" s="7">
        <f>employment!D723</f>
        <v>123.5</v>
      </c>
      <c r="Q40" s="7">
        <f>employment!D875</f>
        <v>322.40000000000003</v>
      </c>
      <c r="R40" s="7">
        <f t="shared" si="1"/>
        <v>1049.5999999999999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0347-38B0-6B49-9389-6D1F1ABDF05C}">
  <dimension ref="A1:P40"/>
  <sheetViews>
    <sheetView workbookViewId="0">
      <selection activeCell="I34" sqref="I34"/>
    </sheetView>
  </sheetViews>
  <sheetFormatPr baseColWidth="10" defaultRowHeight="16" x14ac:dyDescent="0.2"/>
  <cols>
    <col min="1" max="1" width="23.6640625" bestFit="1" customWidth="1"/>
    <col min="10" max="10" width="23.6640625" bestFit="1" customWidth="1"/>
  </cols>
  <sheetData>
    <row r="1" spans="1:16" x14ac:dyDescent="0.2">
      <c r="A1" s="20">
        <v>1999</v>
      </c>
      <c r="B1" s="20"/>
      <c r="C1" s="20"/>
      <c r="D1" s="20"/>
      <c r="E1" s="20"/>
      <c r="F1" s="20"/>
      <c r="G1" s="20"/>
      <c r="J1" s="20">
        <v>2012</v>
      </c>
      <c r="K1" s="20"/>
      <c r="L1" s="20"/>
      <c r="M1" s="20"/>
      <c r="N1" s="20"/>
      <c r="O1" s="20"/>
      <c r="P1" s="20"/>
    </row>
    <row r="2" spans="1:16" x14ac:dyDescent="0.2">
      <c r="A2" s="14"/>
      <c r="B2" s="14" t="s">
        <v>5</v>
      </c>
      <c r="C2" s="14" t="s">
        <v>43</v>
      </c>
      <c r="D2" s="14" t="s">
        <v>44</v>
      </c>
      <c r="E2" s="14" t="s">
        <v>45</v>
      </c>
      <c r="F2" s="14" t="s">
        <v>46</v>
      </c>
      <c r="G2" s="14" t="s">
        <v>47</v>
      </c>
      <c r="J2" s="8"/>
      <c r="K2" s="8" t="s">
        <v>5</v>
      </c>
      <c r="L2" s="8" t="s">
        <v>43</v>
      </c>
      <c r="M2" s="8" t="s">
        <v>44</v>
      </c>
      <c r="N2" s="8" t="s">
        <v>45</v>
      </c>
      <c r="O2" s="8" t="s">
        <v>46</v>
      </c>
      <c r="P2" s="8" t="s">
        <v>47</v>
      </c>
    </row>
    <row r="3" spans="1:16" x14ac:dyDescent="0.2">
      <c r="A3" s="8" t="s">
        <v>4</v>
      </c>
      <c r="B3" s="17">
        <f>L_r!B3/L_r!$H3</f>
        <v>1.7155385036996439E-2</v>
      </c>
      <c r="C3" s="17">
        <f>L_r!C3/L_r!$H3</f>
        <v>0.37106056453822966</v>
      </c>
      <c r="D3" s="17">
        <f>L_r!D3/L_r!$H3</f>
        <v>6.8676349684845164E-2</v>
      </c>
      <c r="E3" s="17">
        <f>L_r!E3/L_r!$H3</f>
        <v>0.19660180871471636</v>
      </c>
      <c r="F3" s="17">
        <f>L_r!F3/L_r!$H3</f>
        <v>0.10671416826527816</v>
      </c>
      <c r="G3" s="17">
        <f>L_r!G3/L_r!$H3</f>
        <v>0.23979172375993424</v>
      </c>
      <c r="J3" s="8" t="s">
        <v>4</v>
      </c>
      <c r="K3" s="17">
        <f>L_r!L3/L_r!$R3</f>
        <v>1.0189830859152744E-2</v>
      </c>
      <c r="L3" s="17">
        <f>L_r!M3/L_r!$R3</f>
        <v>0.30807427714270935</v>
      </c>
      <c r="M3" s="17">
        <f>L_r!N3/L_r!$R3</f>
        <v>6.0001034500594838E-2</v>
      </c>
      <c r="N3" s="17">
        <f>L_r!O3/L_r!$R3</f>
        <v>0.21817617545130089</v>
      </c>
      <c r="O3" s="17">
        <f>L_r!P3/L_r!$R3</f>
        <v>0.14193348161175193</v>
      </c>
      <c r="P3" s="17">
        <f>L_r!Q3/L_r!$R3</f>
        <v>0.26162520043449028</v>
      </c>
    </row>
    <row r="4" spans="1:16" x14ac:dyDescent="0.2">
      <c r="A4" s="8" t="s">
        <v>6</v>
      </c>
      <c r="B4" s="17">
        <f>L_r!B4/L_r!$H4</f>
        <v>1.4758573622248763E-2</v>
      </c>
      <c r="C4" s="17">
        <f>L_r!C4/L_r!$H4</f>
        <v>0.32366490360006822</v>
      </c>
      <c r="D4" s="17">
        <f>L_r!D4/L_r!$H4</f>
        <v>5.7413410680771194E-2</v>
      </c>
      <c r="E4" s="17">
        <f>L_r!E4/L_r!$H4</f>
        <v>0.20286640505033271</v>
      </c>
      <c r="F4" s="17">
        <f>L_r!F4/L_r!$H4</f>
        <v>0.11533867940624465</v>
      </c>
      <c r="G4" s="17">
        <f>L_r!G4/L_r!$H4</f>
        <v>0.2859580276403344</v>
      </c>
      <c r="J4" s="8" t="s">
        <v>6</v>
      </c>
      <c r="K4" s="17">
        <f>L_r!L4/L_r!$R4</f>
        <v>4.4935262757044934E-3</v>
      </c>
      <c r="L4" s="17">
        <f>L_r!M4/L_r!$R4</f>
        <v>0.26892612338156896</v>
      </c>
      <c r="M4" s="17">
        <f>L_r!N4/L_r!$R4</f>
        <v>5.186595582635186E-2</v>
      </c>
      <c r="N4" s="17">
        <f>L_r!O4/L_r!$R4</f>
        <v>0.2379284082254379</v>
      </c>
      <c r="O4" s="17">
        <f>L_r!P4/L_r!$R4</f>
        <v>0.13785224676313784</v>
      </c>
      <c r="P4" s="17">
        <f>L_r!Q4/L_r!$R4</f>
        <v>0.29893373952779895</v>
      </c>
    </row>
    <row r="5" spans="1:16" x14ac:dyDescent="0.2">
      <c r="A5" s="8" t="s">
        <v>7</v>
      </c>
      <c r="B5" s="17">
        <f>L_r!B5/L_r!$H5</f>
        <v>3.2847486269539497E-2</v>
      </c>
      <c r="C5" s="17">
        <f>L_r!C5/L_r!$H5</f>
        <v>0.32921419518377687</v>
      </c>
      <c r="D5" s="17">
        <f>L_r!D5/L_r!$H5</f>
        <v>7.3299535276721575E-2</v>
      </c>
      <c r="E5" s="17">
        <f>L_r!E5/L_r!$H5</f>
        <v>0.20564005069708485</v>
      </c>
      <c r="F5" s="17">
        <f>L_r!F5/L_r!$H5</f>
        <v>9.1465990705534406E-2</v>
      </c>
      <c r="G5" s="17">
        <f>L_r!G5/L_r!$H5</f>
        <v>0.2675327418673426</v>
      </c>
      <c r="J5" s="8" t="s">
        <v>7</v>
      </c>
      <c r="K5" s="17">
        <f>L_r!L5/L_r!$R5</f>
        <v>1.0917030567685589E-2</v>
      </c>
      <c r="L5" s="17">
        <f>L_r!M5/L_r!$R5</f>
        <v>0.28675400291120812</v>
      </c>
      <c r="M5" s="17">
        <f>L_r!N5/L_r!$R5</f>
        <v>6.3045851528384281E-2</v>
      </c>
      <c r="N5" s="17">
        <f>L_r!O5/L_r!$R5</f>
        <v>0.24126637554585151</v>
      </c>
      <c r="O5" s="17">
        <f>L_r!P5/L_r!$R5</f>
        <v>9.9526928675400278E-2</v>
      </c>
      <c r="P5" s="17">
        <f>L_r!Q5/L_r!$R5</f>
        <v>0.29848981077147013</v>
      </c>
    </row>
    <row r="6" spans="1:16" x14ac:dyDescent="0.2">
      <c r="A6" s="8" t="s">
        <v>8</v>
      </c>
      <c r="B6" s="17">
        <f>L_r!B6/L_r!$H6</f>
        <v>4.0134612987660481E-2</v>
      </c>
      <c r="C6" s="17">
        <f>L_r!C6/L_r!$H6</f>
        <v>0.36183472516515025</v>
      </c>
      <c r="D6" s="17">
        <f>L_r!D6/L_r!$H6</f>
        <v>7.1793593418920609E-2</v>
      </c>
      <c r="E6" s="17">
        <f>L_r!E6/L_r!$H6</f>
        <v>0.18073040009971333</v>
      </c>
      <c r="F6" s="17">
        <f>L_r!F6/L_r!$H6</f>
        <v>8.9492708463168397E-2</v>
      </c>
      <c r="G6" s="17">
        <f>L_r!G6/L_r!$H6</f>
        <v>0.25601395986538705</v>
      </c>
      <c r="J6" s="8" t="s">
        <v>8</v>
      </c>
      <c r="K6" s="17">
        <f>L_r!L6/L_r!$R6</f>
        <v>2.0863712843522154E-2</v>
      </c>
      <c r="L6" s="17">
        <f>L_r!M6/L_r!$R6</f>
        <v>0.32349971957375206</v>
      </c>
      <c r="M6" s="17">
        <f>L_r!N6/L_r!$R6</f>
        <v>6.0235558048233315E-2</v>
      </c>
      <c r="N6" s="17">
        <f>L_r!O6/L_r!$R6</f>
        <v>0.20325294447560291</v>
      </c>
      <c r="O6" s="17">
        <f>L_r!P6/L_r!$R6</f>
        <v>0.1001682557487381</v>
      </c>
      <c r="P6" s="17">
        <f>L_r!Q6/L_r!$R6</f>
        <v>0.29197980931015144</v>
      </c>
    </row>
    <row r="7" spans="1:16" x14ac:dyDescent="0.2">
      <c r="A7" s="8" t="s">
        <v>9</v>
      </c>
      <c r="B7" s="17">
        <f>L_r!B7/L_r!$H7</f>
        <v>2.665724238905437E-2</v>
      </c>
      <c r="C7" s="17">
        <f>L_r!C7/L_r!$H7</f>
        <v>0.23971323269551167</v>
      </c>
      <c r="D7" s="17">
        <f>L_r!D7/L_r!$H7</f>
        <v>6.3159489069520861E-2</v>
      </c>
      <c r="E7" s="17">
        <f>L_r!E7/L_r!$H7</f>
        <v>0.22552632907557929</v>
      </c>
      <c r="F7" s="17">
        <f>L_r!F7/L_r!$H7</f>
        <v>0.16756702175998381</v>
      </c>
      <c r="G7" s="17">
        <f>L_r!G7/L_r!$H7</f>
        <v>0.27737668501034984</v>
      </c>
      <c r="J7" s="8" t="s">
        <v>9</v>
      </c>
      <c r="K7" s="17">
        <f>L_r!L7/L_r!$R7</f>
        <v>1.5338239205603336E-2</v>
      </c>
      <c r="L7" s="17">
        <f>L_r!M7/L_r!$R7</f>
        <v>0.19984041138398798</v>
      </c>
      <c r="M7" s="17">
        <f>L_r!N7/L_r!$R7</f>
        <v>5.7939533646599879E-2</v>
      </c>
      <c r="N7" s="17">
        <f>L_r!O7/L_r!$R7</f>
        <v>0.26292224487986526</v>
      </c>
      <c r="O7" s="17">
        <f>L_r!P7/L_r!$R7</f>
        <v>0.18370422909832435</v>
      </c>
      <c r="P7" s="17">
        <f>L_r!Q7/L_r!$R7</f>
        <v>0.28025534178561928</v>
      </c>
    </row>
    <row r="8" spans="1:16" x14ac:dyDescent="0.2">
      <c r="A8" s="8" t="s">
        <v>10</v>
      </c>
      <c r="B8" s="17">
        <f>L_r!B8/L_r!$H8</f>
        <v>6.4259927797833932E-2</v>
      </c>
      <c r="C8" s="17">
        <f>L_r!C8/L_r!$H8</f>
        <v>0.30270758122743679</v>
      </c>
      <c r="D8" s="17">
        <f>L_r!D8/L_r!$H8</f>
        <v>0.10162454873646209</v>
      </c>
      <c r="E8" s="17">
        <f>L_r!E8/L_r!$H8</f>
        <v>0.21173285198555955</v>
      </c>
      <c r="F8" s="17">
        <f>L_r!F8/L_r!$H8</f>
        <v>8.8086642599277967E-2</v>
      </c>
      <c r="G8" s="17">
        <f>L_r!G8/L_r!$H8</f>
        <v>0.23158844765342962</v>
      </c>
      <c r="J8" s="8" t="s">
        <v>10</v>
      </c>
      <c r="K8" s="17">
        <f>L_r!L8/L_r!$R8</f>
        <v>3.4973226238286477E-2</v>
      </c>
      <c r="L8" s="17">
        <f>L_r!M8/L_r!$R8</f>
        <v>0.27292503346720215</v>
      </c>
      <c r="M8" s="17">
        <f>L_r!N8/L_r!$R8</f>
        <v>9.4544846050870143E-2</v>
      </c>
      <c r="N8" s="17">
        <f>L_r!O8/L_r!$R8</f>
        <v>0.23376840696117801</v>
      </c>
      <c r="O8" s="17">
        <f>L_r!P8/L_r!$R8</f>
        <v>0.10274431057563588</v>
      </c>
      <c r="P8" s="17">
        <f>L_r!Q8/L_r!$R8</f>
        <v>0.26104417670682728</v>
      </c>
    </row>
    <row r="9" spans="1:16" x14ac:dyDescent="0.2">
      <c r="A9" s="8" t="s">
        <v>11</v>
      </c>
      <c r="B9" s="17">
        <f>L_r!B9/L_r!$H9</f>
        <v>6.0428455941794669E-2</v>
      </c>
      <c r="C9" s="17">
        <f>L_r!C9/L_r!$H9</f>
        <v>0.29628132578819727</v>
      </c>
      <c r="D9" s="17">
        <f>L_r!D9/L_r!$H9</f>
        <v>9.2764753435731609E-2</v>
      </c>
      <c r="E9" s="17">
        <f>L_r!E9/L_r!$H9</f>
        <v>0.20796281325788199</v>
      </c>
      <c r="F9" s="17">
        <f>L_r!F9/L_r!$H9</f>
        <v>8.0638641875505263E-2</v>
      </c>
      <c r="G9" s="17">
        <f>L_r!G9/L_r!$H9</f>
        <v>0.26192400970088925</v>
      </c>
      <c r="J9" s="8" t="s">
        <v>11</v>
      </c>
      <c r="K9" s="17">
        <f>L_r!L9/L_r!$R9</f>
        <v>2.6024363233665561E-2</v>
      </c>
      <c r="L9" s="17">
        <f>L_r!M9/L_r!$R9</f>
        <v>0.28608342561830935</v>
      </c>
      <c r="M9" s="17">
        <f>L_r!N9/L_r!$R9</f>
        <v>6.7737172388335196E-2</v>
      </c>
      <c r="N9" s="17">
        <f>L_r!O9/L_r!$R9</f>
        <v>0.22480620155038761</v>
      </c>
      <c r="O9" s="17">
        <f>L_r!P9/L_r!$R9</f>
        <v>9.8191214470284255E-2</v>
      </c>
      <c r="P9" s="17">
        <f>L_r!Q9/L_r!$R9</f>
        <v>0.29715762273901813</v>
      </c>
    </row>
    <row r="10" spans="1:16" x14ac:dyDescent="0.2">
      <c r="A10" s="8" t="s">
        <v>12</v>
      </c>
      <c r="B10" s="17">
        <f>L_r!B10/L_r!$H10</f>
        <v>2.8074337682878609E-2</v>
      </c>
      <c r="C10" s="17">
        <f>L_r!C10/L_r!$H10</f>
        <v>0.31138790035587194</v>
      </c>
      <c r="D10" s="17">
        <f>L_r!D10/L_r!$H10</f>
        <v>7.0185844207196521E-2</v>
      </c>
      <c r="E10" s="17">
        <f>L_r!E10/L_r!$H10</f>
        <v>0.23151443258204826</v>
      </c>
      <c r="F10" s="17">
        <f>L_r!F10/L_r!$H10</f>
        <v>9.6085409252669049E-2</v>
      </c>
      <c r="G10" s="17">
        <f>L_r!G10/L_r!$H10</f>
        <v>0.26275207591933575</v>
      </c>
      <c r="J10" s="8" t="s">
        <v>12</v>
      </c>
      <c r="K10" s="17">
        <f>L_r!L10/L_r!$R10</f>
        <v>1.7557251908396944E-2</v>
      </c>
      <c r="L10" s="17">
        <f>L_r!M10/L_r!$R10</f>
        <v>0.29103053435114506</v>
      </c>
      <c r="M10" s="17">
        <f>L_r!N10/L_r!$R10</f>
        <v>6.6221374045801529E-2</v>
      </c>
      <c r="N10" s="17">
        <f>L_r!O10/L_r!$R10</f>
        <v>0.22480916030534351</v>
      </c>
      <c r="O10" s="17">
        <f>L_r!P10/L_r!$R10</f>
        <v>0.11087786259541983</v>
      </c>
      <c r="P10" s="17">
        <f>L_r!Q10/L_r!$R10</f>
        <v>0.28950381679389314</v>
      </c>
    </row>
    <row r="11" spans="1:16" x14ac:dyDescent="0.2">
      <c r="A11" s="8" t="s">
        <v>13</v>
      </c>
      <c r="B11" s="17">
        <f>L_r!B11/L_r!$H11</f>
        <v>4.3942992874109264E-2</v>
      </c>
      <c r="C11" s="17">
        <f>L_r!C11/L_r!$H11</f>
        <v>0.30918448139350757</v>
      </c>
      <c r="D11" s="17">
        <f>L_r!D11/L_r!$H11</f>
        <v>7.3898126154658225E-2</v>
      </c>
      <c r="E11" s="17">
        <f>L_r!E11/L_r!$H11</f>
        <v>0.21799947215624174</v>
      </c>
      <c r="F11" s="17">
        <f>L_r!F11/L_r!$H11</f>
        <v>0.12114014251781473</v>
      </c>
      <c r="G11" s="17">
        <f>L_r!G11/L_r!$H11</f>
        <v>0.23383478490366852</v>
      </c>
      <c r="J11" s="8" t="s">
        <v>13</v>
      </c>
      <c r="K11" s="17">
        <f>L_r!L11/L_r!$R11</f>
        <v>1.4071294559099437E-2</v>
      </c>
      <c r="L11" s="17">
        <f>L_r!M11/L_r!$R11</f>
        <v>0.26137429643527205</v>
      </c>
      <c r="M11" s="17">
        <f>L_r!N11/L_r!$R11</f>
        <v>5.4643527204502815E-2</v>
      </c>
      <c r="N11" s="17">
        <f>L_r!O11/L_r!$R11</f>
        <v>0.25293151969981237</v>
      </c>
      <c r="O11" s="17">
        <f>L_r!P11/L_r!$R11</f>
        <v>0.13250469043151969</v>
      </c>
      <c r="P11" s="17">
        <f>L_r!Q11/L_r!$R11</f>
        <v>0.28447467166979362</v>
      </c>
    </row>
    <row r="12" spans="1:16" x14ac:dyDescent="0.2">
      <c r="A12" s="8" t="s">
        <v>14</v>
      </c>
      <c r="B12" s="17">
        <f>L_r!B12/L_r!$H12</f>
        <v>2.6624246483590085E-2</v>
      </c>
      <c r="C12" s="17">
        <f>L_r!C12/L_r!$H12</f>
        <v>0.30894172806430004</v>
      </c>
      <c r="D12" s="17">
        <f>L_r!D12/L_r!$H12</f>
        <v>8.6403215003348952E-2</v>
      </c>
      <c r="E12" s="17">
        <f>L_r!E12/L_r!$H12</f>
        <v>0.21450100468854652</v>
      </c>
      <c r="F12" s="17">
        <f>L_r!F12/L_r!$H12</f>
        <v>8.9584728734092428E-2</v>
      </c>
      <c r="G12" s="17">
        <f>L_r!G12/L_r!$H12</f>
        <v>0.27394507702612186</v>
      </c>
      <c r="J12" s="8" t="s">
        <v>14</v>
      </c>
      <c r="K12" s="17">
        <f>L_r!L12/L_r!$R12</f>
        <v>1.5928932455199878E-2</v>
      </c>
      <c r="L12" s="17">
        <f>L_r!M12/L_r!$R12</f>
        <v>0.26926022361770563</v>
      </c>
      <c r="M12" s="17">
        <f>L_r!N12/L_r!$R12</f>
        <v>6.8004288558737941E-2</v>
      </c>
      <c r="N12" s="17">
        <f>L_r!O12/L_r!$R12</f>
        <v>0.23878082401592896</v>
      </c>
      <c r="O12" s="17">
        <f>L_r!P12/L_r!$R12</f>
        <v>0.10598866595190687</v>
      </c>
      <c r="P12" s="17">
        <f>L_r!Q12/L_r!$R12</f>
        <v>0.30203706540052072</v>
      </c>
    </row>
    <row r="13" spans="1:16" x14ac:dyDescent="0.2">
      <c r="A13" s="8" t="s">
        <v>15</v>
      </c>
      <c r="B13" s="17">
        <f>L_r!B13/L_r!$H13</f>
        <v>4.1215551181102365E-2</v>
      </c>
      <c r="C13" s="17">
        <f>L_r!C13/L_r!$H13</f>
        <v>0.3125</v>
      </c>
      <c r="D13" s="17">
        <f>L_r!D13/L_r!$H13</f>
        <v>6.9266732283464569E-2</v>
      </c>
      <c r="E13" s="17">
        <f>L_r!E13/L_r!$H13</f>
        <v>0.22551673228346458</v>
      </c>
      <c r="F13" s="17">
        <f>L_r!F13/L_r!$H13</f>
        <v>9.5103346456692911E-2</v>
      </c>
      <c r="G13" s="17">
        <f>L_r!G13/L_r!$H13</f>
        <v>0.25639763779527563</v>
      </c>
      <c r="J13" s="8" t="s">
        <v>15</v>
      </c>
      <c r="K13" s="17">
        <f>L_r!L13/L_r!$R13</f>
        <v>2.2874701263229772E-2</v>
      </c>
      <c r="L13" s="17">
        <f>L_r!M13/L_r!$R13</f>
        <v>0.2848526231933538</v>
      </c>
      <c r="M13" s="17">
        <f>L_r!N13/L_r!$R13</f>
        <v>7.181062933879595E-2</v>
      </c>
      <c r="N13" s="17">
        <f>L_r!O13/L_r!$R13</f>
        <v>0.24046887447365423</v>
      </c>
      <c r="O13" s="17">
        <f>L_r!P13/L_r!$R13</f>
        <v>0.11403209286445884</v>
      </c>
      <c r="P13" s="17">
        <f>L_r!Q13/L_r!$R13</f>
        <v>0.26596107886650733</v>
      </c>
    </row>
    <row r="14" spans="1:16" x14ac:dyDescent="0.2">
      <c r="A14" s="8" t="s">
        <v>16</v>
      </c>
      <c r="B14" s="17">
        <f>L_r!B14/L_r!$H14</f>
        <v>7.874015748031496E-3</v>
      </c>
      <c r="C14" s="17">
        <f>L_r!C14/L_r!$H14</f>
        <v>0.14214670534604229</v>
      </c>
      <c r="D14" s="17">
        <f>L_r!D14/L_r!$H14</f>
        <v>9.1725376433209022E-2</v>
      </c>
      <c r="E14" s="17">
        <f>L_r!E14/L_r!$H14</f>
        <v>0.21715706589307915</v>
      </c>
      <c r="F14" s="17">
        <f>L_r!F14/L_r!$H14</f>
        <v>0.1641110650642354</v>
      </c>
      <c r="G14" s="17">
        <f>L_r!G14/L_r!$H14</f>
        <v>0.37698577151540263</v>
      </c>
      <c r="J14" s="8" t="s">
        <v>16</v>
      </c>
      <c r="K14" s="17">
        <f>L_r!L14/L_r!$R14</f>
        <v>0</v>
      </c>
      <c r="L14" s="17">
        <f>L_r!M14/L_r!$R14</f>
        <v>9.3599896144359332E-2</v>
      </c>
      <c r="M14" s="17">
        <f>L_r!N14/L_r!$R14</f>
        <v>5.7510061015188886E-2</v>
      </c>
      <c r="N14" s="17">
        <f>L_r!O14/L_r!$R14</f>
        <v>0.28690120732182267</v>
      </c>
      <c r="O14" s="17">
        <f>L_r!P14/L_r!$R14</f>
        <v>0.19161365701674676</v>
      </c>
      <c r="P14" s="17">
        <f>L_r!Q14/L_r!$R14</f>
        <v>0.3703751785018824</v>
      </c>
    </row>
    <row r="15" spans="1:16" x14ac:dyDescent="0.2">
      <c r="A15" s="8" t="s">
        <v>17</v>
      </c>
      <c r="B15" s="17">
        <f>L_r!B15/L_r!$H15</f>
        <v>5.388328214129004E-2</v>
      </c>
      <c r="C15" s="17">
        <f>L_r!C15/L_r!$H15</f>
        <v>0.15085563843791136</v>
      </c>
      <c r="D15" s="17">
        <f>L_r!D15/L_r!$H15</f>
        <v>0.17244405440982888</v>
      </c>
      <c r="E15" s="17">
        <f>L_r!E15/L_r!$H15</f>
        <v>0.21562088635366389</v>
      </c>
      <c r="F15" s="17">
        <f>L_r!F15/L_r!$H15</f>
        <v>8.9249670908293111E-2</v>
      </c>
      <c r="G15" s="17">
        <f>L_r!G15/L_r!$H15</f>
        <v>0.31794646774901275</v>
      </c>
      <c r="J15" s="8" t="s">
        <v>17</v>
      </c>
      <c r="K15" s="17">
        <f>L_r!L15/L_r!$R15</f>
        <v>2.293229913160779E-2</v>
      </c>
      <c r="L15" s="17">
        <f>L_r!M15/L_r!$R15</f>
        <v>0.15133631228395583</v>
      </c>
      <c r="M15" s="17">
        <f>L_r!N15/L_r!$R15</f>
        <v>9.5691762920495749E-2</v>
      </c>
      <c r="N15" s="17">
        <f>L_r!O15/L_r!$R15</f>
        <v>0.24922013320967881</v>
      </c>
      <c r="O15" s="17">
        <f>L_r!P15/L_r!$R15</f>
        <v>0.1455189275777759</v>
      </c>
      <c r="P15" s="17">
        <f>L_r!Q15/L_r!$R15</f>
        <v>0.33530056487648602</v>
      </c>
    </row>
    <row r="16" spans="1:16" x14ac:dyDescent="0.2">
      <c r="A16" s="8" t="s">
        <v>18</v>
      </c>
      <c r="B16" s="17">
        <f>L_r!B16/L_r!$H16</f>
        <v>0</v>
      </c>
      <c r="C16" s="17">
        <f>L_r!C16/L_r!$H16</f>
        <v>0.2076176250933533</v>
      </c>
      <c r="D16" s="17">
        <f>L_r!D16/L_r!$H16</f>
        <v>6.0492905153099338E-2</v>
      </c>
      <c r="E16" s="17">
        <f>L_r!E16/L_r!$H16</f>
        <v>0.3125466766243466</v>
      </c>
      <c r="F16" s="17">
        <f>L_r!F16/L_r!$H16</f>
        <v>0.11650485436893206</v>
      </c>
      <c r="G16" s="17">
        <f>L_r!G16/L_r!$H16</f>
        <v>0.30283793876026888</v>
      </c>
      <c r="J16" s="8" t="s">
        <v>18</v>
      </c>
      <c r="K16" s="17">
        <f>L_r!L16/L_r!$R16</f>
        <v>0</v>
      </c>
      <c r="L16" s="17">
        <f>L_r!M16/L_r!$R16</f>
        <v>0.15291262135922332</v>
      </c>
      <c r="M16" s="17">
        <f>L_r!N16/L_r!$R16</f>
        <v>4.5769764216366159E-2</v>
      </c>
      <c r="N16" s="17">
        <f>L_r!O16/L_r!$R16</f>
        <v>0.31934812760055481</v>
      </c>
      <c r="O16" s="17">
        <f>L_r!P16/L_r!$R16</f>
        <v>0.15325936199722606</v>
      </c>
      <c r="P16" s="17">
        <f>L_r!Q16/L_r!$R16</f>
        <v>0.3287101248266297</v>
      </c>
    </row>
    <row r="17" spans="1:16" x14ac:dyDescent="0.2">
      <c r="A17" s="8" t="s">
        <v>19</v>
      </c>
      <c r="B17" s="17">
        <f>L_r!B17/L_r!$H17</f>
        <v>0</v>
      </c>
      <c r="C17" s="17">
        <f>L_r!C17/L_r!$H17</f>
        <v>0.16368319381841595</v>
      </c>
      <c r="D17" s="17">
        <f>L_r!D17/L_r!$H17</f>
        <v>6.1429491307147463E-2</v>
      </c>
      <c r="E17" s="17">
        <f>L_r!E17/L_r!$H17</f>
        <v>0.3018673535093368</v>
      </c>
      <c r="F17" s="17">
        <f>L_r!F17/L_r!$H17</f>
        <v>0.18081133290405668</v>
      </c>
      <c r="G17" s="17">
        <f>L_r!G17/L_r!$H17</f>
        <v>0.29220862846104317</v>
      </c>
      <c r="J17" s="8" t="s">
        <v>19</v>
      </c>
      <c r="K17" s="17">
        <f>L_r!L17/L_r!$R17</f>
        <v>0</v>
      </c>
      <c r="L17" s="17">
        <f>L_r!M17/L_r!$R17</f>
        <v>0.11393452310601583</v>
      </c>
      <c r="M17" s="17">
        <f>L_r!N17/L_r!$R17</f>
        <v>4.4793759602883808E-2</v>
      </c>
      <c r="N17" s="17">
        <f>L_r!O17/L_r!$R17</f>
        <v>0.32277508568727098</v>
      </c>
      <c r="O17" s="17">
        <f>L_r!P17/L_r!$R17</f>
        <v>0.21274081077886772</v>
      </c>
      <c r="P17" s="17">
        <f>L_r!Q17/L_r!$R17</f>
        <v>0.3057558208249615</v>
      </c>
    </row>
    <row r="18" spans="1:16" x14ac:dyDescent="0.2">
      <c r="A18" s="8" t="s">
        <v>20</v>
      </c>
      <c r="B18" s="17">
        <f>L_r!B18/L_r!$H18</f>
        <v>1.0669195661193764E-2</v>
      </c>
      <c r="C18" s="17">
        <f>L_r!C18/L_r!$H18</f>
        <v>0.23246991879556633</v>
      </c>
      <c r="D18" s="17">
        <f>L_r!D18/L_r!$H18</f>
        <v>6.1703514907237265E-2</v>
      </c>
      <c r="E18" s="17">
        <f>L_r!E18/L_r!$H18</f>
        <v>0.25143737774879971</v>
      </c>
      <c r="F18" s="17">
        <f>L_r!F18/L_r!$H18</f>
        <v>0.17450062236974687</v>
      </c>
      <c r="G18" s="17">
        <f>L_r!G18/L_r!$H18</f>
        <v>0.26921937051745598</v>
      </c>
      <c r="J18" s="8" t="s">
        <v>20</v>
      </c>
      <c r="K18" s="17">
        <f>L_r!L18/L_r!$R18</f>
        <v>7.7840074029720766E-3</v>
      </c>
      <c r="L18" s="17">
        <f>L_r!M18/L_r!$R18</f>
        <v>0.18028414348701757</v>
      </c>
      <c r="M18" s="17">
        <f>L_r!N18/L_r!$R18</f>
        <v>4.9643459800772963E-2</v>
      </c>
      <c r="N18" s="17">
        <f>L_r!O18/L_r!$R18</f>
        <v>0.28006096565238692</v>
      </c>
      <c r="O18" s="17">
        <f>L_r!P18/L_r!$R18</f>
        <v>0.20624897936965869</v>
      </c>
      <c r="P18" s="17">
        <f>L_r!Q18/L_r!$R18</f>
        <v>0.27597844428719176</v>
      </c>
    </row>
    <row r="19" spans="1:16" x14ac:dyDescent="0.2">
      <c r="A19" s="8" t="s">
        <v>21</v>
      </c>
      <c r="B19" s="17">
        <f>L_r!B19/L_r!$H19</f>
        <v>2.1995464852607709E-2</v>
      </c>
      <c r="C19" s="17">
        <f>L_r!C19/L_r!$H19</f>
        <v>0.28843537414965986</v>
      </c>
      <c r="D19" s="17">
        <f>L_r!D19/L_r!$H19</f>
        <v>7.4829931972789115E-2</v>
      </c>
      <c r="E19" s="17">
        <f>L_r!E19/L_r!$H19</f>
        <v>0.22086167800453516</v>
      </c>
      <c r="F19" s="17">
        <f>L_r!F19/L_r!$H19</f>
        <v>9.3650793650793651E-2</v>
      </c>
      <c r="G19" s="17">
        <f>L_r!G19/L_r!$H19</f>
        <v>0.30022675736961452</v>
      </c>
      <c r="J19" s="8" t="s">
        <v>21</v>
      </c>
      <c r="K19" s="17">
        <f>L_r!L19/L_r!$R19</f>
        <v>0</v>
      </c>
      <c r="L19" s="17">
        <f>L_r!M19/L_r!$R19</f>
        <v>0.25282544997907075</v>
      </c>
      <c r="M19" s="17">
        <f>L_r!N19/L_r!$R19</f>
        <v>6.5508580996232746E-2</v>
      </c>
      <c r="N19" s="17">
        <f>L_r!O19/L_r!$R19</f>
        <v>0.22436165759732105</v>
      </c>
      <c r="O19" s="17">
        <f>L_r!P19/L_r!$R19</f>
        <v>0.11301799916282965</v>
      </c>
      <c r="P19" s="17">
        <f>L_r!Q19/L_r!$R19</f>
        <v>0.34428631226454587</v>
      </c>
    </row>
    <row r="20" spans="1:16" x14ac:dyDescent="0.2">
      <c r="A20" s="8" t="s">
        <v>22</v>
      </c>
      <c r="B20" s="17">
        <f>L_r!B20/L_r!$H20</f>
        <v>2.9102515959444242E-2</v>
      </c>
      <c r="C20" s="17">
        <f>L_r!C20/L_r!$H20</f>
        <v>0.26886969583176873</v>
      </c>
      <c r="D20" s="17">
        <f>L_r!D20/L_r!$H20</f>
        <v>8.4866691701089014E-2</v>
      </c>
      <c r="E20" s="17">
        <f>L_r!E20/L_r!$H20</f>
        <v>0.2356365001877582</v>
      </c>
      <c r="F20" s="17">
        <f>L_r!F20/L_r!$H20</f>
        <v>8.3552384528727014E-2</v>
      </c>
      <c r="G20" s="17">
        <f>L_r!G20/L_r!$H20</f>
        <v>0.29797221179121297</v>
      </c>
      <c r="J20" s="8" t="s">
        <v>22</v>
      </c>
      <c r="K20" s="17">
        <f>L_r!L20/L_r!$R20</f>
        <v>1.1811707486538127E-2</v>
      </c>
      <c r="L20" s="17">
        <f>L_r!M20/L_r!$R20</f>
        <v>0.22945978808407153</v>
      </c>
      <c r="M20" s="17">
        <f>L_r!N20/L_r!$R20</f>
        <v>5.6279312141740485E-2</v>
      </c>
      <c r="N20" s="17">
        <f>L_r!O20/L_r!$R20</f>
        <v>0.25620983150946669</v>
      </c>
      <c r="O20" s="17">
        <f>L_r!P20/L_r!$R20</f>
        <v>0.11169011638005905</v>
      </c>
      <c r="P20" s="17">
        <f>L_r!Q20/L_r!$R20</f>
        <v>0.334549244398124</v>
      </c>
    </row>
    <row r="21" spans="1:16" x14ac:dyDescent="0.2">
      <c r="A21" s="8" t="s">
        <v>23</v>
      </c>
      <c r="B21" s="17">
        <f>L_r!B21/L_r!$H21</f>
        <v>6.7224657898233023E-2</v>
      </c>
      <c r="C21" s="17">
        <f>L_r!C21/L_r!$H21</f>
        <v>0.10721402949382224</v>
      </c>
      <c r="D21" s="17">
        <f>L_r!D21/L_r!$H21</f>
        <v>0.16261458748505381</v>
      </c>
      <c r="E21" s="17">
        <f>L_r!E21/L_r!$H21</f>
        <v>0.24790753288162612</v>
      </c>
      <c r="F21" s="17">
        <f>L_r!F21/L_r!$H21</f>
        <v>6.3504716354457286E-2</v>
      </c>
      <c r="G21" s="17">
        <f>L_r!G21/L_r!$H21</f>
        <v>0.35153447588680753</v>
      </c>
      <c r="J21" s="8" t="s">
        <v>23</v>
      </c>
      <c r="K21" s="17">
        <f>L_r!L21/L_r!$R21</f>
        <v>3.6534021458644574E-2</v>
      </c>
      <c r="L21" s="17">
        <f>L_r!M21/L_r!$R21</f>
        <v>0.14165421703110145</v>
      </c>
      <c r="M21" s="17">
        <f>L_r!N21/L_r!$R21</f>
        <v>0.10837973652044004</v>
      </c>
      <c r="N21" s="17">
        <f>L_r!O21/L_r!$R21</f>
        <v>0.26619584408529134</v>
      </c>
      <c r="O21" s="17">
        <f>L_r!P21/L_r!$R21</f>
        <v>0.13309792204264567</v>
      </c>
      <c r="P21" s="17">
        <f>L_r!Q21/L_r!$R21</f>
        <v>0.31413825886187696</v>
      </c>
    </row>
    <row r="22" spans="1:16" x14ac:dyDescent="0.2">
      <c r="A22" s="8" t="s">
        <v>24</v>
      </c>
      <c r="B22" s="17">
        <f>L_r!B22/L_r!$H22</f>
        <v>2.2534806947036023E-2</v>
      </c>
      <c r="C22" s="17">
        <f>L_r!C22/L_r!$H22</f>
        <v>0.31677910147839811</v>
      </c>
      <c r="D22" s="17">
        <f>L_r!D22/L_r!$H22</f>
        <v>6.1145399741639156E-2</v>
      </c>
      <c r="E22" s="17">
        <f>L_r!E22/L_r!$H22</f>
        <v>0.21156882445815989</v>
      </c>
      <c r="F22" s="17">
        <f>L_r!F22/L_r!$H22</f>
        <v>9.946892493182144E-2</v>
      </c>
      <c r="G22" s="17">
        <f>L_r!G22/L_r!$H22</f>
        <v>0.28850294244294528</v>
      </c>
      <c r="J22" s="8" t="s">
        <v>24</v>
      </c>
      <c r="K22" s="17">
        <f>L_r!L22/L_r!$R22</f>
        <v>1.5069818885662936E-2</v>
      </c>
      <c r="L22" s="17">
        <f>L_r!M22/L_r!$R22</f>
        <v>0.2593667910963639</v>
      </c>
      <c r="M22" s="17">
        <f>L_r!N22/L_r!$R22</f>
        <v>4.6868519286603072E-2</v>
      </c>
      <c r="N22" s="17">
        <f>L_r!O22/L_r!$R22</f>
        <v>0.22369694455965716</v>
      </c>
      <c r="O22" s="17">
        <f>L_r!P22/L_r!$R22</f>
        <v>0.13327803124567955</v>
      </c>
      <c r="P22" s="17">
        <f>L_r!Q22/L_r!$R22</f>
        <v>0.32171989492603348</v>
      </c>
    </row>
    <row r="23" spans="1:16" x14ac:dyDescent="0.2">
      <c r="A23" s="8" t="s">
        <v>25</v>
      </c>
      <c r="B23" s="17">
        <f>L_r!B23/L_r!$H23</f>
        <v>2.0462046204620464E-2</v>
      </c>
      <c r="C23" s="17">
        <f>L_r!C23/L_r!$H23</f>
        <v>0.23894389438943894</v>
      </c>
      <c r="D23" s="17">
        <f>L_r!D23/L_r!$H23</f>
        <v>8.4708470847084702E-2</v>
      </c>
      <c r="E23" s="17">
        <f>L_r!E23/L_r!$H23</f>
        <v>0.24367436743674367</v>
      </c>
      <c r="F23" s="17">
        <f>L_r!F23/L_r!$H23</f>
        <v>0.11716171617161716</v>
      </c>
      <c r="G23" s="17">
        <f>L_r!G23/L_r!$H23</f>
        <v>0.29504950495049503</v>
      </c>
      <c r="J23" s="8" t="s">
        <v>25</v>
      </c>
      <c r="K23" s="17">
        <f>L_r!L23/L_r!$R23</f>
        <v>1.3443324167430491E-2</v>
      </c>
      <c r="L23" s="17">
        <f>L_r!M23/L_r!$R23</f>
        <v>0.18209593644974031</v>
      </c>
      <c r="M23" s="17">
        <f>L_r!N23/L_r!$R23</f>
        <v>5.8661778185151239E-2</v>
      </c>
      <c r="N23" s="17">
        <f>L_r!O23/L_r!$R23</f>
        <v>0.25613606273551282</v>
      </c>
      <c r="O23" s="17">
        <f>L_r!P23/L_r!$R23</f>
        <v>0.14818209593644974</v>
      </c>
      <c r="P23" s="17">
        <f>L_r!Q23/L_r!$R23</f>
        <v>0.34148080252571539</v>
      </c>
    </row>
    <row r="24" spans="1:16" x14ac:dyDescent="0.2">
      <c r="A24" s="8" t="s">
        <v>26</v>
      </c>
      <c r="B24" s="17">
        <f>L_r!B24/L_r!$H24</f>
        <v>4.6795952782462055E-2</v>
      </c>
      <c r="C24" s="17">
        <f>L_r!C24/L_r!$H24</f>
        <v>0.1946318156267566</v>
      </c>
      <c r="D24" s="17">
        <f>L_r!D24/L_r!$H24</f>
        <v>9.0640809443507581E-2</v>
      </c>
      <c r="E24" s="17">
        <f>L_r!E24/L_r!$H24</f>
        <v>0.25688589094997188</v>
      </c>
      <c r="F24" s="17">
        <f>L_r!F24/L_r!$H24</f>
        <v>0.10370994940978077</v>
      </c>
      <c r="G24" s="17">
        <f>L_r!G24/L_r!$H24</f>
        <v>0.30733558178752107</v>
      </c>
      <c r="J24" s="8" t="s">
        <v>26</v>
      </c>
      <c r="K24" s="17">
        <f>L_r!L24/L_r!$R24</f>
        <v>3.6654620547237997E-2</v>
      </c>
      <c r="L24" s="17">
        <f>L_r!M24/L_r!$R24</f>
        <v>0.16933402168301498</v>
      </c>
      <c r="M24" s="17">
        <f>L_r!N24/L_r!$R24</f>
        <v>7.1244192049561186E-2</v>
      </c>
      <c r="N24" s="17">
        <f>L_r!O24/L_r!$R24</f>
        <v>0.28575116159008773</v>
      </c>
      <c r="O24" s="17">
        <f>L_r!P24/L_r!$R24</f>
        <v>0.11719153329891585</v>
      </c>
      <c r="P24" s="17">
        <f>L_r!Q24/L_r!$R24</f>
        <v>0.31982447083118226</v>
      </c>
    </row>
    <row r="25" spans="1:16" x14ac:dyDescent="0.2">
      <c r="A25" s="8" t="s">
        <v>27</v>
      </c>
      <c r="B25" s="17">
        <f>L_r!B25/L_r!$H25</f>
        <v>6.0915700530556095E-2</v>
      </c>
      <c r="C25" s="17">
        <f>L_r!C25/L_r!$H25</f>
        <v>0.23825898997838474</v>
      </c>
      <c r="D25" s="17">
        <f>L_r!D25/L_r!$H25</f>
        <v>8.528198074277854E-2</v>
      </c>
      <c r="E25" s="17">
        <f>L_r!E25/L_r!$H25</f>
        <v>0.23511495382196895</v>
      </c>
      <c r="F25" s="17">
        <f>L_r!F25/L_r!$H25</f>
        <v>8.017292198860286E-2</v>
      </c>
      <c r="G25" s="17">
        <f>L_r!G25/L_r!$H25</f>
        <v>0.30025545293770878</v>
      </c>
      <c r="J25" s="8" t="s">
        <v>27</v>
      </c>
      <c r="K25" s="17">
        <f>L_r!L25/L_r!$R25</f>
        <v>3.4044405746626039E-2</v>
      </c>
      <c r="L25" s="17">
        <f>L_r!M25/L_r!$R25</f>
        <v>0.21210274270787985</v>
      </c>
      <c r="M25" s="17">
        <f>L_r!N25/L_r!$R25</f>
        <v>8.001741401828473E-2</v>
      </c>
      <c r="N25" s="17">
        <f>L_r!O25/L_r!$R25</f>
        <v>0.25424466695690029</v>
      </c>
      <c r="O25" s="17">
        <f>L_r!P25/L_r!$R25</f>
        <v>0.10378754897692642</v>
      </c>
      <c r="P25" s="17">
        <f>L_r!Q25/L_r!$R25</f>
        <v>0.3158032215933827</v>
      </c>
    </row>
    <row r="26" spans="1:16" x14ac:dyDescent="0.2">
      <c r="A26" s="8" t="s">
        <v>28</v>
      </c>
      <c r="B26" s="17">
        <f>L_r!B26/L_r!$H26</f>
        <v>1.4523491170639497E-2</v>
      </c>
      <c r="C26" s="17">
        <f>L_r!C26/L_r!$H26</f>
        <v>0.26179169164092397</v>
      </c>
      <c r="D26" s="17">
        <f>L_r!D26/L_r!$H26</f>
        <v>6.3626723223753984E-2</v>
      </c>
      <c r="E26" s="17">
        <f>L_r!E26/L_r!$H26</f>
        <v>0.25699663423855412</v>
      </c>
      <c r="F26" s="17">
        <f>L_r!F26/L_r!$H26</f>
        <v>0.12222785743925495</v>
      </c>
      <c r="G26" s="17">
        <f>L_r!G26/L_r!$H26</f>
        <v>0.2808336022868736</v>
      </c>
      <c r="J26" s="8" t="s">
        <v>28</v>
      </c>
      <c r="K26" s="17">
        <f>L_r!L26/L_r!$R26</f>
        <v>4.3052837573385521E-3</v>
      </c>
      <c r="L26" s="17">
        <f>L_r!M26/L_r!$R26</f>
        <v>0.20326157860404434</v>
      </c>
      <c r="M26" s="17">
        <f>L_r!N26/L_r!$R26</f>
        <v>5.9230267449445526E-2</v>
      </c>
      <c r="N26" s="17">
        <f>L_r!O26/L_r!$R26</f>
        <v>0.2744509676016525</v>
      </c>
      <c r="O26" s="17">
        <f>L_r!P26/L_r!$R26</f>
        <v>0.15842574472711457</v>
      </c>
      <c r="P26" s="17">
        <f>L_r!Q26/L_r!$R26</f>
        <v>0.30032615786040445</v>
      </c>
    </row>
    <row r="27" spans="1:16" x14ac:dyDescent="0.2">
      <c r="A27" s="8" t="s">
        <v>29</v>
      </c>
      <c r="B27" s="17">
        <f>L_r!B27/L_r!$H27</f>
        <v>1.4583218251118598E-2</v>
      </c>
      <c r="C27" s="17">
        <f>L_r!C27/L_r!$H27</f>
        <v>0.23791636745290837</v>
      </c>
      <c r="D27" s="17">
        <f>L_r!D27/L_r!$H27</f>
        <v>6.595591890846822E-2</v>
      </c>
      <c r="E27" s="17">
        <f>L_r!E27/L_r!$H27</f>
        <v>0.23393912611169421</v>
      </c>
      <c r="F27" s="17">
        <f>L_r!F27/L_r!$H27</f>
        <v>0.12876318842180853</v>
      </c>
      <c r="G27" s="17">
        <f>L_r!G27/L_r!$H27</f>
        <v>0.31884218085400212</v>
      </c>
      <c r="J27" s="8" t="s">
        <v>29</v>
      </c>
      <c r="K27" s="17">
        <f>L_r!L27/L_r!$R27</f>
        <v>6.2950553355670619E-3</v>
      </c>
      <c r="L27" s="17">
        <f>L_r!M27/L_r!$R27</f>
        <v>0.1859579652756625</v>
      </c>
      <c r="M27" s="17">
        <f>L_r!N27/L_r!$R27</f>
        <v>5.3964869529901503E-2</v>
      </c>
      <c r="N27" s="17">
        <f>L_r!O27/L_r!$R27</f>
        <v>0.25403594273530306</v>
      </c>
      <c r="O27" s="17">
        <f>L_r!P27/L_r!$R27</f>
        <v>0.1683927302264189</v>
      </c>
      <c r="P27" s="17">
        <f>L_r!Q27/L_r!$R27</f>
        <v>0.33135343689714691</v>
      </c>
    </row>
    <row r="28" spans="1:16" x14ac:dyDescent="0.2">
      <c r="A28" s="8" t="s">
        <v>30</v>
      </c>
      <c r="B28" s="17">
        <f>L_r!B28/L_r!$H28</f>
        <v>2.7743701047466263E-2</v>
      </c>
      <c r="C28" s="17">
        <f>L_r!C28/L_r!$H28</f>
        <v>0.27035953571765592</v>
      </c>
      <c r="D28" s="17">
        <f>L_r!D28/L_r!$H28</f>
        <v>8.1532509200717182E-2</v>
      </c>
      <c r="E28" s="17">
        <f>L_r!E28/L_r!$H28</f>
        <v>0.23695385486458431</v>
      </c>
      <c r="F28" s="17">
        <f>L_r!F28/L_r!$H28</f>
        <v>9.9650844578654321E-2</v>
      </c>
      <c r="G28" s="17">
        <f>L_r!G28/L_r!$H28</f>
        <v>0.28375955459092195</v>
      </c>
      <c r="J28" s="8" t="s">
        <v>30</v>
      </c>
      <c r="K28" s="17">
        <f>L_r!L28/L_r!$R28</f>
        <v>1.4330535063173066E-2</v>
      </c>
      <c r="L28" s="17">
        <f>L_r!M28/L_r!$R28</f>
        <v>0.20970066988891714</v>
      </c>
      <c r="M28" s="17">
        <f>L_r!N28/L_r!$R28</f>
        <v>7.7164419570931897E-2</v>
      </c>
      <c r="N28" s="17">
        <f>L_r!O28/L_r!$R28</f>
        <v>0.25142033409649789</v>
      </c>
      <c r="O28" s="17">
        <f>L_r!P28/L_r!$R28</f>
        <v>0.12592215721190536</v>
      </c>
      <c r="P28" s="17">
        <f>L_r!Q28/L_r!$R28</f>
        <v>0.32146188416857457</v>
      </c>
    </row>
    <row r="29" spans="1:16" x14ac:dyDescent="0.2">
      <c r="A29" s="8" t="s">
        <v>31</v>
      </c>
      <c r="B29" s="17">
        <f>L_r!B29/L_r!$H29</f>
        <v>1.9712853236098452E-2</v>
      </c>
      <c r="C29" s="17">
        <f>L_r!C29/L_r!$H29</f>
        <v>0.33067456700091158</v>
      </c>
      <c r="D29" s="17">
        <f>L_r!D29/L_r!$H29</f>
        <v>7.3381950774840485E-2</v>
      </c>
      <c r="E29" s="17">
        <f>L_r!E29/L_r!$H29</f>
        <v>0.21866453965360072</v>
      </c>
      <c r="F29" s="17">
        <f>L_r!F29/L_r!$H29</f>
        <v>8.2269826800364626E-2</v>
      </c>
      <c r="G29" s="17">
        <f>L_r!G29/L_r!$H29</f>
        <v>0.2752962625341841</v>
      </c>
      <c r="J29" s="8" t="s">
        <v>31</v>
      </c>
      <c r="K29" s="17">
        <f>L_r!L29/L_r!$R29</f>
        <v>1.1308391460579159E-2</v>
      </c>
      <c r="L29" s="17">
        <f>L_r!M29/L_r!$R29</f>
        <v>0.26865356161488058</v>
      </c>
      <c r="M29" s="17">
        <f>L_r!N29/L_r!$R29</f>
        <v>6.6370746142464604E-2</v>
      </c>
      <c r="N29" s="17">
        <f>L_r!O29/L_r!$R29</f>
        <v>0.24635383639822453</v>
      </c>
      <c r="O29" s="17">
        <f>L_r!P29/L_r!$R29</f>
        <v>0.10663707461424647</v>
      </c>
      <c r="P29" s="17">
        <f>L_r!Q29/L_r!$R29</f>
        <v>0.30067638976960476</v>
      </c>
    </row>
    <row r="30" spans="1:16" x14ac:dyDescent="0.2">
      <c r="A30" s="8" t="s">
        <v>32</v>
      </c>
      <c r="B30" s="17">
        <f>L_r!B30/L_r!$H30</f>
        <v>1.6723060905778239E-2</v>
      </c>
      <c r="C30" s="17">
        <f>L_r!C30/L_r!$H30</f>
        <v>0.30530973451327431</v>
      </c>
      <c r="D30" s="17">
        <f>L_r!D30/L_r!$H30</f>
        <v>6.8193649141072343E-2</v>
      </c>
      <c r="E30" s="17">
        <f>L_r!E30/L_r!$H30</f>
        <v>0.23640031233732428</v>
      </c>
      <c r="F30" s="17">
        <f>L_r!F30/L_r!$H30</f>
        <v>9.4156689224362294E-2</v>
      </c>
      <c r="G30" s="17">
        <f>L_r!G30/L_r!$H30</f>
        <v>0.27921655387818844</v>
      </c>
      <c r="J30" s="8" t="s">
        <v>32</v>
      </c>
      <c r="K30" s="17">
        <f>L_r!L30/L_r!$R30</f>
        <v>5.0888986618081297E-3</v>
      </c>
      <c r="L30" s="17">
        <f>L_r!M30/L_r!$R30</f>
        <v>0.26311490858830183</v>
      </c>
      <c r="M30" s="17">
        <f>L_r!N30/L_r!$R30</f>
        <v>5.6040711189294462E-2</v>
      </c>
      <c r="N30" s="17">
        <f>L_r!O30/L_r!$R30</f>
        <v>0.24464409122322042</v>
      </c>
      <c r="O30" s="17">
        <f>L_r!P30/L_r!$R30</f>
        <v>0.12075139787648426</v>
      </c>
      <c r="P30" s="17">
        <f>L_r!Q30/L_r!$R30</f>
        <v>0.31035999246089085</v>
      </c>
    </row>
    <row r="31" spans="1:16" x14ac:dyDescent="0.2">
      <c r="A31" s="8" t="s">
        <v>33</v>
      </c>
      <c r="B31" s="17">
        <f>L_r!B31/L_r!$H31</f>
        <v>2.1685254027261465E-2</v>
      </c>
      <c r="C31" s="17">
        <f>L_r!C31/L_r!$H31</f>
        <v>0.27106567534076831</v>
      </c>
      <c r="D31" s="17">
        <f>L_r!D31/L_r!$H31</f>
        <v>9.4021065675340784E-2</v>
      </c>
      <c r="E31" s="17">
        <f>L_r!E31/L_r!$H31</f>
        <v>0.22026022304832715</v>
      </c>
      <c r="F31" s="17">
        <f>L_r!F31/L_r!$H31</f>
        <v>8.9374225526641898E-2</v>
      </c>
      <c r="G31" s="17">
        <f>L_r!G31/L_r!$H31</f>
        <v>0.30359355638166052</v>
      </c>
      <c r="J31" s="8" t="s">
        <v>33</v>
      </c>
      <c r="K31" s="17">
        <f>L_r!L31/L_r!$R31</f>
        <v>1.189111747851003E-2</v>
      </c>
      <c r="L31" s="17">
        <f>L_r!M31/L_r!$R31</f>
        <v>0.20830945558739256</v>
      </c>
      <c r="M31" s="17">
        <f>L_r!N31/L_r!$R31</f>
        <v>7.2636103151862474E-2</v>
      </c>
      <c r="N31" s="17">
        <f>L_r!O31/L_r!$R31</f>
        <v>0.2511461318051576</v>
      </c>
      <c r="O31" s="17">
        <f>L_r!P31/L_r!$R31</f>
        <v>0.10773638968481374</v>
      </c>
      <c r="P31" s="17">
        <f>L_r!Q31/L_r!$R31</f>
        <v>0.34828080229226366</v>
      </c>
    </row>
    <row r="32" spans="1:16" x14ac:dyDescent="0.2">
      <c r="A32" s="8" t="s">
        <v>34</v>
      </c>
      <c r="B32" s="17">
        <f>L_r!B32/L_r!$H32</f>
        <v>4.1179223210107634E-2</v>
      </c>
      <c r="C32" s="17">
        <f>L_r!C32/L_r!$H32</f>
        <v>0.21712681328965841</v>
      </c>
      <c r="D32" s="17">
        <f>L_r!D32/L_r!$H32</f>
        <v>9.6396817969115589E-2</v>
      </c>
      <c r="E32" s="17">
        <f>L_r!E32/L_r!$H32</f>
        <v>0.22929340196537204</v>
      </c>
      <c r="F32" s="17">
        <f>L_r!F32/L_r!$H32</f>
        <v>9.9204492278895648E-2</v>
      </c>
      <c r="G32" s="17">
        <f>L_r!G32/L_r!$H32</f>
        <v>0.31679925128685077</v>
      </c>
      <c r="J32" s="8" t="s">
        <v>34</v>
      </c>
      <c r="K32" s="17">
        <f>L_r!L32/L_r!$R32</f>
        <v>3.235990528808208E-2</v>
      </c>
      <c r="L32" s="17">
        <f>L_r!M32/L_r!$R32</f>
        <v>0.18310970797158641</v>
      </c>
      <c r="M32" s="17">
        <f>L_r!N32/L_r!$R32</f>
        <v>8.7213891081294403E-2</v>
      </c>
      <c r="N32" s="17">
        <f>L_r!O32/L_r!$R32</f>
        <v>0.26953433307024466</v>
      </c>
      <c r="O32" s="17">
        <f>L_r!P32/L_r!$R32</f>
        <v>0.11562746645619572</v>
      </c>
      <c r="P32" s="17">
        <f>L_r!Q32/L_r!$R32</f>
        <v>0.31215469613259667</v>
      </c>
    </row>
    <row r="33" spans="1:16" x14ac:dyDescent="0.2">
      <c r="A33" s="8" t="s">
        <v>35</v>
      </c>
      <c r="B33" s="17">
        <f>L_r!B33/L_r!$H33</f>
        <v>2.1562429442312039E-2</v>
      </c>
      <c r="C33" s="17">
        <f>L_r!C33/L_r!$H33</f>
        <v>0.29927748927523146</v>
      </c>
      <c r="D33" s="17">
        <f>L_r!D33/L_r!$H33</f>
        <v>7.6089410702190122E-2</v>
      </c>
      <c r="E33" s="17">
        <f>L_r!E33/L_r!$H33</f>
        <v>0.22341386317453152</v>
      </c>
      <c r="F33" s="17">
        <f>L_r!F33/L_r!$H33</f>
        <v>0.1002483630616392</v>
      </c>
      <c r="G33" s="17">
        <f>L_r!G33/L_r!$H33</f>
        <v>0.27940844434409573</v>
      </c>
      <c r="J33" s="8" t="s">
        <v>35</v>
      </c>
      <c r="K33" s="17">
        <f>L_r!L33/L_r!$R33</f>
        <v>1.7079599367422243E-2</v>
      </c>
      <c r="L33" s="17">
        <f>L_r!M33/L_r!$R33</f>
        <v>0.23500263574064309</v>
      </c>
      <c r="M33" s="17">
        <f>L_r!N33/L_r!$R33</f>
        <v>6.1570901423299941E-2</v>
      </c>
      <c r="N33" s="17">
        <f>L_r!O33/L_r!$R33</f>
        <v>0.23321033210332098</v>
      </c>
      <c r="O33" s="17">
        <f>L_r!P33/L_r!$R33</f>
        <v>0.12672641012124405</v>
      </c>
      <c r="P33" s="17">
        <f>L_r!Q33/L_r!$R33</f>
        <v>0.3264101212440696</v>
      </c>
    </row>
    <row r="34" spans="1:16" x14ac:dyDescent="0.2">
      <c r="A34" s="8" t="s">
        <v>36</v>
      </c>
      <c r="B34" s="17">
        <f>L_r!B34/L_r!$H34</f>
        <v>0</v>
      </c>
      <c r="C34" s="17">
        <f>L_r!C34/L_r!$H34</f>
        <v>0.27755767886273591</v>
      </c>
      <c r="D34" s="17">
        <f>L_r!D34/L_r!$H34</f>
        <v>7.3409461663947795E-2</v>
      </c>
      <c r="E34" s="17">
        <f>L_r!E34/L_r!$H34</f>
        <v>0.2342111395945001</v>
      </c>
      <c r="F34" s="17">
        <f>L_r!F34/L_r!$H34</f>
        <v>0.10370542996970403</v>
      </c>
      <c r="G34" s="17">
        <f>L_r!G34/L_r!$H34</f>
        <v>0.31111628990911205</v>
      </c>
      <c r="J34" s="8" t="s">
        <v>36</v>
      </c>
      <c r="K34" s="17">
        <f>L_r!L34/L_r!$R34</f>
        <v>0</v>
      </c>
      <c r="L34" s="17">
        <f>L_r!M34/L_r!$R34</f>
        <v>0.24353496739374864</v>
      </c>
      <c r="M34" s="17">
        <f>L_r!N34/L_r!$R34</f>
        <v>6.6786597706318881E-2</v>
      </c>
      <c r="N34" s="17">
        <f>L_r!O34/L_r!$R34</f>
        <v>0.24151113109961775</v>
      </c>
      <c r="O34" s="17">
        <f>L_r!P34/L_r!$R34</f>
        <v>0.12300427254328763</v>
      </c>
      <c r="P34" s="17">
        <f>L_r!Q34/L_r!$R34</f>
        <v>0.32516303125702722</v>
      </c>
    </row>
    <row r="35" spans="1:16" x14ac:dyDescent="0.2">
      <c r="A35" s="8" t="s">
        <v>37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J35" s="8" t="s">
        <v>37</v>
      </c>
      <c r="K35" s="17">
        <f>L_r!L35/L_r!$R35</f>
        <v>1.558228540185894E-2</v>
      </c>
      <c r="L35" s="17">
        <f>L_r!M35/L_r!$R35</f>
        <v>0.20694368507381083</v>
      </c>
      <c r="M35" s="17">
        <f>L_r!N35/L_r!$R35</f>
        <v>8.8572990705303431E-2</v>
      </c>
      <c r="N35" s="17">
        <f>L_r!O35/L_r!$R35</f>
        <v>0.23318753417167853</v>
      </c>
      <c r="O35" s="17">
        <f>L_r!P35/L_r!$R35</f>
        <v>0.14078731547293602</v>
      </c>
      <c r="P35" s="17">
        <f>L_r!Q35/L_r!$R35</f>
        <v>0.31492618917441223</v>
      </c>
    </row>
    <row r="36" spans="1:16" x14ac:dyDescent="0.2">
      <c r="A36" s="8" t="s">
        <v>38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J36" s="8" t="s">
        <v>38</v>
      </c>
      <c r="K36" s="17">
        <f>L_r!L36/L_r!$R36</f>
        <v>1.6008378216636747E-2</v>
      </c>
      <c r="L36" s="17">
        <f>L_r!M36/L_r!$R36</f>
        <v>0.25329144225014966</v>
      </c>
      <c r="M36" s="17">
        <f>L_r!N36/L_r!$R36</f>
        <v>0.1026331538001197</v>
      </c>
      <c r="N36" s="17">
        <f>L_r!O36/L_r!$R36</f>
        <v>0.24042489527229208</v>
      </c>
      <c r="O36" s="17">
        <f>L_r!P36/L_r!$R36</f>
        <v>0.11280670257330942</v>
      </c>
      <c r="P36" s="17">
        <f>L_r!Q36/L_r!$R36</f>
        <v>0.27483542788749254</v>
      </c>
    </row>
    <row r="37" spans="1:16" x14ac:dyDescent="0.2">
      <c r="A37" s="8" t="s">
        <v>39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J37" s="8" t="s">
        <v>39</v>
      </c>
      <c r="K37" s="17">
        <f>L_r!L37/L_r!$R37</f>
        <v>1.5703380588876773E-2</v>
      </c>
      <c r="L37" s="17">
        <f>L_r!M37/L_r!$R37</f>
        <v>0.14394765539803708</v>
      </c>
      <c r="M37" s="17">
        <f>L_r!N37/L_r!$R37</f>
        <v>9.029443838604144E-2</v>
      </c>
      <c r="N37" s="17">
        <f>L_r!O37/L_r!$R37</f>
        <v>0.27589967284623773</v>
      </c>
      <c r="O37" s="17">
        <f>L_r!P37/L_r!$R37</f>
        <v>0.16117775354416577</v>
      </c>
      <c r="P37" s="17">
        <f>L_r!Q37/L_r!$R37</f>
        <v>0.31297709923664124</v>
      </c>
    </row>
    <row r="38" spans="1:16" x14ac:dyDescent="0.2">
      <c r="A38" s="8" t="s">
        <v>40</v>
      </c>
      <c r="B38" s="17">
        <f>L_r!B38/L_r!$H38</f>
        <v>4.1946935724962629E-2</v>
      </c>
      <c r="C38" s="17">
        <f>L_r!C38/L_r!$H38</f>
        <v>0.16208893871449923</v>
      </c>
      <c r="D38" s="17">
        <f>L_r!D38/L_r!$H38</f>
        <v>0.15732436472346786</v>
      </c>
      <c r="E38" s="17">
        <f>L_r!E38/L_r!$H38</f>
        <v>0.23589312406576979</v>
      </c>
      <c r="F38" s="17">
        <f>L_r!F38/L_r!$H38</f>
        <v>7.3337070254110612E-2</v>
      </c>
      <c r="G38" s="17">
        <f>L_r!G38/L_r!$H38</f>
        <v>0.32940956651718983</v>
      </c>
      <c r="J38" s="8" t="s">
        <v>40</v>
      </c>
      <c r="K38" s="17">
        <f>L_r!L38/L_r!$R38</f>
        <v>2.0484708597807266E-2</v>
      </c>
      <c r="L38" s="17">
        <f>L_r!M38/L_r!$R38</f>
        <v>0.18128486247355258</v>
      </c>
      <c r="M38" s="17">
        <f>L_r!N38/L_r!$R38</f>
        <v>0.10742450471244469</v>
      </c>
      <c r="N38" s="17">
        <f>L_r!O38/L_r!$R38</f>
        <v>0.24062319676860933</v>
      </c>
      <c r="O38" s="17">
        <f>L_r!P38/L_r!$R38</f>
        <v>0.13416041546451238</v>
      </c>
      <c r="P38" s="17">
        <f>L_r!Q38/L_r!$R38</f>
        <v>0.31602231198307362</v>
      </c>
    </row>
    <row r="39" spans="1:16" x14ac:dyDescent="0.2">
      <c r="A39" s="8" t="s">
        <v>41</v>
      </c>
      <c r="B39" s="17">
        <f>L_r!B39/L_r!$H39</f>
        <v>3.2094454144840773E-2</v>
      </c>
      <c r="C39" s="17">
        <f>L_r!C39/L_r!$H39</f>
        <v>0.17069925999833707</v>
      </c>
      <c r="D39" s="17">
        <f>L_r!D39/L_r!$H39</f>
        <v>7.8323771514093296E-2</v>
      </c>
      <c r="E39" s="17">
        <f>L_r!E39/L_r!$H39</f>
        <v>0.2703084726033092</v>
      </c>
      <c r="F39" s="17">
        <f>L_r!F39/L_r!$H39</f>
        <v>0.11698677974557245</v>
      </c>
      <c r="G39" s="17">
        <f>L_r!G39/L_r!$H39</f>
        <v>0.33158726199384719</v>
      </c>
      <c r="J39" s="8" t="s">
        <v>41</v>
      </c>
      <c r="K39" s="17">
        <f>L_r!L39/L_r!$R39</f>
        <v>2.423595762518101E-2</v>
      </c>
      <c r="L39" s="17">
        <f>L_r!M39/L_r!$R39</f>
        <v>0.1480070116606966</v>
      </c>
      <c r="M39" s="17">
        <f>L_r!N39/L_r!$R39</f>
        <v>6.8439905495008002E-2</v>
      </c>
      <c r="N39" s="17">
        <f>L_r!O39/L_r!$R39</f>
        <v>0.27025379163173535</v>
      </c>
      <c r="O39" s="17">
        <f>L_r!P39/L_r!$R39</f>
        <v>0.14846429388003962</v>
      </c>
      <c r="P39" s="17">
        <f>L_r!Q39/L_r!$R39</f>
        <v>0.3405990397073394</v>
      </c>
    </row>
    <row r="40" spans="1:16" x14ac:dyDescent="0.2">
      <c r="A40" s="8" t="s">
        <v>42</v>
      </c>
      <c r="B40" s="17">
        <f>L_r!B40/L_r!$H40</f>
        <v>3.7610619469026545E-2</v>
      </c>
      <c r="C40" s="17">
        <f>L_r!C40/L_r!$H40</f>
        <v>0.19330752212389379</v>
      </c>
      <c r="D40" s="17">
        <f>L_r!D40/L_r!$H40</f>
        <v>0.14703171091445427</v>
      </c>
      <c r="E40" s="17">
        <f>L_r!E40/L_r!$H40</f>
        <v>0.20169616519174044</v>
      </c>
      <c r="F40" s="17">
        <f>L_r!F40/L_r!$H40</f>
        <v>6.1301622418879056E-2</v>
      </c>
      <c r="G40" s="17">
        <f>L_r!G40/L_r!$H40</f>
        <v>0.3590523598820059</v>
      </c>
      <c r="J40" s="8" t="s">
        <v>42</v>
      </c>
      <c r="K40" s="17">
        <f>L_r!L40/L_r!$R40</f>
        <v>2.2580030487804881E-2</v>
      </c>
      <c r="L40" s="17">
        <f>L_r!M40/L_r!$R40</f>
        <v>0.23647103658536586</v>
      </c>
      <c r="M40" s="17">
        <f>L_r!N40/L_r!$R40</f>
        <v>9.9085365853658541E-2</v>
      </c>
      <c r="N40" s="17">
        <f>L_r!O40/L_r!$R40</f>
        <v>0.21703506097560976</v>
      </c>
      <c r="O40" s="17">
        <f>L_r!P40/L_r!$R40</f>
        <v>0.11766387195121952</v>
      </c>
      <c r="P40" s="17">
        <f>L_r!Q40/L_r!$R40</f>
        <v>0.30716463414634154</v>
      </c>
    </row>
  </sheetData>
  <mergeCells count="2">
    <mergeCell ref="A1:G1"/>
    <mergeCell ref="J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E552-ABF8-8C42-9AAA-36EDF8AD2A49}">
  <dimension ref="A1:R40"/>
  <sheetViews>
    <sheetView workbookViewId="0">
      <selection activeCell="I14" sqref="I14"/>
    </sheetView>
  </sheetViews>
  <sheetFormatPr baseColWidth="10" defaultRowHeight="16" x14ac:dyDescent="0.2"/>
  <cols>
    <col min="1" max="1" width="22.83203125" bestFit="1" customWidth="1"/>
    <col min="2" max="2" width="11.6640625" bestFit="1" customWidth="1"/>
    <col min="3" max="3" width="13.6640625" bestFit="1" customWidth="1"/>
    <col min="4" max="7" width="11.1640625" bestFit="1" customWidth="1"/>
    <col min="8" max="8" width="14.6640625" bestFit="1" customWidth="1"/>
    <col min="11" max="11" width="22.83203125" bestFit="1" customWidth="1"/>
    <col min="12" max="12" width="11" bestFit="1" customWidth="1"/>
    <col min="13" max="13" width="11.6640625" bestFit="1" customWidth="1"/>
    <col min="14" max="17" width="11" bestFit="1" customWidth="1"/>
    <col min="18" max="18" width="14.83203125" bestFit="1" customWidth="1"/>
  </cols>
  <sheetData>
    <row r="1" spans="1:18" x14ac:dyDescent="0.2">
      <c r="A1" s="20" t="s">
        <v>66</v>
      </c>
      <c r="B1" s="20"/>
      <c r="C1" s="20"/>
      <c r="D1" s="20"/>
      <c r="E1" s="20"/>
      <c r="F1" s="20"/>
      <c r="G1" s="20"/>
      <c r="H1" s="20"/>
      <c r="K1" s="20" t="s">
        <v>67</v>
      </c>
      <c r="L1" s="20"/>
      <c r="M1" s="20"/>
      <c r="N1" s="20"/>
      <c r="O1" s="20"/>
      <c r="P1" s="20"/>
      <c r="Q1" s="20"/>
      <c r="R1" s="20"/>
    </row>
    <row r="2" spans="1:18" x14ac:dyDescent="0.2">
      <c r="A2" s="8"/>
      <c r="B2" s="8" t="s">
        <v>5</v>
      </c>
      <c r="C2" s="8" t="s">
        <v>43</v>
      </c>
      <c r="D2" s="8" t="s">
        <v>44</v>
      </c>
      <c r="E2" s="8" t="s">
        <v>45</v>
      </c>
      <c r="F2" s="8" t="s">
        <v>46</v>
      </c>
      <c r="G2" s="8" t="s">
        <v>47</v>
      </c>
      <c r="H2" s="8" t="s">
        <v>70</v>
      </c>
      <c r="K2" s="8"/>
      <c r="L2" s="8" t="s">
        <v>5</v>
      </c>
      <c r="M2" s="8" t="s">
        <v>43</v>
      </c>
      <c r="N2" s="8" t="s">
        <v>44</v>
      </c>
      <c r="O2" s="8" t="s">
        <v>45</v>
      </c>
      <c r="P2" s="8" t="s">
        <v>46</v>
      </c>
      <c r="Q2" s="8" t="s">
        <v>47</v>
      </c>
      <c r="R2" s="8" t="s">
        <v>71</v>
      </c>
    </row>
    <row r="3" spans="1:18" x14ac:dyDescent="0.2">
      <c r="A3" s="8" t="s">
        <v>4</v>
      </c>
      <c r="B3" s="7">
        <f>s_ri!B3*shock_i!$E$2</f>
        <v>9077.3585188057605</v>
      </c>
      <c r="C3" s="7">
        <f>s_ri!C3*shock_i!$E$3</f>
        <v>4143136.1445634374</v>
      </c>
      <c r="D3" s="7">
        <f>s_ri!D3*shock_i!$E$4</f>
        <v>0</v>
      </c>
      <c r="E3" s="7">
        <f>s_ri!E3*shock_i!$E$5</f>
        <v>0</v>
      </c>
      <c r="F3" s="7">
        <f>s_ri!F3*shock_i!$E$6</f>
        <v>0.50736196278931545</v>
      </c>
      <c r="G3" s="7">
        <f>s_ri!G3*shock_i!$E$7</f>
        <v>247.02989890569586</v>
      </c>
      <c r="H3" s="7">
        <f>SUM(B3:G3)/1000</f>
        <v>4152.4610403431116</v>
      </c>
      <c r="K3" s="8" t="s">
        <v>4</v>
      </c>
      <c r="L3" s="7">
        <f>s_ri!K3*shock_i!$E$8</f>
        <v>-829.5236687319956</v>
      </c>
      <c r="M3" s="7">
        <f>s_ri!L3*shock_i!$E$9</f>
        <v>742179.05415194307</v>
      </c>
      <c r="N3" s="7">
        <f>s_ri!M3*shock_i!$E$10</f>
        <v>0</v>
      </c>
      <c r="O3" s="7">
        <f>s_ri!N3*shock_i!$E$11</f>
        <v>0</v>
      </c>
      <c r="P3" s="7">
        <f>s_ri!O3*shock_i!$E$12</f>
        <v>0.12163805762354116</v>
      </c>
      <c r="Q3" s="7">
        <f>s_ri!P3*shock_i!$E$13</f>
        <v>297.20253388199154</v>
      </c>
      <c r="R3" s="7">
        <f>SUM(L3:Q3)/1000</f>
        <v>741.64685465515072</v>
      </c>
    </row>
    <row r="4" spans="1:18" x14ac:dyDescent="0.2">
      <c r="A4" s="8" t="s">
        <v>6</v>
      </c>
      <c r="B4" s="7">
        <f>s_ri!B4*shock_i!$E$2</f>
        <v>7809.1435258626543</v>
      </c>
      <c r="C4" s="7">
        <f>s_ri!C4*shock_i!$E$3</f>
        <v>3613932.3037490929</v>
      </c>
      <c r="D4" s="7">
        <f>s_ri!D4*shock_i!$E$4</f>
        <v>0</v>
      </c>
      <c r="E4" s="7">
        <f>s_ri!E4*shock_i!$E$5</f>
        <v>0</v>
      </c>
      <c r="F4" s="7">
        <f>s_ri!F4*shock_i!$E$6</f>
        <v>0.54836634835226628</v>
      </c>
      <c r="G4" s="7">
        <f>s_ri!G4*shock_i!$E$7</f>
        <v>294.58974459846206</v>
      </c>
      <c r="H4" s="7">
        <f t="shared" ref="H4:H39" si="0">SUM(B4:G4)/1000</f>
        <v>3622.0365853859025</v>
      </c>
      <c r="K4" s="8" t="s">
        <v>6</v>
      </c>
      <c r="L4" s="7">
        <f>s_ri!K4*shock_i!$E$8</f>
        <v>-365.80454114386959</v>
      </c>
      <c r="M4" s="7">
        <f>s_ri!L4*shock_i!$E$9</f>
        <v>647867.5783620351</v>
      </c>
      <c r="N4" s="7">
        <f>s_ri!M4*shock_i!$E$10</f>
        <v>0</v>
      </c>
      <c r="O4" s="7">
        <f>s_ri!N4*shock_i!$E$11</f>
        <v>0</v>
      </c>
      <c r="P4" s="7">
        <f>s_ri!O4*shock_i!$E$12</f>
        <v>0.11814040876681206</v>
      </c>
      <c r="Q4" s="7">
        <f>s_ri!P4*shock_i!$E$13</f>
        <v>339.58450754336712</v>
      </c>
      <c r="R4" s="7">
        <f t="shared" ref="R4:R40" si="1">SUM(L4:Q4)/1000</f>
        <v>647.84147646884344</v>
      </c>
    </row>
    <row r="5" spans="1:18" x14ac:dyDescent="0.2">
      <c r="A5" s="8" t="s">
        <v>7</v>
      </c>
      <c r="B5" s="7">
        <f>s_ri!B5*shock_i!$E$2</f>
        <v>17380.455680076233</v>
      </c>
      <c r="C5" s="7">
        <f>s_ri!C5*shock_i!$E$3</f>
        <v>3675893.8074346082</v>
      </c>
      <c r="D5" s="7">
        <f>s_ri!D5*shock_i!$E$4</f>
        <v>0</v>
      </c>
      <c r="E5" s="7">
        <f>s_ri!E5*shock_i!$E$5</f>
        <v>0</v>
      </c>
      <c r="F5" s="7">
        <f>s_ri!F5*shock_i!$E$6</f>
        <v>0.43486601008282949</v>
      </c>
      <c r="G5" s="7">
        <f>s_ri!G5*shock_i!$E$7</f>
        <v>275.60828681317372</v>
      </c>
      <c r="H5" s="7">
        <f t="shared" si="0"/>
        <v>3693.5503062675079</v>
      </c>
      <c r="K5" s="8" t="s">
        <v>7</v>
      </c>
      <c r="L5" s="7">
        <f>s_ri!K5*shock_i!$E$8</f>
        <v>-888.72282311061497</v>
      </c>
      <c r="M5" s="7">
        <f>s_ri!L5*shock_i!$E$9</f>
        <v>690816.56744856364</v>
      </c>
      <c r="N5" s="7">
        <f>s_ri!M5*shock_i!$E$10</f>
        <v>0</v>
      </c>
      <c r="O5" s="7">
        <f>s_ri!N5*shock_i!$E$11</f>
        <v>0</v>
      </c>
      <c r="P5" s="7">
        <f>s_ri!O5*shock_i!$E$12</f>
        <v>8.5295323892837033E-2</v>
      </c>
      <c r="Q5" s="7">
        <f>s_ri!P5*shock_i!$E$13</f>
        <v>339.08021074388108</v>
      </c>
      <c r="R5" s="7">
        <f t="shared" si="1"/>
        <v>690.26701013152081</v>
      </c>
    </row>
    <row r="6" spans="1:18" x14ac:dyDescent="0.2">
      <c r="A6" s="8" t="s">
        <v>8</v>
      </c>
      <c r="B6" s="7">
        <f>s_ri!B6*shock_i!$E$2</f>
        <v>21236.263151007457</v>
      </c>
      <c r="C6" s="7">
        <f>s_ri!C6*shock_i!$E$3</f>
        <v>4040123.5578766521</v>
      </c>
      <c r="D6" s="7">
        <f>s_ri!D6*shock_i!$E$4</f>
        <v>0</v>
      </c>
      <c r="E6" s="7">
        <f>s_ri!E6*shock_i!$E$5</f>
        <v>0</v>
      </c>
      <c r="F6" s="7">
        <f>s_ri!F6*shock_i!$E$6</f>
        <v>0.42548423474878633</v>
      </c>
      <c r="G6" s="7">
        <f>s_ri!G6*shock_i!$E$7</f>
        <v>263.74180739994523</v>
      </c>
      <c r="H6" s="7">
        <f t="shared" si="0"/>
        <v>4061.6239883192939</v>
      </c>
      <c r="K6" s="8" t="s">
        <v>8</v>
      </c>
      <c r="L6" s="7">
        <f>s_ri!K6*shock_i!$E$8</f>
        <v>-1698.4524925439612</v>
      </c>
      <c r="M6" s="7">
        <f>s_ri!L6*shock_i!$E$9</f>
        <v>779340.35297743138</v>
      </c>
      <c r="N6" s="7">
        <f>s_ri!M6*shock_i!$E$10</f>
        <v>0</v>
      </c>
      <c r="O6" s="7">
        <f>s_ri!N6*shock_i!$E$11</f>
        <v>0</v>
      </c>
      <c r="P6" s="7">
        <f>s_ri!O6*shock_i!$E$12</f>
        <v>8.5844946001844349E-2</v>
      </c>
      <c r="Q6" s="7">
        <f>s_ri!P6*shock_i!$E$13</f>
        <v>331.68494099667703</v>
      </c>
      <c r="R6" s="7">
        <f t="shared" si="1"/>
        <v>777.9736712708301</v>
      </c>
    </row>
    <row r="7" spans="1:18" x14ac:dyDescent="0.2">
      <c r="A7" s="8" t="s">
        <v>9</v>
      </c>
      <c r="B7" s="7">
        <f>s_ri!B7*shock_i!$E$2</f>
        <v>14105.037325965961</v>
      </c>
      <c r="C7" s="7">
        <f>s_ri!C7*shock_i!$E$3</f>
        <v>2676556.4806027682</v>
      </c>
      <c r="D7" s="7">
        <f>s_ri!D7*shock_i!$E$4</f>
        <v>0</v>
      </c>
      <c r="E7" s="7">
        <f>s_ri!E7*shock_i!$E$5</f>
        <v>0</v>
      </c>
      <c r="F7" s="7">
        <f>s_ri!F7*shock_i!$E$6</f>
        <v>0.79668083855147787</v>
      </c>
      <c r="G7" s="7">
        <f>s_ri!G7*shock_i!$E$7</f>
        <v>285.74937192370498</v>
      </c>
      <c r="H7" s="7">
        <f t="shared" si="0"/>
        <v>2690.9480639814965</v>
      </c>
      <c r="K7" s="8" t="s">
        <v>9</v>
      </c>
      <c r="L7" s="7">
        <f>s_ri!K7*shock_i!$E$8</f>
        <v>-1248.6402015488338</v>
      </c>
      <c r="M7" s="7">
        <f>s_ri!L7*shock_i!$E$9</f>
        <v>481433.79212928668</v>
      </c>
      <c r="N7" s="7">
        <f>s_ri!M7*shock_i!$E$10</f>
        <v>0</v>
      </c>
      <c r="O7" s="7">
        <f>s_ri!N7*shock_i!$E$11</f>
        <v>0</v>
      </c>
      <c r="P7" s="7">
        <f>s_ri!O7*shock_i!$E$12</f>
        <v>0.15743590131801577</v>
      </c>
      <c r="Q7" s="7">
        <f>s_ri!P7*shock_i!$E$13</f>
        <v>318.3661114232217</v>
      </c>
      <c r="R7" s="7">
        <f t="shared" si="1"/>
        <v>480.50367547506244</v>
      </c>
    </row>
    <row r="8" spans="1:18" x14ac:dyDescent="0.2">
      <c r="A8" s="8" t="s">
        <v>10</v>
      </c>
      <c r="B8" s="7">
        <f>s_ri!B8*shock_i!$E$2</f>
        <v>34001.592022305129</v>
      </c>
      <c r="C8" s="7">
        <f>s_ri!C8*shock_i!$E$3</f>
        <v>3379929.965280782</v>
      </c>
      <c r="D8" s="7">
        <f>s_ri!D8*shock_i!$E$4</f>
        <v>0</v>
      </c>
      <c r="E8" s="7">
        <f>s_ri!E8*shock_i!$E$5</f>
        <v>0</v>
      </c>
      <c r="F8" s="7">
        <f>s_ri!F8*shock_i!$E$6</f>
        <v>0.41879923360872107</v>
      </c>
      <c r="G8" s="7">
        <f>s_ri!G8*shock_i!$E$7</f>
        <v>238.57900479012531</v>
      </c>
      <c r="H8" s="7">
        <f t="shared" si="0"/>
        <v>3414.1705551071109</v>
      </c>
      <c r="K8" s="8" t="s">
        <v>10</v>
      </c>
      <c r="L8" s="7">
        <f>s_ri!K8*shock_i!$E$8</f>
        <v>-2847.0657989890992</v>
      </c>
      <c r="M8" s="7">
        <f>s_ri!L8*shock_i!$E$9</f>
        <v>657501.31777228485</v>
      </c>
      <c r="N8" s="7">
        <f>s_ri!M8*shock_i!$E$10</f>
        <v>0</v>
      </c>
      <c r="O8" s="7">
        <f>s_ri!N8*shock_i!$E$11</f>
        <v>0</v>
      </c>
      <c r="P8" s="7">
        <f>s_ri!O8*shock_i!$E$12</f>
        <v>8.8052644297675134E-2</v>
      </c>
      <c r="Q8" s="7">
        <f>s_ri!P8*shock_i!$E$13</f>
        <v>296.54249913067468</v>
      </c>
      <c r="R8" s="7">
        <f t="shared" si="1"/>
        <v>654.95088252507071</v>
      </c>
    </row>
    <row r="9" spans="1:18" x14ac:dyDescent="0.2">
      <c r="A9" s="8" t="s">
        <v>11</v>
      </c>
      <c r="B9" s="7">
        <f>s_ri!B9*shock_i!$E$2</f>
        <v>31974.261034572795</v>
      </c>
      <c r="C9" s="7">
        <f>s_ri!C9*shock_i!$E$3</f>
        <v>3308176.5812539877</v>
      </c>
      <c r="D9" s="7">
        <f>s_ri!D9*shock_i!$E$4</f>
        <v>0</v>
      </c>
      <c r="E9" s="7">
        <f>s_ri!E9*shock_i!$E$5</f>
        <v>0</v>
      </c>
      <c r="F9" s="7">
        <f>s_ri!F9*shock_i!$E$6</f>
        <v>0.38338845050936865</v>
      </c>
      <c r="G9" s="7">
        <f>s_ri!G9*shock_i!$E$7</f>
        <v>269.83025361693541</v>
      </c>
      <c r="H9" s="7">
        <f t="shared" si="0"/>
        <v>3340.421055930628</v>
      </c>
      <c r="K9" s="8" t="s">
        <v>11</v>
      </c>
      <c r="L9" s="7">
        <f>s_ri!K9*shock_i!$E$8</f>
        <v>-2118.5656135414283</v>
      </c>
      <c r="M9" s="7">
        <f>s_ri!L9*shock_i!$E$9</f>
        <v>689201.08554077416</v>
      </c>
      <c r="N9" s="7">
        <f>s_ri!M9*shock_i!$E$10</f>
        <v>0</v>
      </c>
      <c r="O9" s="7">
        <f>s_ri!N9*shock_i!$E$11</f>
        <v>0</v>
      </c>
      <c r="P9" s="7">
        <f>s_ri!O9*shock_i!$E$12</f>
        <v>8.4150606807019898E-2</v>
      </c>
      <c r="Q9" s="7">
        <f>s_ri!P9*shock_i!$E$13</f>
        <v>337.56686394779854</v>
      </c>
      <c r="R9" s="7">
        <f t="shared" si="1"/>
        <v>687.42017094178732</v>
      </c>
    </row>
    <row r="10" spans="1:18" x14ac:dyDescent="0.2">
      <c r="A10" s="8" t="s">
        <v>12</v>
      </c>
      <c r="B10" s="7">
        <f>s_ri!B10*shock_i!$E$2</f>
        <v>14854.859146322326</v>
      </c>
      <c r="C10" s="7">
        <f>s_ri!C10*shock_i!$E$3</f>
        <v>3476851.4583317088</v>
      </c>
      <c r="D10" s="7">
        <f>s_ri!D10*shock_i!$E$4</f>
        <v>0</v>
      </c>
      <c r="E10" s="7">
        <f>s_ri!E10*shock_i!$E$5</f>
        <v>0</v>
      </c>
      <c r="F10" s="7">
        <f>s_ri!F10*shock_i!$E$6</f>
        <v>0.45682857886932288</v>
      </c>
      <c r="G10" s="7">
        <f>s_ri!G10*shock_i!$E$7</f>
        <v>270.68331522816453</v>
      </c>
      <c r="H10" s="7">
        <f t="shared" si="0"/>
        <v>3491.9774576218379</v>
      </c>
      <c r="K10" s="8" t="s">
        <v>12</v>
      </c>
      <c r="L10" s="7">
        <f>s_ri!K10*shock_i!$E$8</f>
        <v>-1429.2833921598803</v>
      </c>
      <c r="M10" s="7">
        <f>s_ri!L10*shock_i!$E$9</f>
        <v>701119.12204215338</v>
      </c>
      <c r="N10" s="7">
        <f>s_ri!M10*shock_i!$E$10</f>
        <v>0</v>
      </c>
      <c r="O10" s="7">
        <f>s_ri!N10*shock_i!$E$11</f>
        <v>0</v>
      </c>
      <c r="P10" s="7">
        <f>s_ri!O10*shock_i!$E$12</f>
        <v>9.5023159344807137E-2</v>
      </c>
      <c r="Q10" s="7">
        <f>s_ri!P10*shock_i!$E$13</f>
        <v>328.87224845603981</v>
      </c>
      <c r="R10" s="7">
        <f t="shared" si="1"/>
        <v>700.01880592160876</v>
      </c>
    </row>
    <row r="11" spans="1:18" x14ac:dyDescent="0.2">
      <c r="A11" s="8" t="s">
        <v>13</v>
      </c>
      <c r="B11" s="7">
        <f>s_ri!B11*shock_i!$E$2</f>
        <v>23251.375579586143</v>
      </c>
      <c r="C11" s="7">
        <f>s_ri!C11*shock_i!$E$3</f>
        <v>3452248.8311138339</v>
      </c>
      <c r="D11" s="7">
        <f>s_ri!D11*shock_i!$E$4</f>
        <v>0</v>
      </c>
      <c r="E11" s="7">
        <f>s_ri!E11*shock_i!$E$5</f>
        <v>0</v>
      </c>
      <c r="F11" s="7">
        <f>s_ri!F11*shock_i!$E$6</f>
        <v>0.57594883115828854</v>
      </c>
      <c r="G11" s="7">
        <f>s_ri!G11*shock_i!$E$7</f>
        <v>240.89314831073389</v>
      </c>
      <c r="H11" s="7">
        <f t="shared" si="0"/>
        <v>3475.7416757905621</v>
      </c>
      <c r="K11" s="8" t="s">
        <v>13</v>
      </c>
      <c r="L11" s="7">
        <f>s_ri!K11*shock_i!$E$8</f>
        <v>-1145.5020252851641</v>
      </c>
      <c r="M11" s="7">
        <f>s_ri!L11*shock_i!$E$9</f>
        <v>629674.53793001792</v>
      </c>
      <c r="N11" s="7">
        <f>s_ri!M11*shock_i!$E$10</f>
        <v>0</v>
      </c>
      <c r="O11" s="7">
        <f>s_ri!N11*shock_i!$E$11</f>
        <v>0</v>
      </c>
      <c r="P11" s="7">
        <f>s_ri!O11*shock_i!$E$12</f>
        <v>0.11355751290725863</v>
      </c>
      <c r="Q11" s="7">
        <f>s_ri!P11*shock_i!$E$13</f>
        <v>323.15921060012846</v>
      </c>
      <c r="R11" s="7">
        <f t="shared" si="1"/>
        <v>628.85230867284577</v>
      </c>
    </row>
    <row r="12" spans="1:18" x14ac:dyDescent="0.2">
      <c r="A12" s="8" t="s">
        <v>14</v>
      </c>
      <c r="B12" s="7">
        <f>s_ri!B12*shock_i!$E$2</f>
        <v>14087.578337846136</v>
      </c>
      <c r="C12" s="7">
        <f>s_ri!C12*shock_i!$E$3</f>
        <v>3449538.3299488709</v>
      </c>
      <c r="D12" s="7">
        <f>s_ri!D12*shock_i!$E$4</f>
        <v>0</v>
      </c>
      <c r="E12" s="7">
        <f>s_ri!E12*shock_i!$E$5</f>
        <v>0</v>
      </c>
      <c r="F12" s="7">
        <f>s_ri!F12*shock_i!$E$6</f>
        <v>0.42592173602936945</v>
      </c>
      <c r="G12" s="7">
        <f>s_ri!G12*shock_i!$E$7</f>
        <v>282.21417996571859</v>
      </c>
      <c r="H12" s="7">
        <f t="shared" si="0"/>
        <v>3463.9085483884187</v>
      </c>
      <c r="K12" s="8" t="s">
        <v>14</v>
      </c>
      <c r="L12" s="7">
        <f>s_ri!K12*shock_i!$E$8</f>
        <v>-1296.7267731782758</v>
      </c>
      <c r="M12" s="7">
        <f>s_ri!L12*shock_i!$E$9</f>
        <v>648672.45632701041</v>
      </c>
      <c r="N12" s="7">
        <f>s_ri!M12*shock_i!$E$10</f>
        <v>0</v>
      </c>
      <c r="O12" s="7">
        <f>s_ri!N12*shock_i!$E$11</f>
        <v>0</v>
      </c>
      <c r="P12" s="7">
        <f>s_ri!O12*shock_i!$E$12</f>
        <v>9.0833081173659014E-2</v>
      </c>
      <c r="Q12" s="7">
        <f>s_ri!P12*shock_i!$E$13</f>
        <v>343.10984191980617</v>
      </c>
      <c r="R12" s="7">
        <f t="shared" si="1"/>
        <v>647.71893022883307</v>
      </c>
    </row>
    <row r="13" spans="1:18" x14ac:dyDescent="0.2">
      <c r="A13" s="8" t="s">
        <v>15</v>
      </c>
      <c r="B13" s="7">
        <f>s_ri!B13*shock_i!$E$2</f>
        <v>21808.215543645802</v>
      </c>
      <c r="C13" s="7">
        <f>s_ri!C13*shock_i!$E$3</f>
        <v>3489268.7849686071</v>
      </c>
      <c r="D13" s="7">
        <f>s_ri!D13*shock_i!$E$4</f>
        <v>0</v>
      </c>
      <c r="E13" s="7">
        <f>s_ri!E13*shock_i!$E$5</f>
        <v>0</v>
      </c>
      <c r="F13" s="7">
        <f>s_ri!F13*shock_i!$E$6</f>
        <v>0.45215945839686417</v>
      </c>
      <c r="G13" s="7">
        <f>s_ri!G13*shock_i!$E$7</f>
        <v>264.13706674729286</v>
      </c>
      <c r="H13" s="7">
        <f t="shared" si="0"/>
        <v>3511.3415897384584</v>
      </c>
      <c r="K13" s="8" t="s">
        <v>15</v>
      </c>
      <c r="L13" s="7">
        <f>s_ri!K13*shock_i!$E$8</f>
        <v>-1862.1610481374075</v>
      </c>
      <c r="M13" s="7">
        <f>s_ri!L13*shock_i!$E$9</f>
        <v>686235.9701534278</v>
      </c>
      <c r="N13" s="7">
        <f>s_ri!M13*shock_i!$E$10</f>
        <v>0</v>
      </c>
      <c r="O13" s="7">
        <f>s_ri!N13*shock_i!$E$11</f>
        <v>0</v>
      </c>
      <c r="P13" s="7">
        <f>s_ri!O13*shock_i!$E$12</f>
        <v>9.7726358328347862E-2</v>
      </c>
      <c r="Q13" s="7">
        <f>s_ri!P13*shock_i!$E$13</f>
        <v>302.12803056373195</v>
      </c>
      <c r="R13" s="7">
        <f t="shared" si="1"/>
        <v>684.67603486221253</v>
      </c>
    </row>
    <row r="14" spans="1:18" x14ac:dyDescent="0.2">
      <c r="A14" s="8" t="s">
        <v>16</v>
      </c>
      <c r="B14" s="7">
        <f>s_ri!B14*shock_i!$E$2</f>
        <v>4166.3456560994964</v>
      </c>
      <c r="C14" s="7">
        <f>s_ri!C14*shock_i!$E$3</f>
        <v>1587161.797920242</v>
      </c>
      <c r="D14" s="7">
        <f>s_ri!D14*shock_i!$E$4</f>
        <v>0</v>
      </c>
      <c r="E14" s="7">
        <f>s_ri!E14*shock_i!$E$5</f>
        <v>0</v>
      </c>
      <c r="F14" s="7">
        <f>s_ri!F14*shock_i!$E$6</f>
        <v>0.78024983411248894</v>
      </c>
      <c r="G14" s="7">
        <f>s_ri!G14*shock_i!$E$7</f>
        <v>388.36518444468442</v>
      </c>
      <c r="H14" s="7">
        <f t="shared" si="0"/>
        <v>1591.7172890106201</v>
      </c>
      <c r="K14" s="8" t="s">
        <v>16</v>
      </c>
      <c r="L14" s="7">
        <f>s_ri!K14*shock_i!$E$8</f>
        <v>0</v>
      </c>
      <c r="M14" s="7">
        <f>s_ri!L14*shock_i!$E$9</f>
        <v>225490.69345689344</v>
      </c>
      <c r="N14" s="7">
        <f>s_ri!M14*shock_i!$E$10</f>
        <v>0</v>
      </c>
      <c r="O14" s="7">
        <f>s_ri!N14*shock_i!$E$11</f>
        <v>0</v>
      </c>
      <c r="P14" s="7">
        <f>s_ri!O14*shock_i!$E$12</f>
        <v>0.16421434033032739</v>
      </c>
      <c r="Q14" s="7">
        <f>s_ri!P14*shock_i!$E$13</f>
        <v>420.74097355662417</v>
      </c>
      <c r="R14" s="7">
        <f t="shared" si="1"/>
        <v>225.91159864479039</v>
      </c>
    </row>
    <row r="15" spans="1:18" x14ac:dyDescent="0.2">
      <c r="A15" s="8" t="s">
        <v>17</v>
      </c>
      <c r="B15" s="7">
        <f>s_ri!B15*shock_i!$E$2</f>
        <v>28511.040067689912</v>
      </c>
      <c r="C15" s="7">
        <f>s_ri!C15*shock_i!$E$3</f>
        <v>1684402.7847613264</v>
      </c>
      <c r="D15" s="7">
        <f>s_ri!D15*shock_i!$E$4</f>
        <v>0</v>
      </c>
      <c r="E15" s="7">
        <f>s_ri!E15*shock_i!$E$5</f>
        <v>0</v>
      </c>
      <c r="F15" s="7">
        <f>s_ri!F15*shock_i!$E$6</f>
        <v>0.42432873672188409</v>
      </c>
      <c r="G15" s="7">
        <f>s_ri!G15*shock_i!$E$7</f>
        <v>327.54376403788547</v>
      </c>
      <c r="H15" s="7">
        <f t="shared" si="0"/>
        <v>1713.2417929217909</v>
      </c>
      <c r="K15" s="8" t="s">
        <v>17</v>
      </c>
      <c r="L15" s="7">
        <f>s_ri!K15*shock_i!$E$8</f>
        <v>-1866.8499184188177</v>
      </c>
      <c r="M15" s="7">
        <f>s_ri!L15*shock_i!$E$9</f>
        <v>364582.9900226302</v>
      </c>
      <c r="N15" s="7">
        <f>s_ri!M15*shock_i!$E$10</f>
        <v>0</v>
      </c>
      <c r="O15" s="7">
        <f>s_ri!N15*shock_i!$E$11</f>
        <v>0</v>
      </c>
      <c r="P15" s="7">
        <f>s_ri!O15*shock_i!$E$12</f>
        <v>0.12471081169163559</v>
      </c>
      <c r="Q15" s="7">
        <f>s_ri!P15*shock_i!$E$13</f>
        <v>380.89670768664035</v>
      </c>
      <c r="R15" s="7">
        <f t="shared" si="1"/>
        <v>363.09716152270977</v>
      </c>
    </row>
    <row r="16" spans="1:18" x14ac:dyDescent="0.2">
      <c r="A16" s="8" t="s">
        <v>18</v>
      </c>
      <c r="B16" s="7">
        <f>s_ri!B16*shock_i!$E$2</f>
        <v>0</v>
      </c>
      <c r="C16" s="7">
        <f>s_ri!C16*shock_i!$E$3</f>
        <v>2318187.8350321688</v>
      </c>
      <c r="D16" s="7">
        <f>s_ri!D16*shock_i!$E$4</f>
        <v>0</v>
      </c>
      <c r="E16" s="7">
        <f>s_ri!E16*shock_i!$E$5</f>
        <v>0</v>
      </c>
      <c r="F16" s="7">
        <f>s_ri!F16*shock_i!$E$6</f>
        <v>0.5539108119192222</v>
      </c>
      <c r="G16" s="7">
        <f>s_ri!G16*shock_i!$E$7</f>
        <v>311.97918019745362</v>
      </c>
      <c r="H16" s="7">
        <f t="shared" si="0"/>
        <v>2318.5003681231779</v>
      </c>
      <c r="K16" s="8" t="s">
        <v>18</v>
      </c>
      <c r="L16" s="7">
        <f>s_ri!K16*shock_i!$E$8</f>
        <v>0</v>
      </c>
      <c r="M16" s="7">
        <f>s_ri!L16*shock_i!$E$9</f>
        <v>368380.46246785874</v>
      </c>
      <c r="N16" s="7">
        <f>s_ri!M16*shock_i!$E$10</f>
        <v>0</v>
      </c>
      <c r="O16" s="7">
        <f>s_ri!N16*shock_i!$E$11</f>
        <v>0</v>
      </c>
      <c r="P16" s="7">
        <f>s_ri!O16*shock_i!$E$12</f>
        <v>0.13134442200861357</v>
      </c>
      <c r="Q16" s="7">
        <f>s_ri!P16*shock_i!$E$13</f>
        <v>373.41006083854705</v>
      </c>
      <c r="R16" s="7">
        <f t="shared" si="1"/>
        <v>368.7540038731193</v>
      </c>
    </row>
    <row r="17" spans="1:18" x14ac:dyDescent="0.2">
      <c r="A17" s="8" t="s">
        <v>19</v>
      </c>
      <c r="B17" s="7">
        <f>s_ri!B17*shock_i!$E$2</f>
        <v>0</v>
      </c>
      <c r="C17" s="7">
        <f>s_ri!C17*shock_i!$E$3</f>
        <v>1827630.9082066088</v>
      </c>
      <c r="D17" s="7">
        <f>s_ri!D17*shock_i!$E$4</f>
        <v>0</v>
      </c>
      <c r="E17" s="7">
        <f>s_ri!E17*shock_i!$E$5</f>
        <v>0</v>
      </c>
      <c r="F17" s="7">
        <f>s_ri!F17*shock_i!$E$6</f>
        <v>0.85964960649562727</v>
      </c>
      <c r="G17" s="7">
        <f>s_ri!G17*shock_i!$E$7</f>
        <v>301.02902142014835</v>
      </c>
      <c r="H17" s="7">
        <f t="shared" si="0"/>
        <v>1827.9327968776354</v>
      </c>
      <c r="K17" s="8" t="s">
        <v>19</v>
      </c>
      <c r="L17" s="7">
        <f>s_ri!K17*shock_i!$E$8</f>
        <v>0</v>
      </c>
      <c r="M17" s="7">
        <f>s_ri!L17*shock_i!$E$9</f>
        <v>274478.66591894935</v>
      </c>
      <c r="N17" s="7">
        <f>s_ri!M17*shock_i!$E$10</f>
        <v>0</v>
      </c>
      <c r="O17" s="7">
        <f>s_ri!N17*shock_i!$E$11</f>
        <v>0</v>
      </c>
      <c r="P17" s="7">
        <f>s_ri!O17*shock_i!$E$12</f>
        <v>0.18232046946600203</v>
      </c>
      <c r="Q17" s="7">
        <f>s_ri!P17*shock_i!$E$13</f>
        <v>347.33429557792363</v>
      </c>
      <c r="R17" s="7">
        <f t="shared" si="1"/>
        <v>274.82618253499675</v>
      </c>
    </row>
    <row r="18" spans="1:18" x14ac:dyDescent="0.2">
      <c r="A18" s="8" t="s">
        <v>20</v>
      </c>
      <c r="B18" s="7">
        <f>s_ri!B18*shock_i!$E$2</f>
        <v>5645.3477386304594</v>
      </c>
      <c r="C18" s="7">
        <f>s_ri!C18*shock_i!$E$3</f>
        <v>2595680.0995121808</v>
      </c>
      <c r="D18" s="7">
        <f>s_ri!D18*shock_i!$E$4</f>
        <v>0</v>
      </c>
      <c r="E18" s="7">
        <f>s_ri!E18*shock_i!$E$5</f>
        <v>0</v>
      </c>
      <c r="F18" s="7">
        <f>s_ri!F18*shock_i!$E$6</f>
        <v>0.82964595716460943</v>
      </c>
      <c r="G18" s="7">
        <f>s_ri!G18*shock_i!$E$7</f>
        <v>277.34582678492887</v>
      </c>
      <c r="H18" s="7">
        <f t="shared" si="0"/>
        <v>2601.6036227235536</v>
      </c>
      <c r="K18" s="8" t="s">
        <v>20</v>
      </c>
      <c r="L18" s="7">
        <f>s_ri!K18*shock_i!$E$8</f>
        <v>-633.67277314034754</v>
      </c>
      <c r="M18" s="7">
        <f>s_ri!L18*shock_i!$E$9</f>
        <v>434320.95770139946</v>
      </c>
      <c r="N18" s="7">
        <f>s_ri!M18*shock_i!$E$10</f>
        <v>0</v>
      </c>
      <c r="O18" s="7">
        <f>s_ri!N18*shock_i!$E$11</f>
        <v>0</v>
      </c>
      <c r="P18" s="7">
        <f>s_ri!O18*shock_i!$E$12</f>
        <v>0.17675692128787926</v>
      </c>
      <c r="Q18" s="7">
        <f>s_ri!P18*shock_i!$E$13</f>
        <v>313.50761624930402</v>
      </c>
      <c r="R18" s="7">
        <f t="shared" si="1"/>
        <v>434.00096930142968</v>
      </c>
    </row>
    <row r="19" spans="1:18" x14ac:dyDescent="0.2">
      <c r="A19" s="8" t="s">
        <v>21</v>
      </c>
      <c r="B19" s="7">
        <f>s_ri!B19*shock_i!$E$2</f>
        <v>11638.370099204012</v>
      </c>
      <c r="C19" s="7">
        <f>s_ri!C19*shock_i!$E$3</f>
        <v>3220571.3520036777</v>
      </c>
      <c r="D19" s="7">
        <f>s_ri!D19*shock_i!$E$4</f>
        <v>0</v>
      </c>
      <c r="E19" s="7">
        <f>s_ri!E19*shock_i!$E$5</f>
        <v>0</v>
      </c>
      <c r="F19" s="7">
        <f>s_ri!F19*shock_i!$E$6</f>
        <v>0.44525343968691966</v>
      </c>
      <c r="G19" s="7">
        <f>s_ri!G19*shock_i!$E$7</f>
        <v>309.28917962177252</v>
      </c>
      <c r="H19" s="7">
        <f t="shared" si="0"/>
        <v>3232.5194565359434</v>
      </c>
      <c r="K19" s="8" t="s">
        <v>21</v>
      </c>
      <c r="L19" s="7">
        <f>s_ri!K19*shock_i!$E$8</f>
        <v>0</v>
      </c>
      <c r="M19" s="7">
        <f>s_ri!L19*shock_i!$E$9</f>
        <v>609079.58649233403</v>
      </c>
      <c r="N19" s="7">
        <f>s_ri!M19*shock_i!$E$10</f>
        <v>0</v>
      </c>
      <c r="O19" s="7">
        <f>s_ri!N19*shock_i!$E$11</f>
        <v>0</v>
      </c>
      <c r="P19" s="7">
        <f>s_ri!O19*shock_i!$E$12</f>
        <v>9.6857272424770421E-2</v>
      </c>
      <c r="Q19" s="7">
        <f>s_ri!P19*shock_i!$E$13</f>
        <v>391.10438985227171</v>
      </c>
      <c r="R19" s="7">
        <f t="shared" si="1"/>
        <v>609.47078773945873</v>
      </c>
    </row>
    <row r="20" spans="1:18" x14ac:dyDescent="0.2">
      <c r="A20" s="8" t="s">
        <v>22</v>
      </c>
      <c r="B20" s="7">
        <f>s_ri!B20*shock_i!$E$2</f>
        <v>15398.894900547992</v>
      </c>
      <c r="C20" s="7">
        <f>s_ri!C20*shock_i!$E$3</f>
        <v>3002107.6380473431</v>
      </c>
      <c r="D20" s="7">
        <f>s_ri!D20*shock_i!$E$4</f>
        <v>0</v>
      </c>
      <c r="E20" s="7">
        <f>s_ri!E20*shock_i!$E$5</f>
        <v>0</v>
      </c>
      <c r="F20" s="7">
        <f>s_ri!F20*shock_i!$E$6</f>
        <v>0.39724155188880883</v>
      </c>
      <c r="G20" s="7">
        <f>s_ri!G20*shock_i!$E$7</f>
        <v>306.9665800024946</v>
      </c>
      <c r="H20" s="7">
        <f t="shared" si="0"/>
        <v>3017.8138967694454</v>
      </c>
      <c r="K20" s="8" t="s">
        <v>22</v>
      </c>
      <c r="L20" s="7">
        <f>s_ri!K20*shock_i!$E$8</f>
        <v>-961.55579652447432</v>
      </c>
      <c r="M20" s="7">
        <f>s_ri!L20*shock_i!$E$9</f>
        <v>552789.57420795388</v>
      </c>
      <c r="N20" s="7">
        <f>s_ri!M20*shock_i!$E$10</f>
        <v>0</v>
      </c>
      <c r="O20" s="7">
        <f>s_ri!N20*shock_i!$E$11</f>
        <v>0</v>
      </c>
      <c r="P20" s="7">
        <f>s_ri!O20*shock_i!$E$12</f>
        <v>9.5719266926604818E-2</v>
      </c>
      <c r="Q20" s="7">
        <f>s_ri!P20*shock_i!$E$13</f>
        <v>380.04321823090066</v>
      </c>
      <c r="R20" s="7">
        <f t="shared" si="1"/>
        <v>552.20815734892722</v>
      </c>
    </row>
    <row r="21" spans="1:18" x14ac:dyDescent="0.2">
      <c r="A21" s="8" t="s">
        <v>23</v>
      </c>
      <c r="B21" s="7">
        <f>s_ri!B21*shock_i!$E$2</f>
        <v>35570.307499968891</v>
      </c>
      <c r="C21" s="7">
        <f>s_ri!C21*shock_i!$E$3</f>
        <v>1197115.4125551921</v>
      </c>
      <c r="D21" s="7">
        <f>s_ri!D21*shock_i!$E$4</f>
        <v>0</v>
      </c>
      <c r="E21" s="7">
        <f>s_ri!E21*shock_i!$E$5</f>
        <v>0</v>
      </c>
      <c r="F21" s="7">
        <f>s_ri!F21*shock_i!$E$6</f>
        <v>0.30192689555412716</v>
      </c>
      <c r="G21" s="7">
        <f>s_ri!G21*shock_i!$E$7</f>
        <v>362.14563488072514</v>
      </c>
      <c r="H21" s="7">
        <f t="shared" si="0"/>
        <v>1233.0481676169372</v>
      </c>
      <c r="K21" s="8" t="s">
        <v>23</v>
      </c>
      <c r="L21" s="7">
        <f>s_ri!K21*shock_i!$E$8</f>
        <v>-2974.1254720324323</v>
      </c>
      <c r="M21" s="7">
        <f>s_ri!L21*shock_i!$E$9</f>
        <v>341257.93879271601</v>
      </c>
      <c r="N21" s="7">
        <f>s_ri!M21*shock_i!$E$10</f>
        <v>0</v>
      </c>
      <c r="O21" s="7">
        <f>s_ri!N21*shock_i!$E$11</f>
        <v>0</v>
      </c>
      <c r="P21" s="7">
        <f>s_ri!O21*shock_i!$E$12</f>
        <v>0.11406591684464414</v>
      </c>
      <c r="Q21" s="7">
        <f>s_ri!P21*shock_i!$E$13</f>
        <v>356.85662683860761</v>
      </c>
      <c r="R21" s="7">
        <f t="shared" si="1"/>
        <v>338.64078401343909</v>
      </c>
    </row>
    <row r="22" spans="1:18" x14ac:dyDescent="0.2">
      <c r="A22" s="8" t="s">
        <v>24</v>
      </c>
      <c r="B22" s="7">
        <f>s_ri!B22*shock_i!$E$2</f>
        <v>11923.749969422684</v>
      </c>
      <c r="C22" s="7">
        <f>s_ri!C22*shock_i!$E$3</f>
        <v>3537047.7776607275</v>
      </c>
      <c r="D22" s="7">
        <f>s_ri!D22*shock_i!$E$4</f>
        <v>0</v>
      </c>
      <c r="E22" s="7">
        <f>s_ri!E22*shock_i!$E$5</f>
        <v>0</v>
      </c>
      <c r="F22" s="7">
        <f>s_ri!F22*shock_i!$E$6</f>
        <v>0.47291516965674074</v>
      </c>
      <c r="G22" s="7">
        <f>s_ri!G22*shock_i!$E$7</f>
        <v>297.21147831201574</v>
      </c>
      <c r="H22" s="7">
        <f t="shared" si="0"/>
        <v>3549.269212023632</v>
      </c>
      <c r="K22" s="8" t="s">
        <v>24</v>
      </c>
      <c r="L22" s="7">
        <f>s_ri!K22*shock_i!$E$8</f>
        <v>-1226.7889057190137</v>
      </c>
      <c r="M22" s="7">
        <f>s_ri!L22*shock_i!$E$9</f>
        <v>624838.27432679071</v>
      </c>
      <c r="N22" s="7">
        <f>s_ri!M22*shock_i!$E$10</f>
        <v>0</v>
      </c>
      <c r="O22" s="7">
        <f>s_ri!N22*shock_i!$E$11</f>
        <v>0</v>
      </c>
      <c r="P22" s="7">
        <f>s_ri!O22*shock_i!$E$12</f>
        <v>0.1142202717816779</v>
      </c>
      <c r="Q22" s="7">
        <f>s_ri!P22*shock_i!$E$13</f>
        <v>365.4692583645321</v>
      </c>
      <c r="R22" s="7">
        <f t="shared" si="1"/>
        <v>623.977068899708</v>
      </c>
    </row>
    <row r="23" spans="1:18" x14ac:dyDescent="0.2">
      <c r="A23" s="8" t="s">
        <v>25</v>
      </c>
      <c r="B23" s="7">
        <f>s_ri!B23*shock_i!$E$2</f>
        <v>10826.998579580013</v>
      </c>
      <c r="C23" s="7">
        <f>s_ri!C23*shock_i!$E$3</f>
        <v>2667966.3105660956</v>
      </c>
      <c r="D23" s="7">
        <f>s_ri!D23*shock_i!$E$4</f>
        <v>0</v>
      </c>
      <c r="E23" s="7">
        <f>s_ri!E23*shock_i!$E$5</f>
        <v>0</v>
      </c>
      <c r="F23" s="7">
        <f>s_ri!F23*shock_i!$E$6</f>
        <v>0.55703379641986672</v>
      </c>
      <c r="G23" s="7">
        <f>s_ri!G23*shock_i!$E$7</f>
        <v>303.95565050053915</v>
      </c>
      <c r="H23" s="7">
        <f t="shared" si="0"/>
        <v>2679.0978218299724</v>
      </c>
      <c r="K23" s="8" t="s">
        <v>25</v>
      </c>
      <c r="L23" s="7">
        <f>s_ri!K23*shock_i!$E$8</f>
        <v>-1094.3808329560104</v>
      </c>
      <c r="M23" s="7">
        <f>s_ri!L23*shock_i!$E$9</f>
        <v>438685.73232609109</v>
      </c>
      <c r="N23" s="7">
        <f>s_ri!M23*shock_i!$E$10</f>
        <v>0</v>
      </c>
      <c r="O23" s="7">
        <f>s_ri!N23*shock_i!$E$11</f>
        <v>0</v>
      </c>
      <c r="P23" s="7">
        <f>s_ri!O23*shock_i!$E$12</f>
        <v>0.12699316693717011</v>
      </c>
      <c r="Q23" s="7">
        <f>s_ri!P23*shock_i!$E$13</f>
        <v>387.91737039915216</v>
      </c>
      <c r="R23" s="7">
        <f t="shared" si="1"/>
        <v>437.97939585670116</v>
      </c>
    </row>
    <row r="24" spans="1:18" x14ac:dyDescent="0.2">
      <c r="A24" s="8" t="s">
        <v>26</v>
      </c>
      <c r="B24" s="7">
        <f>s_ri!B24*shock_i!$E$2</f>
        <v>24760.950553977487</v>
      </c>
      <c r="C24" s="7">
        <f>s_ri!C24*shock_i!$E$3</f>
        <v>2173192.7002502624</v>
      </c>
      <c r="D24" s="7">
        <f>s_ri!D24*shock_i!$E$4</f>
        <v>0</v>
      </c>
      <c r="E24" s="7">
        <f>s_ri!E24*shock_i!$E$5</f>
        <v>0</v>
      </c>
      <c r="F24" s="7">
        <f>s_ri!F24*shock_i!$E$6</f>
        <v>0.4930787012510276</v>
      </c>
      <c r="G24" s="7">
        <f>s_ri!G24*shock_i!$E$7</f>
        <v>316.61258574170972</v>
      </c>
      <c r="H24" s="7">
        <f t="shared" si="0"/>
        <v>2198.2707564686825</v>
      </c>
      <c r="K24" s="8" t="s">
        <v>26</v>
      </c>
      <c r="L24" s="7">
        <f>s_ri!K24*shock_i!$E$8</f>
        <v>-2983.9430833155375</v>
      </c>
      <c r="M24" s="7">
        <f>s_ri!L24*shock_i!$E$9</f>
        <v>407941.1147663836</v>
      </c>
      <c r="N24" s="7">
        <f>s_ri!M24*shock_i!$E$10</f>
        <v>0</v>
      </c>
      <c r="O24" s="7">
        <f>s_ri!N24*shock_i!$E$11</f>
        <v>0</v>
      </c>
      <c r="P24" s="7">
        <f>s_ri!O24*shock_i!$E$12</f>
        <v>0.10043402246270534</v>
      </c>
      <c r="Q24" s="7">
        <f>s_ri!P24*shock_i!$E$13</f>
        <v>363.31608335373335</v>
      </c>
      <c r="R24" s="7">
        <f t="shared" si="1"/>
        <v>405.32058820044426</v>
      </c>
    </row>
    <row r="25" spans="1:18" x14ac:dyDescent="0.2">
      <c r="A25" s="8" t="s">
        <v>27</v>
      </c>
      <c r="B25" s="7">
        <f>s_ri!B25*shock_i!$E$2</f>
        <v>32232.074765305002</v>
      </c>
      <c r="C25" s="7">
        <f>s_ri!C25*shock_i!$E$3</f>
        <v>2660318.9007031238</v>
      </c>
      <c r="D25" s="7">
        <f>s_ri!D25*shock_i!$E$4</f>
        <v>0</v>
      </c>
      <c r="E25" s="7">
        <f>s_ri!E25*shock_i!$E$5</f>
        <v>0</v>
      </c>
      <c r="F25" s="7">
        <f>s_ri!F25*shock_i!$E$6</f>
        <v>0.38117423135018974</v>
      </c>
      <c r="G25" s="7">
        <f>s_ri!G25*shock_i!$E$7</f>
        <v>309.31874137300485</v>
      </c>
      <c r="H25" s="7">
        <f t="shared" si="0"/>
        <v>2692.8606753840331</v>
      </c>
      <c r="K25" s="8" t="s">
        <v>27</v>
      </c>
      <c r="L25" s="7">
        <f>s_ri!K25*shock_i!$E$8</f>
        <v>-2771.4532993818498</v>
      </c>
      <c r="M25" s="7">
        <f>s_ri!L25*shock_i!$E$9</f>
        <v>510974.86757405032</v>
      </c>
      <c r="N25" s="7">
        <f>s_ri!M25*shock_i!$E$10</f>
        <v>0</v>
      </c>
      <c r="O25" s="7">
        <f>s_ri!N25*shock_i!$E$11</f>
        <v>0</v>
      </c>
      <c r="P25" s="7">
        <f>s_ri!O25*shock_i!$E$12</f>
        <v>8.8946707427320526E-2</v>
      </c>
      <c r="Q25" s="7">
        <f>s_ri!P25*shock_i!$E$13</f>
        <v>358.74800099446418</v>
      </c>
      <c r="R25" s="7">
        <f t="shared" si="1"/>
        <v>508.56225122237038</v>
      </c>
    </row>
    <row r="26" spans="1:18" x14ac:dyDescent="0.2">
      <c r="A26" s="8" t="s">
        <v>28</v>
      </c>
      <c r="B26" s="7">
        <f>s_ri!B26*shock_i!$E$2</f>
        <v>7684.7553124745436</v>
      </c>
      <c r="C26" s="7">
        <f>s_ri!C26*shock_i!$E$3</f>
        <v>2923077.0489817699</v>
      </c>
      <c r="D26" s="7">
        <f>s_ri!D26*shock_i!$E$4</f>
        <v>0</v>
      </c>
      <c r="E26" s="7">
        <f>s_ri!E26*shock_i!$E$5</f>
        <v>0</v>
      </c>
      <c r="F26" s="7">
        <f>s_ri!F26*shock_i!$E$6</f>
        <v>0.58112026421603646</v>
      </c>
      <c r="G26" s="7">
        <f>s_ri!G26*shock_i!$E$7</f>
        <v>289.3106371415152</v>
      </c>
      <c r="H26" s="7">
        <f t="shared" si="0"/>
        <v>2931.0516960516502</v>
      </c>
      <c r="K26" s="8" t="s">
        <v>28</v>
      </c>
      <c r="L26" s="7">
        <f>s_ri!K26*shock_i!$E$8</f>
        <v>-350.48028045646015</v>
      </c>
      <c r="M26" s="7">
        <f>s_ri!L26*shock_i!$E$9</f>
        <v>489675.69624093978</v>
      </c>
      <c r="N26" s="7">
        <f>s_ri!M26*shock_i!$E$10</f>
        <v>0</v>
      </c>
      <c r="O26" s="7">
        <f>s_ri!N26*shock_i!$E$11</f>
        <v>0</v>
      </c>
      <c r="P26" s="7">
        <f>s_ri!O26*shock_i!$E$12</f>
        <v>0.13577205073347259</v>
      </c>
      <c r="Q26" s="7">
        <f>s_ri!P26*shock_i!$E$13</f>
        <v>341.1662751100497</v>
      </c>
      <c r="R26" s="7">
        <f t="shared" si="1"/>
        <v>489.66651800764407</v>
      </c>
    </row>
    <row r="27" spans="1:18" x14ac:dyDescent="0.2">
      <c r="A27" s="8" t="s">
        <v>29</v>
      </c>
      <c r="B27" s="7">
        <f>s_ri!B27*shock_i!$E$2</f>
        <v>7716.3584575873565</v>
      </c>
      <c r="C27" s="7">
        <f>s_ri!C27*shock_i!$E$3</f>
        <v>2656493.2940369737</v>
      </c>
      <c r="D27" s="7">
        <f>s_ri!D27*shock_i!$E$4</f>
        <v>0</v>
      </c>
      <c r="E27" s="7">
        <f>s_ri!E27*shock_i!$E$5</f>
        <v>0</v>
      </c>
      <c r="F27" s="7">
        <f>s_ri!F27*shock_i!$E$6</f>
        <v>0.61219184926127246</v>
      </c>
      <c r="G27" s="7">
        <f>s_ri!G27*shock_i!$E$7</f>
        <v>328.46651447440826</v>
      </c>
      <c r="H27" s="7">
        <f t="shared" si="0"/>
        <v>2664.5387312008847</v>
      </c>
      <c r="K27" s="8" t="s">
        <v>29</v>
      </c>
      <c r="L27" s="7">
        <f>s_ri!K27*shock_i!$E$8</f>
        <v>-512.46163641078329</v>
      </c>
      <c r="M27" s="7">
        <f>s_ri!L27*shock_i!$E$9</f>
        <v>447989.71228739986</v>
      </c>
      <c r="N27" s="7">
        <f>s_ri!M27*shock_i!$E$10</f>
        <v>0</v>
      </c>
      <c r="O27" s="7">
        <f>s_ri!N27*shock_i!$E$11</f>
        <v>0</v>
      </c>
      <c r="P27" s="7">
        <f>s_ri!O27*shock_i!$E$12</f>
        <v>0.14431383201531073</v>
      </c>
      <c r="Q27" s="7">
        <f>s_ri!P27*shock_i!$E$13</f>
        <v>376.41282603048535</v>
      </c>
      <c r="R27" s="7">
        <f t="shared" si="1"/>
        <v>447.85380779085153</v>
      </c>
    </row>
    <row r="28" spans="1:18" x14ac:dyDescent="0.2">
      <c r="A28" s="8" t="s">
        <v>30</v>
      </c>
      <c r="B28" s="7">
        <f>s_ri!B28*shock_i!$E$2</f>
        <v>14679.910739590732</v>
      </c>
      <c r="C28" s="7">
        <f>s_ri!C28*shock_i!$E$3</f>
        <v>3018742.6838343106</v>
      </c>
      <c r="D28" s="7">
        <f>s_ri!D28*shock_i!$E$4</f>
        <v>0</v>
      </c>
      <c r="E28" s="7">
        <f>s_ri!E28*shock_i!$E$5</f>
        <v>0</v>
      </c>
      <c r="F28" s="7">
        <f>s_ri!F28*shock_i!$E$6</f>
        <v>0.47378008863223819</v>
      </c>
      <c r="G28" s="7">
        <f>s_ri!G28*shock_i!$E$7</f>
        <v>292.32491007195034</v>
      </c>
      <c r="H28" s="7">
        <f t="shared" si="0"/>
        <v>3033.7153932640622</v>
      </c>
      <c r="K28" s="8" t="s">
        <v>30</v>
      </c>
      <c r="L28" s="7">
        <f>s_ri!K28*shock_i!$E$8</f>
        <v>-1166.6060197474401</v>
      </c>
      <c r="M28" s="7">
        <f>s_ri!L28*shock_i!$E$9</f>
        <v>505188.05489589868</v>
      </c>
      <c r="N28" s="7">
        <f>s_ri!M28*shock_i!$E$10</f>
        <v>0</v>
      </c>
      <c r="O28" s="7">
        <f>s_ri!N28*shock_i!$E$11</f>
        <v>0</v>
      </c>
      <c r="P28" s="7">
        <f>s_ri!O28*shock_i!$E$12</f>
        <v>0.10791623259775042</v>
      </c>
      <c r="Q28" s="7">
        <f>s_ri!P28*shock_i!$E$13</f>
        <v>365.17616178683909</v>
      </c>
      <c r="R28" s="7">
        <f t="shared" si="1"/>
        <v>504.38673295417067</v>
      </c>
    </row>
    <row r="29" spans="1:18" x14ac:dyDescent="0.2">
      <c r="A29" s="8" t="s">
        <v>31</v>
      </c>
      <c r="B29" s="7">
        <f>s_ri!B29*shock_i!$E$2</f>
        <v>10430.581177092303</v>
      </c>
      <c r="C29" s="7">
        <f>s_ri!C29*shock_i!$E$3</f>
        <v>3692199.8227817314</v>
      </c>
      <c r="D29" s="7">
        <f>s_ri!D29*shock_i!$E$4</f>
        <v>0</v>
      </c>
      <c r="E29" s="7">
        <f>s_ri!E29*shock_i!$E$5</f>
        <v>0</v>
      </c>
      <c r="F29" s="7">
        <f>s_ri!F29*shock_i!$E$6</f>
        <v>0.39114375796855883</v>
      </c>
      <c r="G29" s="7">
        <f>s_ri!G29*shock_i!$E$7</f>
        <v>283.60615135749862</v>
      </c>
      <c r="H29" s="7">
        <f t="shared" si="0"/>
        <v>3702.9144012539386</v>
      </c>
      <c r="K29" s="8" t="s">
        <v>31</v>
      </c>
      <c r="L29" s="7">
        <f>s_ri!K29*shock_i!$E$8</f>
        <v>-920.58234346562676</v>
      </c>
      <c r="M29" s="7">
        <f>s_ri!L29*shock_i!$E$9</f>
        <v>647210.95218709146</v>
      </c>
      <c r="N29" s="7">
        <f>s_ri!M29*shock_i!$E$10</f>
        <v>0</v>
      </c>
      <c r="O29" s="7">
        <f>s_ri!N29*shock_i!$E$11</f>
        <v>0</v>
      </c>
      <c r="P29" s="7">
        <f>s_ri!O29*shock_i!$E$12</f>
        <v>9.13887722575219E-2</v>
      </c>
      <c r="Q29" s="7">
        <f>s_ri!P29*shock_i!$E$13</f>
        <v>341.56413361407681</v>
      </c>
      <c r="R29" s="7">
        <f t="shared" si="1"/>
        <v>646.63202536601216</v>
      </c>
    </row>
    <row r="30" spans="1:18" x14ac:dyDescent="0.2">
      <c r="A30" s="8" t="s">
        <v>32</v>
      </c>
      <c r="B30" s="7">
        <f>s_ri!B30*shock_i!$E$2</f>
        <v>8848.6046245075122</v>
      </c>
      <c r="C30" s="7">
        <f>s_ri!C30*shock_i!$E$3</f>
        <v>3408984.7244295063</v>
      </c>
      <c r="D30" s="7">
        <f>s_ri!D30*shock_i!$E$4</f>
        <v>0</v>
      </c>
      <c r="E30" s="7">
        <f>s_ri!E30*shock_i!$E$5</f>
        <v>0</v>
      </c>
      <c r="F30" s="7">
        <f>s_ri!F30*shock_i!$E$6</f>
        <v>0.44765867017640965</v>
      </c>
      <c r="G30" s="7">
        <f>s_ri!G30*shock_i!$E$7</f>
        <v>287.64477770875584</v>
      </c>
      <c r="H30" s="7">
        <f t="shared" si="0"/>
        <v>3418.1214214903925</v>
      </c>
      <c r="K30" s="8" t="s">
        <v>32</v>
      </c>
      <c r="L30" s="7">
        <f>s_ri!K30*shock_i!$E$8</f>
        <v>-414.27202728852916</v>
      </c>
      <c r="M30" s="7">
        <f>s_ri!L30*shock_i!$E$9</f>
        <v>633867.83148689149</v>
      </c>
      <c r="N30" s="7">
        <f>s_ri!M30*shock_i!$E$10</f>
        <v>0</v>
      </c>
      <c r="O30" s="7">
        <f>s_ri!N30*shock_i!$E$11</f>
        <v>0</v>
      </c>
      <c r="P30" s="7">
        <f>s_ri!O30*shock_i!$E$12</f>
        <v>0.10348485308914447</v>
      </c>
      <c r="Q30" s="7">
        <f>s_ri!P30*shock_i!$E$13</f>
        <v>352.56456955135315</v>
      </c>
      <c r="R30" s="7">
        <f t="shared" si="1"/>
        <v>633.80622751400733</v>
      </c>
    </row>
    <row r="31" spans="1:18" x14ac:dyDescent="0.2">
      <c r="A31" s="8" t="s">
        <v>33</v>
      </c>
      <c r="B31" s="7">
        <f>s_ri!B31*shock_i!$E$2</f>
        <v>11474.229517572654</v>
      </c>
      <c r="C31" s="7">
        <f>s_ri!C31*shock_i!$E$3</f>
        <v>3026627.1988575286</v>
      </c>
      <c r="D31" s="7">
        <f>s_ri!D31*shock_i!$E$4</f>
        <v>0</v>
      </c>
      <c r="E31" s="7">
        <f>s_ri!E31*shock_i!$E$5</f>
        <v>0</v>
      </c>
      <c r="F31" s="7">
        <f>s_ri!F31*shock_i!$E$6</f>
        <v>0.42492091934081078</v>
      </c>
      <c r="G31" s="7">
        <f>s_ri!G31*shock_i!$E$7</f>
        <v>312.75760633200446</v>
      </c>
      <c r="H31" s="7">
        <f t="shared" si="0"/>
        <v>3038.4146109023527</v>
      </c>
      <c r="K31" s="8" t="s">
        <v>33</v>
      </c>
      <c r="L31" s="7">
        <f>s_ri!K31*shock_i!$E$8</f>
        <v>-968.02032658243331</v>
      </c>
      <c r="M31" s="7">
        <f>s_ri!L31*shock_i!$E$9</f>
        <v>501836.49265576439</v>
      </c>
      <c r="N31" s="7">
        <f>s_ri!M31*shock_i!$E$10</f>
        <v>0</v>
      </c>
      <c r="O31" s="7">
        <f>s_ri!N31*shock_i!$E$11</f>
        <v>0</v>
      </c>
      <c r="P31" s="7">
        <f>s_ri!O31*shock_i!$E$12</f>
        <v>9.2330893513067974E-2</v>
      </c>
      <c r="Q31" s="7">
        <f>s_ri!P31*shock_i!$E$13</f>
        <v>395.64207412669367</v>
      </c>
      <c r="R31" s="7">
        <f t="shared" si="1"/>
        <v>501.26420673420216</v>
      </c>
    </row>
    <row r="32" spans="1:18" x14ac:dyDescent="0.2">
      <c r="A32" s="8" t="s">
        <v>34</v>
      </c>
      <c r="B32" s="7">
        <f>s_ri!B32*shock_i!$E$2</f>
        <v>21788.993473358903</v>
      </c>
      <c r="C32" s="7">
        <f>s_ri!C32*shock_i!$E$3</f>
        <v>2424364.1983721987</v>
      </c>
      <c r="D32" s="7">
        <f>s_ri!D32*shock_i!$E$4</f>
        <v>0</v>
      </c>
      <c r="E32" s="7">
        <f>s_ri!E32*shock_i!$E$5</f>
        <v>0</v>
      </c>
      <c r="F32" s="7">
        <f>s_ri!F32*shock_i!$E$6</f>
        <v>0.47165795075137007</v>
      </c>
      <c r="G32" s="7">
        <f>s_ri!G32*shock_i!$E$7</f>
        <v>326.36191855036338</v>
      </c>
      <c r="H32" s="7">
        <f t="shared" si="0"/>
        <v>2446.480025422059</v>
      </c>
      <c r="K32" s="8" t="s">
        <v>34</v>
      </c>
      <c r="L32" s="7">
        <f>s_ri!K32*shock_i!$E$8</f>
        <v>-2634.3231527026246</v>
      </c>
      <c r="M32" s="7">
        <f>s_ri!L32*shock_i!$E$9</f>
        <v>441128.00045762147</v>
      </c>
      <c r="N32" s="7">
        <f>s_ri!M32*shock_i!$E$10</f>
        <v>0</v>
      </c>
      <c r="O32" s="7">
        <f>s_ri!N32*shock_i!$E$11</f>
        <v>0</v>
      </c>
      <c r="P32" s="7">
        <f>s_ri!O32*shock_i!$E$12</f>
        <v>9.9093605454812328E-2</v>
      </c>
      <c r="Q32" s="7">
        <f>s_ri!P32*shock_i!$E$13</f>
        <v>354.60332758350165</v>
      </c>
      <c r="R32" s="7">
        <f t="shared" si="1"/>
        <v>438.84837972610779</v>
      </c>
    </row>
    <row r="33" spans="1:18" x14ac:dyDescent="0.2">
      <c r="A33" s="8" t="s">
        <v>35</v>
      </c>
      <c r="B33" s="7">
        <f>s_ri!B33*shock_i!$E$2</f>
        <v>11409.239848724939</v>
      </c>
      <c r="C33" s="7">
        <f>s_ri!C33*shock_i!$E$3</f>
        <v>3341630.7243898953</v>
      </c>
      <c r="D33" s="7">
        <f>s_ri!D33*shock_i!$E$4</f>
        <v>0</v>
      </c>
      <c r="E33" s="7">
        <f>s_ri!E33*shock_i!$E$5</f>
        <v>0</v>
      </c>
      <c r="F33" s="7">
        <f>s_ri!F33*shock_i!$E$6</f>
        <v>0.47662093118630738</v>
      </c>
      <c r="G33" s="7">
        <f>s_ri!G33*shock_i!$E$7</f>
        <v>287.84246043796259</v>
      </c>
      <c r="H33" s="7">
        <f t="shared" si="0"/>
        <v>3353.3282833199896</v>
      </c>
      <c r="K33" s="8" t="s">
        <v>35</v>
      </c>
      <c r="L33" s="7">
        <f>s_ri!K33*shock_i!$E$8</f>
        <v>-1390.3991266951014</v>
      </c>
      <c r="M33" s="7">
        <f>s_ri!L33*shock_i!$E$9</f>
        <v>566142.80015468551</v>
      </c>
      <c r="N33" s="7">
        <f>s_ri!M33*shock_i!$E$10</f>
        <v>0</v>
      </c>
      <c r="O33" s="7">
        <f>s_ri!N33*shock_i!$E$11</f>
        <v>0</v>
      </c>
      <c r="P33" s="7">
        <f>s_ri!O33*shock_i!$E$12</f>
        <v>0.10860548336944388</v>
      </c>
      <c r="Q33" s="7">
        <f>s_ri!P33*shock_i!$E$13</f>
        <v>370.79728924185343</v>
      </c>
      <c r="R33" s="7">
        <f t="shared" si="1"/>
        <v>565.12330692271553</v>
      </c>
    </row>
    <row r="34" spans="1:18" x14ac:dyDescent="0.2">
      <c r="A34" s="8" t="s">
        <v>36</v>
      </c>
      <c r="B34" s="7">
        <f>s_ri!B34*shock_i!$E$2</f>
        <v>0</v>
      </c>
      <c r="C34" s="7">
        <f>s_ri!C34*shock_i!$E$3</f>
        <v>3099114.7036290732</v>
      </c>
      <c r="D34" s="7">
        <f>s_ri!D34*shock_i!$E$4</f>
        <v>0</v>
      </c>
      <c r="E34" s="7">
        <f>s_ri!E34*shock_i!$E$5</f>
        <v>0</v>
      </c>
      <c r="F34" s="7">
        <f>s_ri!F34*shock_i!$E$6</f>
        <v>0.49305721401999425</v>
      </c>
      <c r="G34" s="7">
        <f>s_ri!G34*shock_i!$E$7</f>
        <v>320.50741551491569</v>
      </c>
      <c r="H34" s="7">
        <f t="shared" si="0"/>
        <v>3099.4357041018025</v>
      </c>
      <c r="K34" s="8" t="s">
        <v>36</v>
      </c>
      <c r="L34" s="7">
        <f>s_ri!K34*shock_i!$E$8</f>
        <v>0</v>
      </c>
      <c r="M34" s="7">
        <f>s_ri!L34*shock_i!$E$9</f>
        <v>586697.96592426754</v>
      </c>
      <c r="N34" s="7">
        <f>s_ri!M34*shock_i!$E$10</f>
        <v>0</v>
      </c>
      <c r="O34" s="7">
        <f>s_ri!N34*shock_i!$E$11</f>
        <v>0</v>
      </c>
      <c r="P34" s="7">
        <f>s_ri!O34*shock_i!$E$12</f>
        <v>0.10541558356533225</v>
      </c>
      <c r="Q34" s="7">
        <f>s_ri!P34*shock_i!$E$13</f>
        <v>369.38061262388112</v>
      </c>
      <c r="R34" s="7">
        <f t="shared" si="1"/>
        <v>587.06745195247504</v>
      </c>
    </row>
    <row r="35" spans="1:18" x14ac:dyDescent="0.2">
      <c r="A35" s="8" t="s">
        <v>37</v>
      </c>
      <c r="B35" s="7">
        <f>s_ri!B35*shock_i!$E$2</f>
        <v>0</v>
      </c>
      <c r="C35" s="7">
        <f>s_ri!C35*shock_i!$E$3</f>
        <v>0</v>
      </c>
      <c r="D35" s="7">
        <f>s_ri!D35*shock_i!$E$4</f>
        <v>0</v>
      </c>
      <c r="E35" s="7">
        <f>s_ri!E35*shock_i!$E$5</f>
        <v>0</v>
      </c>
      <c r="F35" s="7">
        <f>s_ri!F35*shock_i!$E$6</f>
        <v>0</v>
      </c>
      <c r="G35" s="7">
        <f>s_ri!G35*shock_i!$E$7</f>
        <v>0</v>
      </c>
      <c r="H35" s="7">
        <f t="shared" si="0"/>
        <v>0</v>
      </c>
      <c r="K35" s="8" t="s">
        <v>37</v>
      </c>
      <c r="L35" s="7">
        <f>s_ri!K35*shock_i!$E$8</f>
        <v>-1268.5072728335547</v>
      </c>
      <c r="M35" s="7">
        <f>s_ri!L35*shock_i!$E$9</f>
        <v>498546.22682325175</v>
      </c>
      <c r="N35" s="7">
        <f>s_ri!M35*shock_i!$E$10</f>
        <v>0</v>
      </c>
      <c r="O35" s="7">
        <f>s_ri!N35*shock_i!$E$11</f>
        <v>0</v>
      </c>
      <c r="P35" s="7">
        <f>s_ri!O35*shock_i!$E$12</f>
        <v>0.12065578465132727</v>
      </c>
      <c r="Q35" s="7">
        <f>s_ri!P35*shock_i!$E$13</f>
        <v>357.75170454908431</v>
      </c>
      <c r="R35" s="7">
        <f t="shared" si="1"/>
        <v>497.63559191075194</v>
      </c>
    </row>
    <row r="36" spans="1:18" x14ac:dyDescent="0.2">
      <c r="A36" s="8" t="s">
        <v>38</v>
      </c>
      <c r="B36" s="7">
        <f>s_ri!B36*shock_i!$E$2</f>
        <v>0</v>
      </c>
      <c r="C36" s="7">
        <f>s_ri!C36*shock_i!$E$3</f>
        <v>0</v>
      </c>
      <c r="D36" s="7">
        <f>s_ri!D36*shock_i!$E$4</f>
        <v>0</v>
      </c>
      <c r="E36" s="7">
        <f>s_ri!E36*shock_i!$E$5</f>
        <v>0</v>
      </c>
      <c r="F36" s="7">
        <f>s_ri!F36*shock_i!$E$6</f>
        <v>0</v>
      </c>
      <c r="G36" s="7">
        <f>s_ri!G36*shock_i!$E$7</f>
        <v>0</v>
      </c>
      <c r="H36" s="7">
        <f t="shared" si="0"/>
        <v>0</v>
      </c>
      <c r="K36" s="8" t="s">
        <v>38</v>
      </c>
      <c r="L36" s="7">
        <f>s_ri!K36*shock_i!$E$8</f>
        <v>-1303.1942151214485</v>
      </c>
      <c r="M36" s="7">
        <f>s_ri!L36*shock_i!$E$9</f>
        <v>610202.20440837392</v>
      </c>
      <c r="N36" s="7">
        <f>s_ri!M36*shock_i!$E$10</f>
        <v>0</v>
      </c>
      <c r="O36" s="7">
        <f>s_ri!N36*shock_i!$E$11</f>
        <v>0</v>
      </c>
      <c r="P36" s="7">
        <f>s_ri!O36*shock_i!$E$12</f>
        <v>9.6676189663748427E-2</v>
      </c>
      <c r="Q36" s="7">
        <f>s_ri!P36*shock_i!$E$13</f>
        <v>312.20916575716825</v>
      </c>
      <c r="R36" s="7">
        <f t="shared" si="1"/>
        <v>609.21131603519927</v>
      </c>
    </row>
    <row r="37" spans="1:18" x14ac:dyDescent="0.2">
      <c r="A37" s="8" t="s">
        <v>39</v>
      </c>
      <c r="B37" s="7">
        <f>s_ri!B37*shock_i!$E$2</f>
        <v>0</v>
      </c>
      <c r="C37" s="7">
        <f>s_ri!C37*shock_i!$E$3</f>
        <v>0</v>
      </c>
      <c r="D37" s="7">
        <f>s_ri!D37*shock_i!$E$4</f>
        <v>0</v>
      </c>
      <c r="E37" s="7">
        <f>s_ri!E37*shock_i!$E$5</f>
        <v>0</v>
      </c>
      <c r="F37" s="7">
        <f>s_ri!F37*shock_i!$E$6</f>
        <v>0</v>
      </c>
      <c r="G37" s="7">
        <f>s_ri!G37*shock_i!$E$7</f>
        <v>0</v>
      </c>
      <c r="H37" s="7">
        <f t="shared" si="0"/>
        <v>0</v>
      </c>
      <c r="K37" s="8" t="s">
        <v>39</v>
      </c>
      <c r="L37" s="7">
        <f>s_ri!K37*shock_i!$E$8</f>
        <v>-1278.3652700063531</v>
      </c>
      <c r="M37" s="7">
        <f>s_ri!L37*shock_i!$E$9</f>
        <v>346783.04115995968</v>
      </c>
      <c r="N37" s="7">
        <f>s_ri!M37*shock_i!$E$10</f>
        <v>0</v>
      </c>
      <c r="O37" s="7">
        <f>s_ri!N37*shock_i!$E$11</f>
        <v>0</v>
      </c>
      <c r="P37" s="7">
        <f>s_ri!O37*shock_i!$E$12</f>
        <v>0.13813054291775262</v>
      </c>
      <c r="Q37" s="7">
        <f>s_ri!P37*shock_i!$E$13</f>
        <v>355.53756589842141</v>
      </c>
      <c r="R37" s="7">
        <f t="shared" si="1"/>
        <v>345.8603515863947</v>
      </c>
    </row>
    <row r="38" spans="1:18" x14ac:dyDescent="0.2">
      <c r="A38" s="8" t="s">
        <v>40</v>
      </c>
      <c r="B38" s="7">
        <f>s_ri!B38*shock_i!$E$2</f>
        <v>22195.21004743662</v>
      </c>
      <c r="C38" s="7">
        <f>s_ri!C38*shock_i!$E$3</f>
        <v>1809829.9975846137</v>
      </c>
      <c r="D38" s="7">
        <f>s_ri!D38*shock_i!$E$4</f>
        <v>0</v>
      </c>
      <c r="E38" s="7">
        <f>s_ri!E38*shock_i!$E$5</f>
        <v>0</v>
      </c>
      <c r="F38" s="7">
        <f>s_ri!F38*shock_i!$E$6</f>
        <v>0.34867385010065322</v>
      </c>
      <c r="G38" s="7">
        <f>s_ri!G38*shock_i!$E$7</f>
        <v>339.35287940453486</v>
      </c>
      <c r="H38" s="7">
        <f t="shared" si="0"/>
        <v>1832.3649091853049</v>
      </c>
      <c r="K38" s="8" t="s">
        <v>40</v>
      </c>
      <c r="L38" s="7">
        <f>s_ri!K38*shock_i!$E$8</f>
        <v>-1667.5988898967671</v>
      </c>
      <c r="M38" s="7">
        <f>s_ri!L38*shock_i!$E$9</f>
        <v>436731.78108395141</v>
      </c>
      <c r="N38" s="7">
        <f>s_ri!M38*shock_i!$E$10</f>
        <v>0</v>
      </c>
      <c r="O38" s="7">
        <f>s_ri!N38*shock_i!$E$11</f>
        <v>0</v>
      </c>
      <c r="P38" s="7">
        <f>s_ri!O38*shock_i!$E$12</f>
        <v>0.114976481671252</v>
      </c>
      <c r="Q38" s="7">
        <f>s_ri!P38*shock_i!$E$13</f>
        <v>358.99688458387834</v>
      </c>
      <c r="R38" s="7">
        <f t="shared" si="1"/>
        <v>435.42329405512021</v>
      </c>
    </row>
    <row r="39" spans="1:18" x14ac:dyDescent="0.2">
      <c r="A39" s="8" t="s">
        <v>41</v>
      </c>
      <c r="B39" s="7">
        <f>s_ri!B39*shock_i!$E$2</f>
        <v>16982.006880627712</v>
      </c>
      <c r="C39" s="7">
        <f>s_ri!C39*shock_i!$E$3</f>
        <v>1905969.9184942015</v>
      </c>
      <c r="D39" s="7">
        <f>s_ri!D39*shock_i!$E$4</f>
        <v>0</v>
      </c>
      <c r="E39" s="7">
        <f>s_ri!E39*shock_i!$E$5</f>
        <v>0</v>
      </c>
      <c r="F39" s="7">
        <f>s_ri!F39*shock_i!$E$6</f>
        <v>0.55620207847721503</v>
      </c>
      <c r="G39" s="7">
        <f>s_ri!G39*shock_i!$E$7</f>
        <v>341.59630918188878</v>
      </c>
      <c r="H39" s="7">
        <f t="shared" si="0"/>
        <v>1923.2940778860898</v>
      </c>
      <c r="K39" s="8" t="s">
        <v>41</v>
      </c>
      <c r="L39" s="7">
        <f>s_ri!K39*shock_i!$E$8</f>
        <v>-1972.9768592199134</v>
      </c>
      <c r="M39" s="7">
        <f>s_ri!L39*shock_i!$E$9</f>
        <v>356562.40092809376</v>
      </c>
      <c r="N39" s="7">
        <f>s_ri!M39*shock_i!$E$10</f>
        <v>0</v>
      </c>
      <c r="O39" s="7">
        <f>s_ri!N39*shock_i!$E$11</f>
        <v>0</v>
      </c>
      <c r="P39" s="7">
        <f>s_ri!O39*shock_i!$E$12</f>
        <v>0.12723501269008081</v>
      </c>
      <c r="Q39" s="7">
        <f>s_ri!P39*shock_i!$E$13</f>
        <v>386.91570028683481</v>
      </c>
      <c r="R39" s="7">
        <f t="shared" si="1"/>
        <v>354.97646700417346</v>
      </c>
    </row>
    <row r="40" spans="1:18" x14ac:dyDescent="0.2">
      <c r="A40" s="8" t="s">
        <v>42</v>
      </c>
      <c r="B40" s="7">
        <f>s_ri!B40*shock_i!$E$2</f>
        <v>19900.752813094718</v>
      </c>
      <c r="C40" s="7">
        <f>s_ri!C40*shock_i!$E$3</f>
        <v>2158406.0891088992</v>
      </c>
      <c r="D40" s="7">
        <f>s_ri!D40*shock_i!$E$4</f>
        <v>0</v>
      </c>
      <c r="E40" s="7">
        <f>s_ri!E40*shock_i!$E$5</f>
        <v>0</v>
      </c>
      <c r="F40" s="7">
        <f>s_ri!F40*shock_i!$E$6</f>
        <v>0.29145250324489241</v>
      </c>
      <c r="G40" s="7">
        <f>s_ri!G40*shock_i!$E$7</f>
        <v>369.89044814699895</v>
      </c>
      <c r="H40" s="7">
        <f t="shared" ref="H40" si="2">SUM(B40:G40)/1000</f>
        <v>2178.6770238226441</v>
      </c>
      <c r="K40" s="8" t="s">
        <v>42</v>
      </c>
      <c r="L40" s="7">
        <f>s_ri!K40*shock_i!$E$8</f>
        <v>-1838.1727811997871</v>
      </c>
      <c r="M40" s="7">
        <f>s_ri!L40*shock_i!$E$9</f>
        <v>569680.31182284537</v>
      </c>
      <c r="N40" s="7">
        <f>s_ri!M40*shock_i!$E$10</f>
        <v>0</v>
      </c>
      <c r="O40" s="7">
        <f>s_ri!N40*shock_i!$E$11</f>
        <v>0</v>
      </c>
      <c r="P40" s="7">
        <f>s_ri!O40*shock_i!$E$12</f>
        <v>0.10083882022821004</v>
      </c>
      <c r="Q40" s="7">
        <f>s_ri!P40*shock_i!$E$13</f>
        <v>348.93468762037787</v>
      </c>
      <c r="R40" s="7">
        <f t="shared" si="1"/>
        <v>568.19117456808613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0F66-4621-A348-B0D7-FA2D9361DAF6}">
  <dimension ref="A1:W40"/>
  <sheetViews>
    <sheetView workbookViewId="0">
      <selection activeCell="H37" sqref="H37"/>
    </sheetView>
  </sheetViews>
  <sheetFormatPr baseColWidth="10" defaultRowHeight="16" x14ac:dyDescent="0.2"/>
  <cols>
    <col min="3" max="3" width="17.5" style="5" bestFit="1" customWidth="1"/>
    <col min="5" max="6" width="10.83203125" style="1"/>
    <col min="7" max="7" width="15.6640625" style="5" bestFit="1" customWidth="1"/>
    <col min="8" max="10" width="10.83203125" style="1"/>
    <col min="11" max="11" width="17.83203125" style="5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5.6640625" style="1" bestFit="1" customWidth="1"/>
  </cols>
  <sheetData>
    <row r="1" spans="1:23" s="13" customFormat="1" x14ac:dyDescent="0.2">
      <c r="A1" s="20" t="s">
        <v>58</v>
      </c>
      <c r="B1" s="20"/>
      <c r="C1" s="20"/>
      <c r="E1" s="20" t="s">
        <v>59</v>
      </c>
      <c r="F1" s="20"/>
      <c r="G1" s="20"/>
      <c r="H1" s="18"/>
      <c r="I1" s="20" t="s">
        <v>60</v>
      </c>
      <c r="J1" s="20"/>
      <c r="K1" s="20"/>
      <c r="L1" s="18"/>
      <c r="M1" s="20" t="s">
        <v>61</v>
      </c>
      <c r="N1" s="20"/>
      <c r="O1" s="20"/>
      <c r="P1" s="18"/>
      <c r="Q1" s="20" t="s">
        <v>62</v>
      </c>
      <c r="R1" s="20"/>
      <c r="S1" s="20"/>
      <c r="T1" s="18"/>
      <c r="U1" s="20" t="s">
        <v>63</v>
      </c>
      <c r="V1" s="20"/>
      <c r="W1" s="20"/>
    </row>
    <row r="2" spans="1:23" s="13" customFormat="1" x14ac:dyDescent="0.2">
      <c r="A2" s="14" t="s">
        <v>1</v>
      </c>
      <c r="B2" s="14" t="s">
        <v>2</v>
      </c>
      <c r="C2" s="11" t="s">
        <v>48</v>
      </c>
      <c r="E2" s="8" t="s">
        <v>1</v>
      </c>
      <c r="F2" s="8" t="s">
        <v>2</v>
      </c>
      <c r="G2" s="11" t="s">
        <v>48</v>
      </c>
      <c r="H2" s="12"/>
      <c r="I2" s="8" t="s">
        <v>1</v>
      </c>
      <c r="J2" s="8" t="s">
        <v>2</v>
      </c>
      <c r="K2" s="11" t="s">
        <v>48</v>
      </c>
      <c r="L2" s="12"/>
      <c r="M2" s="8" t="s">
        <v>1</v>
      </c>
      <c r="N2" s="8" t="s">
        <v>2</v>
      </c>
      <c r="O2" s="9" t="s">
        <v>48</v>
      </c>
      <c r="P2" s="12"/>
      <c r="Q2" s="8" t="s">
        <v>1</v>
      </c>
      <c r="R2" s="8" t="s">
        <v>2</v>
      </c>
      <c r="S2" s="8" t="s">
        <v>48</v>
      </c>
      <c r="T2" s="12"/>
      <c r="U2" s="8" t="s">
        <v>1</v>
      </c>
      <c r="V2" s="8" t="s">
        <v>2</v>
      </c>
      <c r="W2" s="9" t="s">
        <v>48</v>
      </c>
    </row>
    <row r="3" spans="1:23" x14ac:dyDescent="0.2">
      <c r="A3" s="16">
        <v>1999</v>
      </c>
      <c r="B3" s="16" t="s">
        <v>5</v>
      </c>
      <c r="C3" s="10">
        <v>31366299</v>
      </c>
      <c r="E3" s="6">
        <v>1999</v>
      </c>
      <c r="F3" s="6" t="s">
        <v>5</v>
      </c>
      <c r="G3" s="10">
        <v>1907415</v>
      </c>
      <c r="I3" s="6">
        <v>1999</v>
      </c>
      <c r="J3" s="6" t="s">
        <v>5</v>
      </c>
      <c r="K3" s="10">
        <v>1643501884</v>
      </c>
      <c r="M3" s="6">
        <v>1999</v>
      </c>
      <c r="N3" s="6" t="s">
        <v>5</v>
      </c>
      <c r="O3" s="10">
        <v>1125099</v>
      </c>
      <c r="Q3" s="6">
        <v>1999</v>
      </c>
      <c r="R3" s="6" t="s">
        <v>5</v>
      </c>
      <c r="S3" s="10">
        <v>8132064</v>
      </c>
      <c r="U3" s="6">
        <v>1999</v>
      </c>
      <c r="V3" s="6" t="s">
        <v>5</v>
      </c>
      <c r="W3" s="10">
        <v>1414721</v>
      </c>
    </row>
    <row r="4" spans="1:23" x14ac:dyDescent="0.2">
      <c r="A4" s="16">
        <v>1999</v>
      </c>
      <c r="B4" s="16" t="s">
        <v>43</v>
      </c>
      <c r="C4" s="10">
        <v>4170822649</v>
      </c>
      <c r="E4" s="6">
        <v>1999</v>
      </c>
      <c r="F4" s="6" t="s">
        <v>43</v>
      </c>
      <c r="G4" s="10">
        <v>723830435</v>
      </c>
      <c r="I4" s="6">
        <v>1999</v>
      </c>
      <c r="J4" s="6" t="s">
        <v>43</v>
      </c>
      <c r="K4" s="10">
        <v>40528188750</v>
      </c>
      <c r="M4" s="6">
        <v>1999</v>
      </c>
      <c r="N4" s="6" t="s">
        <v>43</v>
      </c>
      <c r="O4" s="10">
        <v>920711827</v>
      </c>
      <c r="Q4" s="6">
        <v>1999</v>
      </c>
      <c r="R4" s="6" t="s">
        <v>43</v>
      </c>
      <c r="S4" s="10">
        <v>745304253</v>
      </c>
      <c r="U4" s="6">
        <v>1999</v>
      </c>
      <c r="V4" s="6" t="s">
        <v>43</v>
      </c>
      <c r="W4" s="10">
        <v>757645750</v>
      </c>
    </row>
    <row r="5" spans="1:23" x14ac:dyDescent="0.2">
      <c r="A5" s="16">
        <v>1999</v>
      </c>
      <c r="B5" s="16" t="s">
        <v>44</v>
      </c>
      <c r="C5" s="10">
        <v>0</v>
      </c>
      <c r="E5" s="6">
        <v>1999</v>
      </c>
      <c r="F5" s="6" t="s">
        <v>44</v>
      </c>
      <c r="G5" s="10">
        <v>0</v>
      </c>
      <c r="I5" s="6">
        <v>1999</v>
      </c>
      <c r="J5" s="6" t="s">
        <v>44</v>
      </c>
      <c r="K5" s="10">
        <v>0</v>
      </c>
      <c r="M5" s="6">
        <v>1999</v>
      </c>
      <c r="N5" s="6" t="s">
        <v>44</v>
      </c>
      <c r="O5" s="10">
        <v>0</v>
      </c>
      <c r="Q5" s="6">
        <v>1999</v>
      </c>
      <c r="R5" s="6" t="s">
        <v>44</v>
      </c>
      <c r="S5" s="10">
        <v>0</v>
      </c>
      <c r="U5" s="6">
        <v>1999</v>
      </c>
      <c r="V5" s="6" t="s">
        <v>44</v>
      </c>
      <c r="W5" s="10">
        <v>0</v>
      </c>
    </row>
    <row r="6" spans="1:23" x14ac:dyDescent="0.2">
      <c r="A6" s="16">
        <v>1999</v>
      </c>
      <c r="B6" s="16" t="s">
        <v>45</v>
      </c>
      <c r="C6" s="10">
        <v>0</v>
      </c>
      <c r="E6" s="6">
        <v>1999</v>
      </c>
      <c r="F6" s="6" t="s">
        <v>45</v>
      </c>
      <c r="G6" s="10">
        <v>0</v>
      </c>
      <c r="I6" s="6">
        <v>1999</v>
      </c>
      <c r="J6" s="6" t="s">
        <v>45</v>
      </c>
      <c r="K6" s="10">
        <v>0</v>
      </c>
      <c r="M6" s="6">
        <v>1999</v>
      </c>
      <c r="N6" s="6" t="s">
        <v>45</v>
      </c>
      <c r="O6" s="10">
        <v>0</v>
      </c>
      <c r="Q6" s="6">
        <v>1999</v>
      </c>
      <c r="R6" s="6" t="s">
        <v>45</v>
      </c>
      <c r="S6" s="10">
        <v>0</v>
      </c>
      <c r="U6" s="6">
        <v>1999</v>
      </c>
      <c r="V6" s="6" t="s">
        <v>45</v>
      </c>
      <c r="W6" s="10">
        <v>0</v>
      </c>
    </row>
    <row r="7" spans="1:23" x14ac:dyDescent="0.2">
      <c r="A7" s="16">
        <v>1999</v>
      </c>
      <c r="B7" s="16" t="s">
        <v>46</v>
      </c>
      <c r="C7" s="10">
        <v>8063</v>
      </c>
      <c r="E7" s="6">
        <v>1999</v>
      </c>
      <c r="F7" s="6" t="s">
        <v>46</v>
      </c>
      <c r="G7" s="10">
        <v>0</v>
      </c>
      <c r="I7" s="6">
        <v>1999</v>
      </c>
      <c r="J7" s="6" t="s">
        <v>46</v>
      </c>
      <c r="K7" s="10">
        <v>399015</v>
      </c>
      <c r="M7" s="6">
        <v>1999</v>
      </c>
      <c r="N7" s="6" t="s">
        <v>46</v>
      </c>
      <c r="O7" s="10">
        <v>4382</v>
      </c>
      <c r="Q7" s="6">
        <v>1999</v>
      </c>
      <c r="R7" s="6" t="s">
        <v>46</v>
      </c>
      <c r="S7" s="10">
        <v>0</v>
      </c>
      <c r="U7" s="6">
        <v>1999</v>
      </c>
      <c r="V7" s="6" t="s">
        <v>46</v>
      </c>
      <c r="W7" s="10">
        <v>1451</v>
      </c>
    </row>
    <row r="8" spans="1:23" x14ac:dyDescent="0.2">
      <c r="A8" s="16">
        <v>1999</v>
      </c>
      <c r="B8" s="16" t="s">
        <v>47</v>
      </c>
      <c r="C8" s="10">
        <v>8515219</v>
      </c>
      <c r="E8" s="6">
        <v>1999</v>
      </c>
      <c r="F8" s="6" t="s">
        <v>47</v>
      </c>
      <c r="G8" s="10">
        <v>116194</v>
      </c>
      <c r="I8" s="6">
        <v>1999</v>
      </c>
      <c r="J8" s="6" t="s">
        <v>47</v>
      </c>
      <c r="K8" s="10">
        <v>26277368</v>
      </c>
      <c r="M8" s="6">
        <v>1999</v>
      </c>
      <c r="N8" s="6" t="s">
        <v>47</v>
      </c>
      <c r="O8" s="10">
        <v>195790</v>
      </c>
      <c r="Q8" s="6">
        <v>1999</v>
      </c>
      <c r="R8" s="6" t="s">
        <v>47</v>
      </c>
      <c r="S8" s="10">
        <v>422934</v>
      </c>
      <c r="U8" s="6">
        <v>1999</v>
      </c>
      <c r="V8" s="6" t="s">
        <v>47</v>
      </c>
      <c r="W8" s="10">
        <v>170444</v>
      </c>
    </row>
    <row r="9" spans="1:23" x14ac:dyDescent="0.2">
      <c r="A9" s="16">
        <v>2011</v>
      </c>
      <c r="B9" s="16" t="s">
        <v>5</v>
      </c>
      <c r="C9" s="10">
        <v>126210268</v>
      </c>
      <c r="E9" s="6">
        <v>2011</v>
      </c>
      <c r="F9" s="6" t="s">
        <v>5</v>
      </c>
      <c r="G9" s="10">
        <v>2661830</v>
      </c>
      <c r="I9" s="6">
        <v>2011</v>
      </c>
      <c r="J9" s="6" t="s">
        <v>5</v>
      </c>
      <c r="K9" s="10">
        <v>1871215480</v>
      </c>
      <c r="M9" s="6">
        <v>2011</v>
      </c>
      <c r="N9" s="6" t="s">
        <v>5</v>
      </c>
      <c r="O9" s="10">
        <v>14453257</v>
      </c>
      <c r="Q9" s="19">
        <v>2011</v>
      </c>
      <c r="R9" s="19" t="s">
        <v>5</v>
      </c>
      <c r="S9" s="10">
        <v>23104718.137999993</v>
      </c>
      <c r="U9" s="6">
        <v>2011</v>
      </c>
      <c r="V9" s="6" t="s">
        <v>5</v>
      </c>
      <c r="W9" s="10">
        <v>10454215</v>
      </c>
    </row>
    <row r="10" spans="1:23" x14ac:dyDescent="0.2">
      <c r="A10" s="16">
        <v>2011</v>
      </c>
      <c r="B10" s="16" t="s">
        <v>43</v>
      </c>
      <c r="C10" s="10">
        <v>42571628341</v>
      </c>
      <c r="E10" s="6">
        <v>2011</v>
      </c>
      <c r="F10" s="6" t="s">
        <v>43</v>
      </c>
      <c r="G10" s="10">
        <v>3030544423</v>
      </c>
      <c r="I10" s="6">
        <v>2011</v>
      </c>
      <c r="J10" s="6" t="s">
        <v>43</v>
      </c>
      <c r="K10" s="10">
        <v>178004922182</v>
      </c>
      <c r="M10" s="6">
        <v>2011</v>
      </c>
      <c r="N10" s="6" t="s">
        <v>43</v>
      </c>
      <c r="O10" s="10">
        <v>8239528662</v>
      </c>
      <c r="Q10" s="19">
        <v>2011</v>
      </c>
      <c r="R10" s="19" t="s">
        <v>43</v>
      </c>
      <c r="S10" s="10">
        <v>5835469332.3119993</v>
      </c>
      <c r="U10" s="6">
        <v>2011</v>
      </c>
      <c r="V10" s="6" t="s">
        <v>43</v>
      </c>
      <c r="W10" s="10">
        <v>6831335381</v>
      </c>
    </row>
    <row r="11" spans="1:23" x14ac:dyDescent="0.2">
      <c r="A11" s="16">
        <v>2011</v>
      </c>
      <c r="B11" s="16" t="s">
        <v>44</v>
      </c>
      <c r="C11" s="10">
        <v>0</v>
      </c>
      <c r="E11" s="6">
        <v>2011</v>
      </c>
      <c r="F11" s="6" t="s">
        <v>44</v>
      </c>
      <c r="G11" s="10">
        <v>0</v>
      </c>
      <c r="I11" s="6">
        <v>2011</v>
      </c>
      <c r="J11" s="6" t="s">
        <v>44</v>
      </c>
      <c r="K11" s="10">
        <v>0</v>
      </c>
      <c r="M11" s="6">
        <v>2011</v>
      </c>
      <c r="N11" s="6" t="s">
        <v>44</v>
      </c>
      <c r="O11" s="10">
        <v>0</v>
      </c>
      <c r="Q11" s="19">
        <v>2011</v>
      </c>
      <c r="R11" s="19" t="s">
        <v>44</v>
      </c>
      <c r="S11" s="10">
        <v>0</v>
      </c>
      <c r="U11" s="6">
        <v>2011</v>
      </c>
      <c r="V11" s="6" t="s">
        <v>44</v>
      </c>
      <c r="W11" s="10">
        <v>0</v>
      </c>
    </row>
    <row r="12" spans="1:23" x14ac:dyDescent="0.2">
      <c r="A12" s="16">
        <v>2011</v>
      </c>
      <c r="B12" s="16" t="s">
        <v>45</v>
      </c>
      <c r="C12" s="10">
        <v>0</v>
      </c>
      <c r="E12" s="6">
        <v>2011</v>
      </c>
      <c r="F12" s="6" t="s">
        <v>45</v>
      </c>
      <c r="G12" s="10">
        <v>0</v>
      </c>
      <c r="I12" s="6">
        <v>2011</v>
      </c>
      <c r="J12" s="6" t="s">
        <v>45</v>
      </c>
      <c r="K12" s="10">
        <v>0</v>
      </c>
      <c r="M12" s="6">
        <v>2011</v>
      </c>
      <c r="N12" s="6" t="s">
        <v>45</v>
      </c>
      <c r="O12" s="10">
        <v>0</v>
      </c>
      <c r="Q12" s="19">
        <v>2011</v>
      </c>
      <c r="R12" s="19" t="s">
        <v>45</v>
      </c>
      <c r="S12" s="10">
        <v>0</v>
      </c>
      <c r="U12" s="6">
        <v>2011</v>
      </c>
      <c r="V12" s="6" t="s">
        <v>45</v>
      </c>
      <c r="W12" s="10">
        <v>0</v>
      </c>
    </row>
    <row r="13" spans="1:23" x14ac:dyDescent="0.2">
      <c r="A13" s="16">
        <v>2011</v>
      </c>
      <c r="B13" s="16" t="s">
        <v>46</v>
      </c>
      <c r="C13" s="10">
        <v>12361</v>
      </c>
      <c r="E13" s="6">
        <v>2011</v>
      </c>
      <c r="F13" s="6" t="s">
        <v>46</v>
      </c>
      <c r="G13" s="10">
        <v>2351</v>
      </c>
      <c r="I13" s="6">
        <v>2011</v>
      </c>
      <c r="J13" s="6" t="s">
        <v>46</v>
      </c>
      <c r="K13" s="10">
        <v>761578</v>
      </c>
      <c r="M13" s="6">
        <v>2011</v>
      </c>
      <c r="N13" s="6" t="s">
        <v>46</v>
      </c>
      <c r="O13" s="10">
        <v>2049</v>
      </c>
      <c r="Q13" s="19">
        <v>2011</v>
      </c>
      <c r="R13" s="19" t="s">
        <v>46</v>
      </c>
      <c r="S13" s="10">
        <v>119105.481</v>
      </c>
      <c r="U13" s="6">
        <v>2011</v>
      </c>
      <c r="V13" s="6" t="s">
        <v>46</v>
      </c>
      <c r="W13" s="10">
        <v>1541</v>
      </c>
    </row>
    <row r="14" spans="1:23" x14ac:dyDescent="0.2">
      <c r="A14" s="16">
        <v>2011</v>
      </c>
      <c r="B14" s="16" t="s">
        <v>47</v>
      </c>
      <c r="C14" s="10">
        <v>8175074</v>
      </c>
      <c r="E14" s="6">
        <v>2011</v>
      </c>
      <c r="F14" s="6" t="s">
        <v>47</v>
      </c>
      <c r="G14" s="10">
        <v>175153</v>
      </c>
      <c r="I14" s="6">
        <v>2011</v>
      </c>
      <c r="J14" s="6" t="s">
        <v>47</v>
      </c>
      <c r="K14" s="10">
        <v>13813507</v>
      </c>
      <c r="M14" s="6">
        <v>2011</v>
      </c>
      <c r="N14" s="6" t="s">
        <v>47</v>
      </c>
      <c r="O14" s="10">
        <v>1991261</v>
      </c>
      <c r="Q14" s="19">
        <v>2011</v>
      </c>
      <c r="R14" s="19" t="s">
        <v>47</v>
      </c>
      <c r="S14" s="10">
        <v>840021.29500000004</v>
      </c>
      <c r="U14" s="6">
        <v>2011</v>
      </c>
      <c r="V14" s="6" t="s">
        <v>47</v>
      </c>
      <c r="W14" s="10">
        <v>1374256</v>
      </c>
    </row>
    <row r="15" spans="1:23" x14ac:dyDescent="0.2">
      <c r="A15" s="16">
        <v>2012</v>
      </c>
      <c r="B15" s="16" t="s">
        <v>5</v>
      </c>
      <c r="C15" s="10">
        <v>113128043</v>
      </c>
      <c r="E15" s="6">
        <v>2012</v>
      </c>
      <c r="F15" s="6" t="s">
        <v>5</v>
      </c>
      <c r="G15" s="10">
        <v>7005283</v>
      </c>
      <c r="I15" s="6">
        <v>2012</v>
      </c>
      <c r="J15" s="6" t="s">
        <v>5</v>
      </c>
      <c r="K15" s="10">
        <v>1945974614</v>
      </c>
      <c r="M15" s="6">
        <v>2012</v>
      </c>
      <c r="N15" s="6" t="s">
        <v>5</v>
      </c>
      <c r="O15" s="10">
        <v>13598740</v>
      </c>
      <c r="Q15" s="6">
        <v>2012</v>
      </c>
      <c r="R15" s="6" t="s">
        <v>5</v>
      </c>
      <c r="S15" s="10">
        <v>21088671.141000003</v>
      </c>
      <c r="U15" s="6">
        <v>2012</v>
      </c>
      <c r="V15" s="6" t="s">
        <v>5</v>
      </c>
      <c r="W15" s="10">
        <v>11961046.121999998</v>
      </c>
    </row>
    <row r="16" spans="1:23" x14ac:dyDescent="0.2">
      <c r="A16" s="16">
        <v>2012</v>
      </c>
      <c r="B16" s="16" t="s">
        <v>43</v>
      </c>
      <c r="C16" s="10">
        <v>44967001411</v>
      </c>
      <c r="E16" s="6">
        <v>2012</v>
      </c>
      <c r="F16" s="6" t="s">
        <v>43</v>
      </c>
      <c r="G16" s="10">
        <v>5857707478</v>
      </c>
      <c r="I16" s="6">
        <v>2012</v>
      </c>
      <c r="J16" s="6" t="s">
        <v>43</v>
      </c>
      <c r="K16" s="10">
        <v>183922027798</v>
      </c>
      <c r="M16" s="6">
        <v>2012</v>
      </c>
      <c r="N16" s="6" t="s">
        <v>43</v>
      </c>
      <c r="O16" s="10">
        <v>8057037744</v>
      </c>
      <c r="Q16" s="6">
        <v>2012</v>
      </c>
      <c r="R16" s="6" t="s">
        <v>43</v>
      </c>
      <c r="S16" s="10">
        <v>6182092763.4729986</v>
      </c>
      <c r="U16" s="6">
        <v>2012</v>
      </c>
      <c r="V16" s="6" t="s">
        <v>43</v>
      </c>
      <c r="W16" s="10">
        <v>8033880963.5719976</v>
      </c>
    </row>
    <row r="17" spans="1:23" x14ac:dyDescent="0.2">
      <c r="A17" s="16">
        <v>2012</v>
      </c>
      <c r="B17" s="16" t="s">
        <v>44</v>
      </c>
      <c r="C17" s="10">
        <v>0</v>
      </c>
      <c r="E17" s="6">
        <v>2012</v>
      </c>
      <c r="F17" s="6" t="s">
        <v>44</v>
      </c>
      <c r="G17" s="10">
        <v>0</v>
      </c>
      <c r="I17" s="6">
        <v>2012</v>
      </c>
      <c r="J17" s="6" t="s">
        <v>44</v>
      </c>
      <c r="K17" s="10">
        <v>0</v>
      </c>
      <c r="M17" s="6">
        <v>2012</v>
      </c>
      <c r="N17" s="6" t="s">
        <v>44</v>
      </c>
      <c r="O17" s="10">
        <v>0</v>
      </c>
      <c r="Q17" s="6">
        <v>2012</v>
      </c>
      <c r="R17" s="6" t="s">
        <v>44</v>
      </c>
      <c r="S17" s="10">
        <v>0</v>
      </c>
      <c r="U17" s="6">
        <v>2012</v>
      </c>
      <c r="V17" s="6" t="s">
        <v>44</v>
      </c>
      <c r="W17" s="10">
        <v>0</v>
      </c>
    </row>
    <row r="18" spans="1:23" x14ac:dyDescent="0.2">
      <c r="A18" s="16">
        <v>2012</v>
      </c>
      <c r="B18" s="16" t="s">
        <v>45</v>
      </c>
      <c r="C18" s="10">
        <v>0</v>
      </c>
      <c r="E18" s="6">
        <v>2012</v>
      </c>
      <c r="F18" s="6" t="s">
        <v>45</v>
      </c>
      <c r="G18" s="10">
        <v>0</v>
      </c>
      <c r="I18" s="6">
        <v>2012</v>
      </c>
      <c r="J18" s="6" t="s">
        <v>45</v>
      </c>
      <c r="K18" s="10">
        <v>0</v>
      </c>
      <c r="M18" s="6">
        <v>2012</v>
      </c>
      <c r="N18" s="6" t="s">
        <v>45</v>
      </c>
      <c r="O18" s="10">
        <v>0</v>
      </c>
      <c r="Q18" s="6">
        <v>2012</v>
      </c>
      <c r="R18" s="6" t="s">
        <v>45</v>
      </c>
      <c r="S18" s="10">
        <v>0</v>
      </c>
      <c r="U18" s="6">
        <v>2012</v>
      </c>
      <c r="V18" s="6" t="s">
        <v>45</v>
      </c>
      <c r="W18" s="10">
        <v>0</v>
      </c>
    </row>
    <row r="19" spans="1:23" x14ac:dyDescent="0.2">
      <c r="A19" s="16">
        <v>2012</v>
      </c>
      <c r="B19" s="16" t="s">
        <v>46</v>
      </c>
      <c r="C19" s="10">
        <v>22409</v>
      </c>
      <c r="E19" s="6">
        <v>2012</v>
      </c>
      <c r="F19" s="6" t="s">
        <v>46</v>
      </c>
      <c r="G19" s="10">
        <v>316</v>
      </c>
      <c r="I19" s="6">
        <v>2012</v>
      </c>
      <c r="J19" s="6" t="s">
        <v>46</v>
      </c>
      <c r="K19" s="10">
        <v>656483</v>
      </c>
      <c r="M19" s="6">
        <v>2012</v>
      </c>
      <c r="N19" s="6" t="s">
        <v>46</v>
      </c>
      <c r="O19" s="10">
        <v>37350</v>
      </c>
      <c r="Q19" s="6">
        <v>2012</v>
      </c>
      <c r="R19" s="6" t="s">
        <v>46</v>
      </c>
      <c r="S19" s="10">
        <v>113827.758</v>
      </c>
      <c r="U19" s="6">
        <v>2012</v>
      </c>
      <c r="V19" s="6" t="s">
        <v>46</v>
      </c>
      <c r="W19" s="10">
        <v>14028.040999999999</v>
      </c>
    </row>
    <row r="20" spans="1:23" x14ac:dyDescent="0.2">
      <c r="A20" s="16">
        <v>2012</v>
      </c>
      <c r="B20" s="16" t="s">
        <v>47</v>
      </c>
      <c r="C20" s="10">
        <v>5420936</v>
      </c>
      <c r="E20" s="6">
        <v>2012</v>
      </c>
      <c r="F20" s="6" t="s">
        <v>47</v>
      </c>
      <c r="G20" s="10">
        <v>177835</v>
      </c>
      <c r="I20" s="6">
        <v>2012</v>
      </c>
      <c r="J20" s="6" t="s">
        <v>47</v>
      </c>
      <c r="K20" s="10">
        <v>3975949</v>
      </c>
      <c r="M20" s="6">
        <v>2012</v>
      </c>
      <c r="N20" s="6" t="s">
        <v>47</v>
      </c>
      <c r="O20" s="10">
        <v>1176883</v>
      </c>
      <c r="Q20" s="6">
        <v>2012</v>
      </c>
      <c r="R20" s="6" t="s">
        <v>47</v>
      </c>
      <c r="S20" s="10">
        <v>1366947.399</v>
      </c>
      <c r="U20" s="6">
        <v>2012</v>
      </c>
      <c r="V20" s="6" t="s">
        <v>47</v>
      </c>
      <c r="W20" s="10">
        <v>1414026.5360000003</v>
      </c>
    </row>
    <row r="21" spans="1:23" x14ac:dyDescent="0.2">
      <c r="A21" s="16">
        <v>2019</v>
      </c>
      <c r="B21" s="16" t="s">
        <v>5</v>
      </c>
      <c r="C21" s="10">
        <v>146879473.11299998</v>
      </c>
      <c r="E21" s="6">
        <v>2019</v>
      </c>
      <c r="F21" s="6" t="s">
        <v>5</v>
      </c>
      <c r="G21" s="10">
        <v>7122216.3409999991</v>
      </c>
      <c r="I21" s="6">
        <v>2019</v>
      </c>
      <c r="J21" s="6" t="s">
        <v>5</v>
      </c>
      <c r="K21" s="10">
        <v>1680540049.9689999</v>
      </c>
      <c r="M21" s="6">
        <v>2019</v>
      </c>
      <c r="N21" s="6" t="s">
        <v>5</v>
      </c>
      <c r="O21" s="10">
        <v>17859836.295000002</v>
      </c>
      <c r="Q21" s="6">
        <v>2019</v>
      </c>
      <c r="R21" s="6" t="s">
        <v>5</v>
      </c>
      <c r="S21" s="10">
        <v>34921627.182999998</v>
      </c>
      <c r="U21" s="6">
        <v>2019</v>
      </c>
      <c r="V21" s="6" t="s">
        <v>5</v>
      </c>
      <c r="W21" s="10">
        <v>17012271.848999996</v>
      </c>
    </row>
    <row r="22" spans="1:23" x14ac:dyDescent="0.2">
      <c r="A22" s="16">
        <v>2019</v>
      </c>
      <c r="B22" s="16" t="s">
        <v>43</v>
      </c>
      <c r="C22" s="10">
        <v>56280182564.047981</v>
      </c>
      <c r="E22" s="6">
        <v>2019</v>
      </c>
      <c r="F22" s="6" t="s">
        <v>43</v>
      </c>
      <c r="G22" s="10">
        <v>5433849790.6580019</v>
      </c>
      <c r="I22" s="6">
        <v>2019</v>
      </c>
      <c r="J22" s="6" t="s">
        <v>43</v>
      </c>
      <c r="K22" s="10">
        <v>165747582056.78705</v>
      </c>
      <c r="M22" s="6">
        <v>2019</v>
      </c>
      <c r="N22" s="6" t="s">
        <v>43</v>
      </c>
      <c r="O22" s="10">
        <v>8725995409.3200016</v>
      </c>
      <c r="Q22" s="6">
        <v>2019</v>
      </c>
      <c r="R22" s="6" t="s">
        <v>43</v>
      </c>
      <c r="S22" s="10">
        <v>8420431621.164999</v>
      </c>
      <c r="U22" s="6">
        <v>2019</v>
      </c>
      <c r="V22" s="6" t="s">
        <v>43</v>
      </c>
      <c r="W22" s="10">
        <v>9641001984.8959999</v>
      </c>
    </row>
    <row r="23" spans="1:23" x14ac:dyDescent="0.2">
      <c r="A23" s="16">
        <v>2019</v>
      </c>
      <c r="B23" s="16" t="s">
        <v>44</v>
      </c>
      <c r="C23" s="10">
        <v>0</v>
      </c>
      <c r="E23" s="6">
        <v>2019</v>
      </c>
      <c r="F23" s="6" t="s">
        <v>44</v>
      </c>
      <c r="G23" s="10">
        <v>0</v>
      </c>
      <c r="I23" s="6">
        <v>2019</v>
      </c>
      <c r="J23" s="6" t="s">
        <v>44</v>
      </c>
      <c r="K23" s="10">
        <v>0</v>
      </c>
      <c r="M23" s="6">
        <v>2019</v>
      </c>
      <c r="N23" s="6" t="s">
        <v>44</v>
      </c>
      <c r="O23" s="10">
        <v>0</v>
      </c>
      <c r="Q23" s="6">
        <v>2019</v>
      </c>
      <c r="R23" s="6" t="s">
        <v>44</v>
      </c>
      <c r="S23" s="10">
        <v>0</v>
      </c>
      <c r="U23" s="6">
        <v>2019</v>
      </c>
      <c r="V23" s="6" t="s">
        <v>44</v>
      </c>
      <c r="W23" s="10">
        <v>0</v>
      </c>
    </row>
    <row r="24" spans="1:23" x14ac:dyDescent="0.2">
      <c r="A24" s="16">
        <v>2019</v>
      </c>
      <c r="B24" s="16" t="s">
        <v>45</v>
      </c>
      <c r="C24" s="10">
        <v>0</v>
      </c>
      <c r="E24" s="6">
        <v>2019</v>
      </c>
      <c r="F24" s="6" t="s">
        <v>45</v>
      </c>
      <c r="G24" s="10">
        <v>0</v>
      </c>
      <c r="I24" s="6">
        <v>2019</v>
      </c>
      <c r="J24" s="6" t="s">
        <v>45</v>
      </c>
      <c r="K24" s="10">
        <v>0</v>
      </c>
      <c r="M24" s="6">
        <v>2019</v>
      </c>
      <c r="N24" s="6" t="s">
        <v>45</v>
      </c>
      <c r="O24" s="10">
        <v>0</v>
      </c>
      <c r="Q24" s="6">
        <v>2019</v>
      </c>
      <c r="R24" s="6" t="s">
        <v>45</v>
      </c>
      <c r="S24" s="10">
        <v>0</v>
      </c>
      <c r="U24" s="6">
        <v>2019</v>
      </c>
      <c r="V24" s="6" t="s">
        <v>45</v>
      </c>
      <c r="W24" s="10">
        <v>0</v>
      </c>
    </row>
    <row r="25" spans="1:23" x14ac:dyDescent="0.2">
      <c r="A25" s="16">
        <v>2019</v>
      </c>
      <c r="B25" s="16" t="s">
        <v>46</v>
      </c>
      <c r="C25" s="10">
        <v>5542.5050000000001</v>
      </c>
      <c r="E25" s="6">
        <v>2019</v>
      </c>
      <c r="F25" s="6" t="s">
        <v>46</v>
      </c>
      <c r="G25" s="10">
        <v>6290.4489999999996</v>
      </c>
      <c r="I25" s="6">
        <v>2019</v>
      </c>
      <c r="J25" s="6" t="s">
        <v>46</v>
      </c>
      <c r="K25" s="10">
        <v>1009973.366</v>
      </c>
      <c r="M25" s="6">
        <v>2019</v>
      </c>
      <c r="N25" s="6" t="s">
        <v>46</v>
      </c>
      <c r="O25" s="10">
        <v>3806.4409999999998</v>
      </c>
      <c r="Q25" s="6">
        <v>2019</v>
      </c>
      <c r="R25" s="6" t="s">
        <v>46</v>
      </c>
      <c r="S25" s="10">
        <v>32304.987000000001</v>
      </c>
      <c r="U25" s="6">
        <v>2019</v>
      </c>
      <c r="V25" s="6" t="s">
        <v>46</v>
      </c>
      <c r="W25" s="10">
        <v>15859.005000000001</v>
      </c>
    </row>
    <row r="26" spans="1:23" x14ac:dyDescent="0.2">
      <c r="A26" s="16">
        <v>2019</v>
      </c>
      <c r="B26" s="16" t="s">
        <v>47</v>
      </c>
      <c r="C26" s="10">
        <v>16244423.196999999</v>
      </c>
      <c r="E26" s="6">
        <v>2019</v>
      </c>
      <c r="F26" s="6" t="s">
        <v>47</v>
      </c>
      <c r="G26" s="10">
        <v>127890.11600000001</v>
      </c>
      <c r="I26" s="6">
        <v>2019</v>
      </c>
      <c r="J26" s="6" t="s">
        <v>47</v>
      </c>
      <c r="K26" s="10">
        <v>7844738.0829999996</v>
      </c>
      <c r="M26" s="6">
        <v>2019</v>
      </c>
      <c r="N26" s="6" t="s">
        <v>47</v>
      </c>
      <c r="O26" s="10">
        <v>346564.788</v>
      </c>
      <c r="Q26" s="6">
        <v>2019</v>
      </c>
      <c r="R26" s="6" t="s">
        <v>47</v>
      </c>
      <c r="S26" s="10">
        <v>953593.05099999998</v>
      </c>
      <c r="U26" s="6">
        <v>2019</v>
      </c>
      <c r="V26" s="6" t="s">
        <v>47</v>
      </c>
      <c r="W26" s="10">
        <v>791047.17099999986</v>
      </c>
    </row>
    <row r="28" spans="1:23" s="13" customFormat="1" x14ac:dyDescent="0.2">
      <c r="A28" s="8" t="s">
        <v>50</v>
      </c>
      <c r="B28" s="8" t="s">
        <v>2</v>
      </c>
      <c r="C28" s="11" t="s">
        <v>53</v>
      </c>
      <c r="E28" s="8" t="s">
        <v>50</v>
      </c>
      <c r="F28" s="8" t="s">
        <v>2</v>
      </c>
      <c r="G28" s="11" t="s">
        <v>53</v>
      </c>
      <c r="H28" s="12"/>
      <c r="I28" s="8" t="s">
        <v>50</v>
      </c>
      <c r="J28" s="8" t="s">
        <v>2</v>
      </c>
      <c r="K28" s="11" t="s">
        <v>53</v>
      </c>
      <c r="L28" s="12"/>
      <c r="M28" s="8" t="s">
        <v>50</v>
      </c>
      <c r="N28" s="8" t="s">
        <v>2</v>
      </c>
      <c r="O28" s="11" t="s">
        <v>53</v>
      </c>
      <c r="P28" s="12"/>
      <c r="Q28" s="8" t="s">
        <v>50</v>
      </c>
      <c r="R28" s="8" t="s">
        <v>2</v>
      </c>
      <c r="S28" s="11" t="s">
        <v>53</v>
      </c>
      <c r="T28" s="12"/>
      <c r="U28" s="8" t="s">
        <v>50</v>
      </c>
      <c r="V28" s="8" t="s">
        <v>2</v>
      </c>
      <c r="W28" s="11" t="s">
        <v>53</v>
      </c>
    </row>
    <row r="29" spans="1:23" x14ac:dyDescent="0.2">
      <c r="A29" s="6" t="s">
        <v>51</v>
      </c>
      <c r="B29" s="6" t="s">
        <v>5</v>
      </c>
      <c r="C29" s="10">
        <f>C9-C3</f>
        <v>94843969</v>
      </c>
      <c r="E29" s="6" t="s">
        <v>51</v>
      </c>
      <c r="F29" s="6" t="s">
        <v>5</v>
      </c>
      <c r="G29" s="10">
        <f>G9-G3</f>
        <v>754415</v>
      </c>
      <c r="I29" s="6" t="s">
        <v>51</v>
      </c>
      <c r="J29" s="6" t="s">
        <v>5</v>
      </c>
      <c r="K29" s="10">
        <f>K9-K3</f>
        <v>227713596</v>
      </c>
      <c r="M29" s="6" t="s">
        <v>51</v>
      </c>
      <c r="N29" s="6" t="s">
        <v>5</v>
      </c>
      <c r="O29" s="10">
        <f>O9-O3</f>
        <v>13328158</v>
      </c>
      <c r="Q29" s="6" t="s">
        <v>51</v>
      </c>
      <c r="R29" s="6" t="s">
        <v>5</v>
      </c>
      <c r="S29" s="10">
        <f>S9-S3</f>
        <v>14972654.137999993</v>
      </c>
      <c r="U29" s="6" t="s">
        <v>51</v>
      </c>
      <c r="V29" s="6" t="s">
        <v>5</v>
      </c>
      <c r="W29" s="10">
        <f>W9-W3</f>
        <v>9039494</v>
      </c>
    </row>
    <row r="30" spans="1:23" x14ac:dyDescent="0.2">
      <c r="A30" s="6" t="s">
        <v>51</v>
      </c>
      <c r="B30" s="6" t="s">
        <v>43</v>
      </c>
      <c r="C30" s="10">
        <f t="shared" ref="C30:C34" si="0">C10-C4</f>
        <v>38400805692</v>
      </c>
      <c r="E30" s="6" t="s">
        <v>51</v>
      </c>
      <c r="F30" s="6" t="s">
        <v>43</v>
      </c>
      <c r="G30" s="10">
        <f t="shared" ref="G30:G34" si="1">G10-G4</f>
        <v>2306713988</v>
      </c>
      <c r="I30" s="6" t="s">
        <v>51</v>
      </c>
      <c r="J30" s="6" t="s">
        <v>43</v>
      </c>
      <c r="K30" s="10">
        <f t="shared" ref="K30:K34" si="2">K10-K4</f>
        <v>137476733432</v>
      </c>
      <c r="M30" s="6" t="s">
        <v>51</v>
      </c>
      <c r="N30" s="6" t="s">
        <v>43</v>
      </c>
      <c r="O30" s="10">
        <f t="shared" ref="O30:O34" si="3">O10-O4</f>
        <v>7318816835</v>
      </c>
      <c r="Q30" s="6" t="s">
        <v>51</v>
      </c>
      <c r="R30" s="6" t="s">
        <v>43</v>
      </c>
      <c r="S30" s="10">
        <f t="shared" ref="S30:S34" si="4">S10-S4</f>
        <v>5090165079.3119993</v>
      </c>
      <c r="U30" s="6" t="s">
        <v>51</v>
      </c>
      <c r="V30" s="6" t="s">
        <v>43</v>
      </c>
      <c r="W30" s="10">
        <f t="shared" ref="W30:W34" si="5">W10-W4</f>
        <v>6073689631</v>
      </c>
    </row>
    <row r="31" spans="1:23" x14ac:dyDescent="0.2">
      <c r="A31" s="6" t="s">
        <v>51</v>
      </c>
      <c r="B31" s="6" t="s">
        <v>44</v>
      </c>
      <c r="C31" s="10">
        <f t="shared" si="0"/>
        <v>0</v>
      </c>
      <c r="E31" s="6" t="s">
        <v>51</v>
      </c>
      <c r="F31" s="6" t="s">
        <v>44</v>
      </c>
      <c r="G31" s="10">
        <f t="shared" si="1"/>
        <v>0</v>
      </c>
      <c r="I31" s="6" t="s">
        <v>51</v>
      </c>
      <c r="J31" s="6" t="s">
        <v>44</v>
      </c>
      <c r="K31" s="10">
        <f t="shared" si="2"/>
        <v>0</v>
      </c>
      <c r="M31" s="6" t="s">
        <v>51</v>
      </c>
      <c r="N31" s="6" t="s">
        <v>44</v>
      </c>
      <c r="O31" s="10">
        <f t="shared" si="3"/>
        <v>0</v>
      </c>
      <c r="Q31" s="6" t="s">
        <v>51</v>
      </c>
      <c r="R31" s="6" t="s">
        <v>44</v>
      </c>
      <c r="S31" s="10">
        <f t="shared" si="4"/>
        <v>0</v>
      </c>
      <c r="U31" s="6" t="s">
        <v>51</v>
      </c>
      <c r="V31" s="6" t="s">
        <v>44</v>
      </c>
      <c r="W31" s="10">
        <f t="shared" si="5"/>
        <v>0</v>
      </c>
    </row>
    <row r="32" spans="1:23" x14ac:dyDescent="0.2">
      <c r="A32" s="6" t="s">
        <v>51</v>
      </c>
      <c r="B32" s="6" t="s">
        <v>45</v>
      </c>
      <c r="C32" s="10">
        <f t="shared" si="0"/>
        <v>0</v>
      </c>
      <c r="E32" s="6" t="s">
        <v>51</v>
      </c>
      <c r="F32" s="6" t="s">
        <v>45</v>
      </c>
      <c r="G32" s="10">
        <f t="shared" si="1"/>
        <v>0</v>
      </c>
      <c r="I32" s="6" t="s">
        <v>51</v>
      </c>
      <c r="J32" s="6" t="s">
        <v>45</v>
      </c>
      <c r="K32" s="10">
        <f t="shared" si="2"/>
        <v>0</v>
      </c>
      <c r="M32" s="6" t="s">
        <v>51</v>
      </c>
      <c r="N32" s="6" t="s">
        <v>45</v>
      </c>
      <c r="O32" s="10">
        <f t="shared" si="3"/>
        <v>0</v>
      </c>
      <c r="Q32" s="6" t="s">
        <v>51</v>
      </c>
      <c r="R32" s="6" t="s">
        <v>45</v>
      </c>
      <c r="S32" s="10">
        <f t="shared" si="4"/>
        <v>0</v>
      </c>
      <c r="U32" s="6" t="s">
        <v>51</v>
      </c>
      <c r="V32" s="6" t="s">
        <v>45</v>
      </c>
      <c r="W32" s="10">
        <f t="shared" si="5"/>
        <v>0</v>
      </c>
    </row>
    <row r="33" spans="1:23" x14ac:dyDescent="0.2">
      <c r="A33" s="6" t="s">
        <v>51</v>
      </c>
      <c r="B33" s="6" t="s">
        <v>46</v>
      </c>
      <c r="C33" s="10">
        <f t="shared" si="0"/>
        <v>4298</v>
      </c>
      <c r="E33" s="6" t="s">
        <v>51</v>
      </c>
      <c r="F33" s="6" t="s">
        <v>46</v>
      </c>
      <c r="G33" s="10">
        <f t="shared" si="1"/>
        <v>2351</v>
      </c>
      <c r="I33" s="6" t="s">
        <v>51</v>
      </c>
      <c r="J33" s="6" t="s">
        <v>46</v>
      </c>
      <c r="K33" s="10">
        <f t="shared" si="2"/>
        <v>362563</v>
      </c>
      <c r="M33" s="6" t="s">
        <v>51</v>
      </c>
      <c r="N33" s="6" t="s">
        <v>46</v>
      </c>
      <c r="O33" s="10">
        <f t="shared" si="3"/>
        <v>-2333</v>
      </c>
      <c r="Q33" s="6" t="s">
        <v>51</v>
      </c>
      <c r="R33" s="6" t="s">
        <v>46</v>
      </c>
      <c r="S33" s="10">
        <f t="shared" si="4"/>
        <v>119105.481</v>
      </c>
      <c r="U33" s="6" t="s">
        <v>51</v>
      </c>
      <c r="V33" s="6" t="s">
        <v>46</v>
      </c>
      <c r="W33" s="10">
        <f t="shared" si="5"/>
        <v>90</v>
      </c>
    </row>
    <row r="34" spans="1:23" x14ac:dyDescent="0.2">
      <c r="A34" s="6" t="s">
        <v>51</v>
      </c>
      <c r="B34" s="6" t="s">
        <v>47</v>
      </c>
      <c r="C34" s="10">
        <f t="shared" si="0"/>
        <v>-340145</v>
      </c>
      <c r="E34" s="6" t="s">
        <v>51</v>
      </c>
      <c r="F34" s="6" t="s">
        <v>47</v>
      </c>
      <c r="G34" s="10">
        <f t="shared" si="1"/>
        <v>58959</v>
      </c>
      <c r="I34" s="6" t="s">
        <v>51</v>
      </c>
      <c r="J34" s="6" t="s">
        <v>47</v>
      </c>
      <c r="K34" s="10">
        <f t="shared" si="2"/>
        <v>-12463861</v>
      </c>
      <c r="M34" s="6" t="s">
        <v>51</v>
      </c>
      <c r="N34" s="6" t="s">
        <v>47</v>
      </c>
      <c r="O34" s="10">
        <f t="shared" si="3"/>
        <v>1795471</v>
      </c>
      <c r="Q34" s="6" t="s">
        <v>51</v>
      </c>
      <c r="R34" s="6" t="s">
        <v>47</v>
      </c>
      <c r="S34" s="10">
        <f t="shared" si="4"/>
        <v>417087.29500000004</v>
      </c>
      <c r="U34" s="6" t="s">
        <v>51</v>
      </c>
      <c r="V34" s="6" t="s">
        <v>47</v>
      </c>
      <c r="W34" s="10">
        <f t="shared" si="5"/>
        <v>1203812</v>
      </c>
    </row>
    <row r="35" spans="1:23" x14ac:dyDescent="0.2">
      <c r="A35" s="6" t="s">
        <v>52</v>
      </c>
      <c r="B35" s="6" t="s">
        <v>5</v>
      </c>
      <c r="C35" s="10">
        <f>C21-C15</f>
        <v>33751430.112999976</v>
      </c>
      <c r="E35" s="6" t="s">
        <v>52</v>
      </c>
      <c r="F35" s="6" t="s">
        <v>5</v>
      </c>
      <c r="G35" s="10">
        <f>G21-G15</f>
        <v>116933.34099999908</v>
      </c>
      <c r="I35" s="6" t="s">
        <v>52</v>
      </c>
      <c r="J35" s="6" t="s">
        <v>5</v>
      </c>
      <c r="K35" s="10">
        <f>K21-K15</f>
        <v>-265434564.03100014</v>
      </c>
      <c r="M35" s="6" t="s">
        <v>52</v>
      </c>
      <c r="N35" s="6" t="s">
        <v>5</v>
      </c>
      <c r="O35" s="10">
        <f>O21-O15</f>
        <v>4261096.2950000018</v>
      </c>
      <c r="Q35" s="6" t="s">
        <v>52</v>
      </c>
      <c r="R35" s="6" t="s">
        <v>5</v>
      </c>
      <c r="S35" s="10">
        <f>S21-S15</f>
        <v>13832956.041999996</v>
      </c>
      <c r="U35" s="6" t="s">
        <v>52</v>
      </c>
      <c r="V35" s="6" t="s">
        <v>5</v>
      </c>
      <c r="W35" s="10">
        <f>W21-W15</f>
        <v>5051225.7269999981</v>
      </c>
    </row>
    <row r="36" spans="1:23" x14ac:dyDescent="0.2">
      <c r="A36" s="6" t="s">
        <v>52</v>
      </c>
      <c r="B36" s="6" t="s">
        <v>43</v>
      </c>
      <c r="C36" s="10">
        <f t="shared" ref="C36:C40" si="6">C22-C16</f>
        <v>11313181153.047981</v>
      </c>
      <c r="E36" s="6" t="s">
        <v>52</v>
      </c>
      <c r="F36" s="6" t="s">
        <v>43</v>
      </c>
      <c r="G36" s="10">
        <f t="shared" ref="G36:G40" si="7">G22-G16</f>
        <v>-423857687.3419981</v>
      </c>
      <c r="I36" s="6" t="s">
        <v>52</v>
      </c>
      <c r="J36" s="6" t="s">
        <v>43</v>
      </c>
      <c r="K36" s="10">
        <f t="shared" ref="K36:K40" si="8">K22-K16</f>
        <v>-18174445741.212952</v>
      </c>
      <c r="M36" s="6" t="s">
        <v>52</v>
      </c>
      <c r="N36" s="6" t="s">
        <v>43</v>
      </c>
      <c r="O36" s="10">
        <f t="shared" ref="O36:O40" si="9">O22-O16</f>
        <v>668957665.3200016</v>
      </c>
      <c r="Q36" s="6" t="s">
        <v>52</v>
      </c>
      <c r="R36" s="6" t="s">
        <v>43</v>
      </c>
      <c r="S36" s="10">
        <f t="shared" ref="S36:S40" si="10">S22-S16</f>
        <v>2238338857.6920004</v>
      </c>
      <c r="U36" s="6" t="s">
        <v>52</v>
      </c>
      <c r="V36" s="6" t="s">
        <v>43</v>
      </c>
      <c r="W36" s="10">
        <f t="shared" ref="W36:W40" si="11">W22-W16</f>
        <v>1607121021.3240023</v>
      </c>
    </row>
    <row r="37" spans="1:23" x14ac:dyDescent="0.2">
      <c r="A37" s="6" t="s">
        <v>52</v>
      </c>
      <c r="B37" s="6" t="s">
        <v>44</v>
      </c>
      <c r="C37" s="10">
        <f t="shared" si="6"/>
        <v>0</v>
      </c>
      <c r="E37" s="6" t="s">
        <v>52</v>
      </c>
      <c r="F37" s="6" t="s">
        <v>44</v>
      </c>
      <c r="G37" s="10">
        <f t="shared" si="7"/>
        <v>0</v>
      </c>
      <c r="I37" s="6" t="s">
        <v>52</v>
      </c>
      <c r="J37" s="6" t="s">
        <v>44</v>
      </c>
      <c r="K37" s="10">
        <f t="shared" si="8"/>
        <v>0</v>
      </c>
      <c r="M37" s="6" t="s">
        <v>52</v>
      </c>
      <c r="N37" s="6" t="s">
        <v>44</v>
      </c>
      <c r="O37" s="10">
        <f t="shared" si="9"/>
        <v>0</v>
      </c>
      <c r="Q37" s="6" t="s">
        <v>52</v>
      </c>
      <c r="R37" s="6" t="s">
        <v>44</v>
      </c>
      <c r="S37" s="10">
        <f t="shared" si="10"/>
        <v>0</v>
      </c>
      <c r="U37" s="6" t="s">
        <v>52</v>
      </c>
      <c r="V37" s="6" t="s">
        <v>44</v>
      </c>
      <c r="W37" s="10">
        <f t="shared" si="11"/>
        <v>0</v>
      </c>
    </row>
    <row r="38" spans="1:23" x14ac:dyDescent="0.2">
      <c r="A38" s="6" t="s">
        <v>52</v>
      </c>
      <c r="B38" s="6" t="s">
        <v>45</v>
      </c>
      <c r="C38" s="10">
        <f t="shared" si="6"/>
        <v>0</v>
      </c>
      <c r="E38" s="6" t="s">
        <v>52</v>
      </c>
      <c r="F38" s="6" t="s">
        <v>45</v>
      </c>
      <c r="G38" s="10">
        <f t="shared" si="7"/>
        <v>0</v>
      </c>
      <c r="I38" s="6" t="s">
        <v>52</v>
      </c>
      <c r="J38" s="6" t="s">
        <v>45</v>
      </c>
      <c r="K38" s="10">
        <f t="shared" si="8"/>
        <v>0</v>
      </c>
      <c r="M38" s="6" t="s">
        <v>52</v>
      </c>
      <c r="N38" s="6" t="s">
        <v>45</v>
      </c>
      <c r="O38" s="10">
        <f t="shared" si="9"/>
        <v>0</v>
      </c>
      <c r="Q38" s="6" t="s">
        <v>52</v>
      </c>
      <c r="R38" s="6" t="s">
        <v>45</v>
      </c>
      <c r="S38" s="10">
        <f t="shared" si="10"/>
        <v>0</v>
      </c>
      <c r="U38" s="6" t="s">
        <v>52</v>
      </c>
      <c r="V38" s="6" t="s">
        <v>45</v>
      </c>
      <c r="W38" s="10">
        <f t="shared" si="11"/>
        <v>0</v>
      </c>
    </row>
    <row r="39" spans="1:23" x14ac:dyDescent="0.2">
      <c r="A39" s="6" t="s">
        <v>52</v>
      </c>
      <c r="B39" s="6" t="s">
        <v>46</v>
      </c>
      <c r="C39" s="10">
        <f t="shared" si="6"/>
        <v>-16866.494999999999</v>
      </c>
      <c r="E39" s="6" t="s">
        <v>52</v>
      </c>
      <c r="F39" s="6" t="s">
        <v>46</v>
      </c>
      <c r="G39" s="10">
        <f t="shared" si="7"/>
        <v>5974.4489999999996</v>
      </c>
      <c r="I39" s="6" t="s">
        <v>52</v>
      </c>
      <c r="J39" s="6" t="s">
        <v>46</v>
      </c>
      <c r="K39" s="10">
        <f t="shared" si="8"/>
        <v>353490.36600000004</v>
      </c>
      <c r="M39" s="6" t="s">
        <v>52</v>
      </c>
      <c r="N39" s="6" t="s">
        <v>46</v>
      </c>
      <c r="O39" s="10">
        <f t="shared" si="9"/>
        <v>-33543.559000000001</v>
      </c>
      <c r="Q39" s="6" t="s">
        <v>52</v>
      </c>
      <c r="R39" s="6" t="s">
        <v>46</v>
      </c>
      <c r="S39" s="10">
        <f t="shared" si="10"/>
        <v>-81522.771000000008</v>
      </c>
      <c r="U39" s="6" t="s">
        <v>52</v>
      </c>
      <c r="V39" s="6" t="s">
        <v>46</v>
      </c>
      <c r="W39" s="10">
        <f t="shared" si="11"/>
        <v>1830.9640000000018</v>
      </c>
    </row>
    <row r="40" spans="1:23" x14ac:dyDescent="0.2">
      <c r="A40" s="6" t="s">
        <v>52</v>
      </c>
      <c r="B40" s="6" t="s">
        <v>47</v>
      </c>
      <c r="C40" s="10">
        <f t="shared" si="6"/>
        <v>10823487.196999999</v>
      </c>
      <c r="E40" s="6" t="s">
        <v>52</v>
      </c>
      <c r="F40" s="6" t="s">
        <v>47</v>
      </c>
      <c r="G40" s="10">
        <f t="shared" si="7"/>
        <v>-49944.883999999991</v>
      </c>
      <c r="I40" s="6" t="s">
        <v>52</v>
      </c>
      <c r="J40" s="6" t="s">
        <v>47</v>
      </c>
      <c r="K40" s="10">
        <f t="shared" si="8"/>
        <v>3868789.0829999996</v>
      </c>
      <c r="M40" s="6" t="s">
        <v>52</v>
      </c>
      <c r="N40" s="6" t="s">
        <v>47</v>
      </c>
      <c r="O40" s="10">
        <f t="shared" si="9"/>
        <v>-830318.21200000006</v>
      </c>
      <c r="Q40" s="6" t="s">
        <v>52</v>
      </c>
      <c r="R40" s="6" t="s">
        <v>47</v>
      </c>
      <c r="S40" s="10">
        <f t="shared" si="10"/>
        <v>-413354.348</v>
      </c>
      <c r="U40" s="6" t="s">
        <v>52</v>
      </c>
      <c r="V40" s="6" t="s">
        <v>47</v>
      </c>
      <c r="W40" s="10">
        <f t="shared" si="11"/>
        <v>-622979.36500000046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DCE7-1742-DF45-BF84-A83CD36CD62E}">
  <dimension ref="A1:C40"/>
  <sheetViews>
    <sheetView workbookViewId="0">
      <selection activeCell="K17" sqref="K17"/>
    </sheetView>
  </sheetViews>
  <sheetFormatPr baseColWidth="10" defaultRowHeight="16" x14ac:dyDescent="0.2"/>
  <cols>
    <col min="3" max="3" width="17.83203125" bestFit="1" customWidth="1"/>
  </cols>
  <sheetData>
    <row r="1" spans="1:3" x14ac:dyDescent="0.2">
      <c r="A1" s="8" t="s">
        <v>50</v>
      </c>
      <c r="B1" s="8" t="s">
        <v>2</v>
      </c>
      <c r="C1" s="11" t="s">
        <v>64</v>
      </c>
    </row>
    <row r="2" spans="1:3" x14ac:dyDescent="0.2">
      <c r="A2" s="6" t="s">
        <v>51</v>
      </c>
      <c r="B2" s="6" t="s">
        <v>5</v>
      </c>
      <c r="C2" s="10">
        <v>360652286.13800001</v>
      </c>
    </row>
    <row r="3" spans="1:3" x14ac:dyDescent="0.2">
      <c r="A3" s="6" t="s">
        <v>51</v>
      </c>
      <c r="B3" s="6" t="s">
        <v>43</v>
      </c>
      <c r="C3" s="10">
        <v>196666924657.31201</v>
      </c>
    </row>
    <row r="4" spans="1:3" x14ac:dyDescent="0.2">
      <c r="A4" s="6" t="s">
        <v>51</v>
      </c>
      <c r="B4" s="6" t="s">
        <v>44</v>
      </c>
      <c r="C4" s="10">
        <v>0</v>
      </c>
    </row>
    <row r="5" spans="1:3" x14ac:dyDescent="0.2">
      <c r="A5" s="6" t="s">
        <v>51</v>
      </c>
      <c r="B5" s="6" t="s">
        <v>45</v>
      </c>
      <c r="C5" s="10">
        <v>0</v>
      </c>
    </row>
    <row r="6" spans="1:3" x14ac:dyDescent="0.2">
      <c r="A6" s="6" t="s">
        <v>51</v>
      </c>
      <c r="B6" s="6" t="s">
        <v>46</v>
      </c>
      <c r="C6" s="10">
        <v>486074.48100000003</v>
      </c>
    </row>
    <row r="7" spans="1:3" x14ac:dyDescent="0.2">
      <c r="A7" s="6" t="s">
        <v>51</v>
      </c>
      <c r="B7" s="6" t="s">
        <v>47</v>
      </c>
      <c r="C7" s="10">
        <v>-9328676.7050000001</v>
      </c>
    </row>
    <row r="8" spans="1:3" x14ac:dyDescent="0.2">
      <c r="A8" s="6" t="s">
        <v>52</v>
      </c>
      <c r="B8" s="6" t="s">
        <v>5</v>
      </c>
      <c r="C8" s="10">
        <v>-208420922.51300019</v>
      </c>
    </row>
    <row r="9" spans="1:3" x14ac:dyDescent="0.2">
      <c r="A9" s="6" t="s">
        <v>52</v>
      </c>
      <c r="B9" s="6" t="s">
        <v>43</v>
      </c>
      <c r="C9" s="10">
        <v>-2770704731.1709652</v>
      </c>
    </row>
    <row r="10" spans="1:3" x14ac:dyDescent="0.2">
      <c r="A10" s="6" t="s">
        <v>52</v>
      </c>
      <c r="B10" s="6" t="s">
        <v>44</v>
      </c>
      <c r="C10" s="10">
        <v>0</v>
      </c>
    </row>
    <row r="11" spans="1:3" x14ac:dyDescent="0.2">
      <c r="A11" s="6" t="s">
        <v>52</v>
      </c>
      <c r="B11" s="6" t="s">
        <v>45</v>
      </c>
      <c r="C11" s="10">
        <v>0</v>
      </c>
    </row>
    <row r="12" spans="1:3" x14ac:dyDescent="0.2">
      <c r="A12" s="6" t="s">
        <v>52</v>
      </c>
      <c r="B12" s="6" t="s">
        <v>46</v>
      </c>
      <c r="C12" s="10">
        <v>229362.95400000006</v>
      </c>
    </row>
    <row r="13" spans="1:3" x14ac:dyDescent="0.2">
      <c r="A13" s="6" t="s">
        <v>52</v>
      </c>
      <c r="B13" s="6" t="s">
        <v>47</v>
      </c>
      <c r="C13" s="10">
        <v>12775679.470999999</v>
      </c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D4C3-1BE6-994A-A23D-37176FA7D274}">
  <dimension ref="A1:E13"/>
  <sheetViews>
    <sheetView tabSelected="1" workbookViewId="0">
      <selection activeCell="P11" sqref="P11"/>
    </sheetView>
  </sheetViews>
  <sheetFormatPr baseColWidth="10" defaultRowHeight="16" x14ac:dyDescent="0.2"/>
  <cols>
    <col min="4" max="4" width="17.83203125" bestFit="1" customWidth="1"/>
    <col min="5" max="5" width="13.33203125" bestFit="1" customWidth="1"/>
  </cols>
  <sheetData>
    <row r="1" spans="1:5" x14ac:dyDescent="0.2">
      <c r="A1" s="8" t="s">
        <v>50</v>
      </c>
      <c r="B1" s="14" t="s">
        <v>2</v>
      </c>
      <c r="C1" s="8" t="s">
        <v>54</v>
      </c>
      <c r="D1" s="14" t="s">
        <v>64</v>
      </c>
      <c r="E1" s="14" t="s">
        <v>65</v>
      </c>
    </row>
    <row r="2" spans="1:5" x14ac:dyDescent="0.2">
      <c r="A2" s="6" t="s">
        <v>51</v>
      </c>
      <c r="B2" s="6" t="s">
        <v>5</v>
      </c>
      <c r="C2" s="7">
        <f>L_i!C2</f>
        <v>919.79999999999973</v>
      </c>
      <c r="D2" s="10">
        <f>delta_M_OC!C2</f>
        <v>360652286.13800001</v>
      </c>
      <c r="E2" s="10">
        <f>D2/C2</f>
        <v>392098.59332246153</v>
      </c>
    </row>
    <row r="3" spans="1:5" x14ac:dyDescent="0.2">
      <c r="A3" s="6" t="s">
        <v>51</v>
      </c>
      <c r="B3" s="6" t="s">
        <v>43</v>
      </c>
      <c r="C3" s="7">
        <f>L_i!C3</f>
        <v>8638.9</v>
      </c>
      <c r="D3" s="10">
        <f>delta_M_OC!C3</f>
        <v>196666924657.31201</v>
      </c>
      <c r="E3" s="10">
        <f t="shared" ref="E3:E13" si="0">D3/C3</f>
        <v>22765273.89567098</v>
      </c>
    </row>
    <row r="4" spans="1:5" x14ac:dyDescent="0.2">
      <c r="A4" s="6" t="s">
        <v>51</v>
      </c>
      <c r="B4" s="6" t="s">
        <v>44</v>
      </c>
      <c r="C4" s="7">
        <f>L_i!C4</f>
        <v>2830.4</v>
      </c>
      <c r="D4" s="10">
        <f>delta_M_OC!C4</f>
        <v>0</v>
      </c>
      <c r="E4" s="10">
        <f t="shared" si="0"/>
        <v>0</v>
      </c>
    </row>
    <row r="5" spans="1:5" x14ac:dyDescent="0.2">
      <c r="A5" s="6" t="s">
        <v>51</v>
      </c>
      <c r="B5" s="6" t="s">
        <v>45</v>
      </c>
      <c r="C5" s="7">
        <f>L_i!C5</f>
        <v>7772.9000000000005</v>
      </c>
      <c r="D5" s="10">
        <f>delta_M_OC!C5</f>
        <v>0</v>
      </c>
      <c r="E5" s="10">
        <f t="shared" si="0"/>
        <v>0</v>
      </c>
    </row>
    <row r="6" spans="1:5" x14ac:dyDescent="0.2">
      <c r="A6" s="6" t="s">
        <v>51</v>
      </c>
      <c r="B6" s="6" t="s">
        <v>46</v>
      </c>
      <c r="C6" s="7">
        <f>L_i!C6</f>
        <v>3768.7999999999993</v>
      </c>
      <c r="D6" s="10">
        <f>delta_M_OC!C6</f>
        <v>486074.48100000003</v>
      </c>
      <c r="E6" s="10">
        <f t="shared" si="0"/>
        <v>128.97327557843349</v>
      </c>
    </row>
    <row r="7" spans="1:5" x14ac:dyDescent="0.2">
      <c r="A7" s="6" t="s">
        <v>51</v>
      </c>
      <c r="B7" s="6" t="s">
        <v>47</v>
      </c>
      <c r="C7" s="7">
        <f>L_i!C7</f>
        <v>9883.6</v>
      </c>
      <c r="D7" s="10">
        <f>delta_M_OC!C7</f>
        <v>-9328676.7050000001</v>
      </c>
      <c r="E7" s="10">
        <f t="shared" si="0"/>
        <v>-943.85413260350481</v>
      </c>
    </row>
    <row r="8" spans="1:5" x14ac:dyDescent="0.2">
      <c r="A8" s="6" t="s">
        <v>52</v>
      </c>
      <c r="B8" s="6" t="s">
        <v>5</v>
      </c>
      <c r="C8" s="7">
        <f>L_i!C14</f>
        <v>541.09999999999991</v>
      </c>
      <c r="D8" s="10">
        <f>delta_M_OC!C8</f>
        <v>-208420922.51300019</v>
      </c>
      <c r="E8" s="10">
        <f t="shared" si="0"/>
        <v>-385180.0453021627</v>
      </c>
    </row>
    <row r="9" spans="1:5" x14ac:dyDescent="0.2">
      <c r="A9" s="6" t="s">
        <v>52</v>
      </c>
      <c r="B9" s="6" t="s">
        <v>43</v>
      </c>
      <c r="C9" s="7">
        <f>L_i!C15</f>
        <v>8311.1</v>
      </c>
      <c r="D9" s="10">
        <f>delta_M_OC!C9</f>
        <v>-2770704731.1709652</v>
      </c>
      <c r="E9" s="10">
        <f t="shared" si="0"/>
        <v>-333374.00959812361</v>
      </c>
    </row>
    <row r="10" spans="1:5" x14ac:dyDescent="0.2">
      <c r="A10" s="6" t="s">
        <v>52</v>
      </c>
      <c r="B10" s="6" t="s">
        <v>44</v>
      </c>
      <c r="C10" s="7">
        <f>L_i!C16</f>
        <v>2573</v>
      </c>
      <c r="D10" s="10">
        <f>delta_M_OC!C10</f>
        <v>0</v>
      </c>
      <c r="E10" s="10">
        <f t="shared" si="0"/>
        <v>0</v>
      </c>
    </row>
    <row r="11" spans="1:5" x14ac:dyDescent="0.2">
      <c r="A11" s="6" t="s">
        <v>52</v>
      </c>
      <c r="B11" s="6" t="s">
        <v>45</v>
      </c>
      <c r="C11" s="7">
        <f>L_i!C17</f>
        <v>9643.7000000000025</v>
      </c>
      <c r="D11" s="10">
        <f>delta_M_OC!C11</f>
        <v>0</v>
      </c>
      <c r="E11" s="10">
        <f t="shared" si="0"/>
        <v>0</v>
      </c>
    </row>
    <row r="12" spans="1:5" x14ac:dyDescent="0.2">
      <c r="A12" s="6" t="s">
        <v>52</v>
      </c>
      <c r="B12" s="6" t="s">
        <v>46</v>
      </c>
      <c r="C12" s="7">
        <f>L_i!C18</f>
        <v>5389.7999999999993</v>
      </c>
      <c r="D12" s="10">
        <f>delta_M_OC!C12</f>
        <v>229362.95400000006</v>
      </c>
      <c r="E12" s="10">
        <f t="shared" si="0"/>
        <v>42.555002783034638</v>
      </c>
    </row>
    <row r="13" spans="1:5" x14ac:dyDescent="0.2">
      <c r="A13" s="6" t="s">
        <v>52</v>
      </c>
      <c r="B13" s="6" t="s">
        <v>47</v>
      </c>
      <c r="C13" s="7">
        <f>L_i!C19</f>
        <v>11789.600000000002</v>
      </c>
      <c r="D13" s="10">
        <f>delta_M_OC!C13</f>
        <v>12775679.470999999</v>
      </c>
      <c r="E13" s="10">
        <f t="shared" si="0"/>
        <v>1083.6397732747503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6010-8D8B-2B4D-A342-F3D0AAF91306}">
  <dimension ref="A1:R40"/>
  <sheetViews>
    <sheetView workbookViewId="0">
      <selection activeCell="J11" sqref="J11"/>
    </sheetView>
  </sheetViews>
  <sheetFormatPr baseColWidth="10" defaultRowHeight="16" x14ac:dyDescent="0.2"/>
  <cols>
    <col min="1" max="1" width="22.83203125" bestFit="1" customWidth="1"/>
    <col min="2" max="2" width="11" bestFit="1" customWidth="1"/>
    <col min="3" max="3" width="12.6640625" bestFit="1" customWidth="1"/>
    <col min="4" max="7" width="11" bestFit="1" customWidth="1"/>
    <col min="8" max="8" width="18.5" bestFit="1" customWidth="1"/>
    <col min="11" max="11" width="22.83203125" bestFit="1" customWidth="1"/>
    <col min="12" max="12" width="11" bestFit="1" customWidth="1"/>
    <col min="13" max="13" width="11.33203125" bestFit="1" customWidth="1"/>
    <col min="14" max="17" width="11" bestFit="1" customWidth="1"/>
    <col min="18" max="18" width="18.5" bestFit="1" customWidth="1"/>
  </cols>
  <sheetData>
    <row r="1" spans="1:18" x14ac:dyDescent="0.2">
      <c r="A1" s="20" t="s">
        <v>66</v>
      </c>
      <c r="B1" s="20"/>
      <c r="C1" s="20"/>
      <c r="D1" s="20"/>
      <c r="E1" s="20"/>
      <c r="F1" s="20"/>
      <c r="G1" s="20"/>
      <c r="H1" s="20"/>
      <c r="K1" s="20" t="s">
        <v>67</v>
      </c>
      <c r="L1" s="20"/>
      <c r="M1" s="20"/>
      <c r="N1" s="20"/>
      <c r="O1" s="20"/>
      <c r="P1" s="20"/>
      <c r="Q1" s="20"/>
      <c r="R1" s="20"/>
    </row>
    <row r="2" spans="1:18" x14ac:dyDescent="0.2">
      <c r="A2" s="14"/>
      <c r="B2" s="8" t="s">
        <v>5</v>
      </c>
      <c r="C2" s="8" t="s">
        <v>43</v>
      </c>
      <c r="D2" s="8" t="s">
        <v>44</v>
      </c>
      <c r="E2" s="8" t="s">
        <v>45</v>
      </c>
      <c r="F2" s="8" t="s">
        <v>46</v>
      </c>
      <c r="G2" s="8" t="s">
        <v>47</v>
      </c>
      <c r="H2" s="8" t="s">
        <v>68</v>
      </c>
      <c r="K2" s="14"/>
      <c r="L2" s="8" t="s">
        <v>5</v>
      </c>
      <c r="M2" s="8" t="s">
        <v>43</v>
      </c>
      <c r="N2" s="8" t="s">
        <v>44</v>
      </c>
      <c r="O2" s="8" t="s">
        <v>45</v>
      </c>
      <c r="P2" s="8" t="s">
        <v>46</v>
      </c>
      <c r="Q2" s="8" t="s">
        <v>47</v>
      </c>
      <c r="R2" s="8" t="s">
        <v>69</v>
      </c>
    </row>
    <row r="3" spans="1:18" x14ac:dyDescent="0.2">
      <c r="A3" s="8" t="s">
        <v>4</v>
      </c>
      <c r="B3" s="7">
        <f>s_ri!B3*shock_OC!$E$2</f>
        <v>6726.6023409115087</v>
      </c>
      <c r="C3" s="7">
        <f>s_ri!C3*shock_OC!$E$3</f>
        <v>8447295.3835950959</v>
      </c>
      <c r="D3" s="7">
        <f>s_ri!D3*shock_OC!$E$4</f>
        <v>0</v>
      </c>
      <c r="E3" s="7">
        <f>s_ri!E3*shock_OC!$E$5</f>
        <v>0</v>
      </c>
      <c r="F3" s="7">
        <f>s_ri!F3*shock_OC!$E$6</f>
        <v>13.763275831801041</v>
      </c>
      <c r="G3" s="7">
        <f>s_ri!G3*shock_OC!$E$7</f>
        <v>-226.32840943493196</v>
      </c>
      <c r="H3" s="7">
        <f>SUM(B3:G3)/1000</f>
        <v>8453.8094208024031</v>
      </c>
      <c r="K3" s="8" t="s">
        <v>4</v>
      </c>
      <c r="L3" s="7">
        <f>s_ri!K3*shock_OC!$E$8</f>
        <v>-3924.9195119498295</v>
      </c>
      <c r="M3" s="7">
        <f>s_ri!L3*shock_OC!$E$9</f>
        <v>-102703.95702510858</v>
      </c>
      <c r="N3" s="7">
        <f>s_ri!M3*shock_OC!$E$10</f>
        <v>0</v>
      </c>
      <c r="O3" s="7">
        <f>s_ri!N3*shock_OC!$E$11</f>
        <v>0</v>
      </c>
      <c r="P3" s="7">
        <f>s_ri!O3*shock_OC!$E$12</f>
        <v>6.0399797049938986</v>
      </c>
      <c r="Q3" s="7">
        <f>s_ri!P3*shock_OC!$E$12</f>
        <v>11.133461132601729</v>
      </c>
      <c r="R3" s="7">
        <f>SUM(L3:Q3)/1000</f>
        <v>-106.61170309622082</v>
      </c>
    </row>
    <row r="4" spans="1:18" x14ac:dyDescent="0.2">
      <c r="A4" s="8" t="s">
        <v>6</v>
      </c>
      <c r="B4" s="7">
        <f>s_ri!B4*shock_OC!$E$2</f>
        <v>5786.8159567297262</v>
      </c>
      <c r="C4" s="7">
        <f>s_ri!C4*shock_OC!$E$3</f>
        <v>7368320.1808714969</v>
      </c>
      <c r="D4" s="7">
        <f>s_ri!D4*shock_OC!$E$4</f>
        <v>0</v>
      </c>
      <c r="E4" s="7">
        <f>s_ri!E4*shock_OC!$E$5</f>
        <v>0</v>
      </c>
      <c r="F4" s="7">
        <f>s_ri!F4*shock_OC!$E$6</f>
        <v>14.875607283914182</v>
      </c>
      <c r="G4" s="7">
        <f>s_ri!G4*shock_OC!$E$7</f>
        <v>-269.90266613947688</v>
      </c>
      <c r="H4" s="7">
        <f t="shared" ref="H4:H40" si="0">SUM(B4:G4)/1000</f>
        <v>7373.851969769371</v>
      </c>
      <c r="K4" s="8" t="s">
        <v>6</v>
      </c>
      <c r="L4" s="7">
        <f>s_ri!K4*shock_OC!$E$8</f>
        <v>-1730.8166544423152</v>
      </c>
      <c r="M4" s="7">
        <f>s_ri!L4*shock_OC!$E$9</f>
        <v>-89652.980037393339</v>
      </c>
      <c r="N4" s="7">
        <f>s_ri!M4*shock_OC!$E$10</f>
        <v>0</v>
      </c>
      <c r="O4" s="7">
        <f>s_ri!N4*shock_OC!$E$11</f>
        <v>0</v>
      </c>
      <c r="P4" s="7">
        <f>s_ri!O4*shock_OC!$E$12</f>
        <v>5.8663027446529084</v>
      </c>
      <c r="Q4" s="7">
        <f>s_ri!P4*shock_OC!$E$12</f>
        <v>12.721126117548435</v>
      </c>
      <c r="R4" s="7">
        <f t="shared" ref="R4:R40" si="1">SUM(L4:Q4)/1000</f>
        <v>-91.365209262973437</v>
      </c>
    </row>
    <row r="5" spans="1:18" x14ac:dyDescent="0.2">
      <c r="A5" s="8" t="s">
        <v>7</v>
      </c>
      <c r="B5" s="7">
        <f>s_ri!B5*shock_OC!$E$2</f>
        <v>12879.453160465306</v>
      </c>
      <c r="C5" s="7">
        <f>s_ri!C5*shock_OC!$E$3</f>
        <v>7494651.3237015661</v>
      </c>
      <c r="D5" s="7">
        <f>s_ri!D5*shock_OC!$E$4</f>
        <v>0</v>
      </c>
      <c r="E5" s="7">
        <f>s_ri!E5*shock_OC!$E$5</f>
        <v>0</v>
      </c>
      <c r="F5" s="7">
        <f>s_ri!F5*shock_OC!$E$6</f>
        <v>11.796668425319325</v>
      </c>
      <c r="G5" s="7">
        <f>s_ri!G5*shock_OC!$E$7</f>
        <v>-252.51188401823802</v>
      </c>
      <c r="H5" s="7">
        <f t="shared" si="0"/>
        <v>7507.2900616464394</v>
      </c>
      <c r="K5" s="8" t="s">
        <v>7</v>
      </c>
      <c r="L5" s="7">
        <f>s_ri!K5*shock_OC!$E$8</f>
        <v>-4205.0223286262299</v>
      </c>
      <c r="M5" s="7">
        <f>s_ri!L5*shock_OC!$E$9</f>
        <v>-95596.331718821457</v>
      </c>
      <c r="N5" s="7">
        <f>s_ri!M5*shock_OC!$E$10</f>
        <v>0</v>
      </c>
      <c r="O5" s="7">
        <f>s_ri!N5*shock_OC!$E$11</f>
        <v>0</v>
      </c>
      <c r="P5" s="7">
        <f>s_ri!O5*shock_OC!$E$12</f>
        <v>4.2353687267685487</v>
      </c>
      <c r="Q5" s="7">
        <f>s_ri!P5*shock_OC!$E$12</f>
        <v>12.702234728087394</v>
      </c>
      <c r="R5" s="7">
        <f t="shared" si="1"/>
        <v>-99.784416443992825</v>
      </c>
    </row>
    <row r="6" spans="1:18" x14ac:dyDescent="0.2">
      <c r="A6" s="8" t="s">
        <v>8</v>
      </c>
      <c r="B6" s="7">
        <f>s_ri!B6*shock_OC!$E$2</f>
        <v>15736.725296003069</v>
      </c>
      <c r="C6" s="7">
        <f>s_ri!C6*shock_OC!$E$3</f>
        <v>8237266.6233494785</v>
      </c>
      <c r="D6" s="7">
        <f>s_ri!D6*shock_OC!$E$4</f>
        <v>0</v>
      </c>
      <c r="E6" s="7">
        <f>s_ri!E6*shock_OC!$E$5</f>
        <v>0</v>
      </c>
      <c r="F6" s="7">
        <f>s_ri!F6*shock_OC!$E$6</f>
        <v>11.542167750880624</v>
      </c>
      <c r="G6" s="7">
        <f>s_ri!G6*shock_OC!$E$7</f>
        <v>-241.6398340231334</v>
      </c>
      <c r="H6" s="7">
        <f t="shared" si="0"/>
        <v>8252.7732509792095</v>
      </c>
      <c r="K6" s="8" t="s">
        <v>8</v>
      </c>
      <c r="L6" s="7">
        <f>s_ri!K6*shock_OC!$E$8</f>
        <v>-8036.2858582391773</v>
      </c>
      <c r="M6" s="7">
        <f>s_ri!L6*shock_OC!$E$9</f>
        <v>-107846.39861817032</v>
      </c>
      <c r="N6" s="7">
        <f>s_ri!M6*shock_OC!$E$10</f>
        <v>0</v>
      </c>
      <c r="O6" s="7">
        <f>s_ri!N6*shock_OC!$E$11</f>
        <v>0</v>
      </c>
      <c r="P6" s="7">
        <f>s_ri!O6*shock_OC!$E$12</f>
        <v>4.2626604021592751</v>
      </c>
      <c r="Q6" s="7">
        <f>s_ri!P6*shock_OC!$E$12</f>
        <v>12.425201597783417</v>
      </c>
      <c r="R6" s="7">
        <f t="shared" si="1"/>
        <v>-115.86599661440955</v>
      </c>
    </row>
    <row r="7" spans="1:18" x14ac:dyDescent="0.2">
      <c r="A7" s="8" t="s">
        <v>9</v>
      </c>
      <c r="B7" s="7">
        <f>s_ri!B7*shock_OC!$E$2</f>
        <v>10452.267242604112</v>
      </c>
      <c r="C7" s="7">
        <f>s_ri!C7*shock_OC!$E$3</f>
        <v>5457137.3987300349</v>
      </c>
      <c r="D7" s="7">
        <f>s_ri!D7*shock_OC!$E$4</f>
        <v>0</v>
      </c>
      <c r="E7" s="7">
        <f>s_ri!E7*shock_OC!$E$5</f>
        <v>0</v>
      </c>
      <c r="F7" s="7">
        <f>s_ri!F7*shock_OC!$E$6</f>
        <v>21.611667675307753</v>
      </c>
      <c r="G7" s="7">
        <f>s_ri!G7*shock_OC!$E$7</f>
        <v>-261.80313043487934</v>
      </c>
      <c r="H7" s="7">
        <f t="shared" si="0"/>
        <v>5467.3494745098787</v>
      </c>
      <c r="K7" s="8" t="s">
        <v>9</v>
      </c>
      <c r="L7" s="7">
        <f>s_ri!K7*shock_OC!$E$8</f>
        <v>-5907.9836720697012</v>
      </c>
      <c r="M7" s="7">
        <f>s_ri!L7*shock_OC!$E$9</f>
        <v>-66621.599222818579</v>
      </c>
      <c r="N7" s="7">
        <f>s_ri!M7*shock_OC!$E$10</f>
        <v>0</v>
      </c>
      <c r="O7" s="7">
        <f>s_ri!N7*shock_OC!$E$11</f>
        <v>0</v>
      </c>
      <c r="P7" s="7">
        <f>s_ri!O7*shock_OC!$E$12</f>
        <v>7.8175339805344253</v>
      </c>
      <c r="Q7" s="7">
        <f>s_ri!P7*shock_OC!$E$12</f>
        <v>11.926266849647352</v>
      </c>
      <c r="R7" s="7">
        <f t="shared" si="1"/>
        <v>-72.509839094058094</v>
      </c>
    </row>
    <row r="8" spans="1:18" x14ac:dyDescent="0.2">
      <c r="A8" s="8" t="s">
        <v>10</v>
      </c>
      <c r="B8" s="7">
        <f>s_ri!B8*shock_OC!$E$2</f>
        <v>25196.227296533627</v>
      </c>
      <c r="C8" s="7">
        <f>s_ri!C8*shock_OC!$E$3</f>
        <v>6891220.9969386701</v>
      </c>
      <c r="D8" s="7">
        <f>s_ri!D8*shock_OC!$E$4</f>
        <v>0</v>
      </c>
      <c r="E8" s="7">
        <f>s_ri!E8*shock_OC!$E$5</f>
        <v>0</v>
      </c>
      <c r="F8" s="7">
        <f>s_ri!F8*shock_OC!$E$6</f>
        <v>11.360822830735655</v>
      </c>
      <c r="G8" s="7">
        <f>s_ri!G8*shock_OC!$E$7</f>
        <v>-218.58571338092</v>
      </c>
      <c r="H8" s="7">
        <f t="shared" si="0"/>
        <v>6916.2099993446536</v>
      </c>
      <c r="K8" s="8" t="s">
        <v>10</v>
      </c>
      <c r="L8" s="7">
        <f>s_ri!K8*shock_OC!$E$8</f>
        <v>-13470.98886682597</v>
      </c>
      <c r="M8" s="7">
        <f>s_ri!L8*shock_OC!$E$9</f>
        <v>-90986.112726663254</v>
      </c>
      <c r="N8" s="7">
        <f>s_ri!M8*shock_OC!$E$10</f>
        <v>0</v>
      </c>
      <c r="O8" s="7">
        <f>s_ri!N8*shock_OC!$E$11</f>
        <v>0</v>
      </c>
      <c r="P8" s="7">
        <f>s_ri!O8*shock_OC!$E$12</f>
        <v>4.3722844224871595</v>
      </c>
      <c r="Q8" s="7">
        <f>s_ri!P8*shock_OC!$E$12</f>
        <v>11.10873566625402</v>
      </c>
      <c r="R8" s="7">
        <f t="shared" si="1"/>
        <v>-104.44162057340047</v>
      </c>
    </row>
    <row r="9" spans="1:18" x14ac:dyDescent="0.2">
      <c r="A9" s="8" t="s">
        <v>11</v>
      </c>
      <c r="B9" s="7">
        <f>s_ri!B9*shock_OC!$E$2</f>
        <v>23693.912571426034</v>
      </c>
      <c r="C9" s="7">
        <f>s_ri!C9*shock_OC!$E$3</f>
        <v>6744925.5317408368</v>
      </c>
      <c r="D9" s="7">
        <f>s_ri!D9*shock_OC!$E$4</f>
        <v>0</v>
      </c>
      <c r="E9" s="7">
        <f>s_ri!E9*shock_OC!$E$5</f>
        <v>0</v>
      </c>
      <c r="F9" s="7">
        <f>s_ri!F9*shock_OC!$E$6</f>
        <v>10.400229780880148</v>
      </c>
      <c r="G9" s="7">
        <f>s_ri!G9*shock_OC!$E$7</f>
        <v>-247.21805898426481</v>
      </c>
      <c r="H9" s="7">
        <f t="shared" si="0"/>
        <v>6768.3826264830595</v>
      </c>
      <c r="K9" s="8" t="s">
        <v>11</v>
      </c>
      <c r="L9" s="7">
        <f>s_ri!K9*shock_OC!$E$8</f>
        <v>-10024.065409303239</v>
      </c>
      <c r="M9" s="7">
        <f>s_ri!L9*shock_OC!$E$9</f>
        <v>-95372.778677942348</v>
      </c>
      <c r="N9" s="7">
        <f>s_ri!M9*shock_OC!$E$10</f>
        <v>0</v>
      </c>
      <c r="O9" s="7">
        <f>s_ri!N9*shock_OC!$E$11</f>
        <v>0</v>
      </c>
      <c r="P9" s="7">
        <f>s_ri!O9*shock_OC!$E$12</f>
        <v>4.1785274050524972</v>
      </c>
      <c r="Q9" s="7">
        <f>s_ri!P9*shock_OC!$E$12</f>
        <v>12.645543462658873</v>
      </c>
      <c r="R9" s="7">
        <f t="shared" si="1"/>
        <v>-105.38002001637788</v>
      </c>
    </row>
    <row r="10" spans="1:18" x14ac:dyDescent="0.2">
      <c r="A10" s="8" t="s">
        <v>12</v>
      </c>
      <c r="B10" s="7">
        <f>s_ri!B10*shock_OC!$E$2</f>
        <v>11007.908313916476</v>
      </c>
      <c r="C10" s="7">
        <f>s_ri!C10*shock_OC!$E$3</f>
        <v>7088830.8393993275</v>
      </c>
      <c r="D10" s="7">
        <f>s_ri!D10*shock_OC!$E$4</f>
        <v>0</v>
      </c>
      <c r="E10" s="7">
        <f>s_ri!E10*shock_OC!$E$5</f>
        <v>0</v>
      </c>
      <c r="F10" s="7">
        <f>s_ri!F10*shock_OC!$E$6</f>
        <v>12.392449966611048</v>
      </c>
      <c r="G10" s="7">
        <f>s_ri!G10*shock_OC!$E$7</f>
        <v>-247.99963270661488</v>
      </c>
      <c r="H10" s="7">
        <f t="shared" si="0"/>
        <v>7099.603140530503</v>
      </c>
      <c r="K10" s="8" t="s">
        <v>12</v>
      </c>
      <c r="L10" s="7">
        <f>s_ri!K10*shock_OC!$E$8</f>
        <v>-6762.703085457817</v>
      </c>
      <c r="M10" s="7">
        <f>s_ri!L10*shock_OC!$E$9</f>
        <v>-97022.016152125681</v>
      </c>
      <c r="N10" s="7">
        <f>s_ri!M10*shock_OC!$E$10</f>
        <v>0</v>
      </c>
      <c r="O10" s="7">
        <f>s_ri!N10*shock_OC!$E$11</f>
        <v>0</v>
      </c>
      <c r="P10" s="7">
        <f>s_ri!O10*shock_OC!$E$12</f>
        <v>4.7184077513250235</v>
      </c>
      <c r="Q10" s="7">
        <f>s_ri!P10*shock_OC!$E$12</f>
        <v>12.319835729363273</v>
      </c>
      <c r="R10" s="7">
        <f t="shared" si="1"/>
        <v>-103.76768099410282</v>
      </c>
    </row>
    <row r="11" spans="1:18" x14ac:dyDescent="0.2">
      <c r="A11" s="8" t="s">
        <v>13</v>
      </c>
      <c r="B11" s="7">
        <f>s_ri!B11*shock_OC!$E$2</f>
        <v>17229.985692317194</v>
      </c>
      <c r="C11" s="7">
        <f>s_ri!C11*shock_OC!$E$3</f>
        <v>7038669.4032141874</v>
      </c>
      <c r="D11" s="7">
        <f>s_ri!D11*shock_OC!$E$4</f>
        <v>0</v>
      </c>
      <c r="E11" s="7">
        <f>s_ri!E11*shock_OC!$E$5</f>
        <v>0</v>
      </c>
      <c r="F11" s="7">
        <f>s_ri!F11*shock_OC!$E$6</f>
        <v>15.623840984560827</v>
      </c>
      <c r="G11" s="7">
        <f>s_ri!G11*shock_OC!$E$7</f>
        <v>-220.70592807777916</v>
      </c>
      <c r="H11" s="7">
        <f t="shared" si="0"/>
        <v>7055.6943068194123</v>
      </c>
      <c r="K11" s="8" t="s">
        <v>13</v>
      </c>
      <c r="L11" s="7">
        <f>s_ri!K11*shock_OC!$E$8</f>
        <v>-5419.9818757339963</v>
      </c>
      <c r="M11" s="7">
        <f>s_ri!L11*shock_OC!$E$9</f>
        <v>-87135.397208515191</v>
      </c>
      <c r="N11" s="7">
        <f>s_ri!M11*shock_OC!$E$10</f>
        <v>0</v>
      </c>
      <c r="O11" s="7">
        <f>s_ri!N11*shock_OC!$E$11</f>
        <v>0</v>
      </c>
      <c r="P11" s="7">
        <f>s_ri!O11*shock_OC!$E$12</f>
        <v>5.6387374700784632</v>
      </c>
      <c r="Q11" s="7">
        <f>s_ri!P11*shock_OC!$E$12</f>
        <v>12.105820444610933</v>
      </c>
      <c r="R11" s="7">
        <f t="shared" si="1"/>
        <v>-92.5376345263345</v>
      </c>
    </row>
    <row r="12" spans="1:18" x14ac:dyDescent="0.2">
      <c r="A12" s="8" t="s">
        <v>14</v>
      </c>
      <c r="B12" s="7">
        <f>s_ri!B12*shock_OC!$E$2</f>
        <v>10439.329594486166</v>
      </c>
      <c r="C12" s="7">
        <f>s_ri!C12*shock_OC!$E$3</f>
        <v>7033143.0571856927</v>
      </c>
      <c r="D12" s="7">
        <f>s_ri!D12*shock_OC!$E$4</f>
        <v>0</v>
      </c>
      <c r="E12" s="7">
        <f>s_ri!E12*shock_OC!$E$5</f>
        <v>0</v>
      </c>
      <c r="F12" s="7">
        <f>s_ri!F12*shock_OC!$E$6</f>
        <v>11.554035906641312</v>
      </c>
      <c r="G12" s="7">
        <f>s_ri!G12*shock_OC!$E$7</f>
        <v>-258.56419305749057</v>
      </c>
      <c r="H12" s="7">
        <f t="shared" si="0"/>
        <v>7043.3353766230275</v>
      </c>
      <c r="K12" s="8" t="s">
        <v>14</v>
      </c>
      <c r="L12" s="7">
        <f>s_ri!K12*shock_OC!$E$8</f>
        <v>-6135.5069247089787</v>
      </c>
      <c r="M12" s="7">
        <f>s_ri!L12*shock_OC!$E$9</f>
        <v>-89764.360372721902</v>
      </c>
      <c r="N12" s="7">
        <f>s_ri!M12*shock_OC!$E$10</f>
        <v>0</v>
      </c>
      <c r="O12" s="7">
        <f>s_ri!N12*shock_OC!$E$11</f>
        <v>0</v>
      </c>
      <c r="P12" s="7">
        <f>s_ri!O12*shock_OC!$E$12</f>
        <v>4.5103479745535253</v>
      </c>
      <c r="Q12" s="7">
        <f>s_ri!P12*shock_OC!$E$12</f>
        <v>12.853188158698774</v>
      </c>
      <c r="R12" s="7">
        <f t="shared" si="1"/>
        <v>-95.882503761297627</v>
      </c>
    </row>
    <row r="13" spans="1:18" x14ac:dyDescent="0.2">
      <c r="A13" s="8" t="s">
        <v>15</v>
      </c>
      <c r="B13" s="7">
        <f>s_ri!B13*shock_OC!$E$2</f>
        <v>16160.559641120155</v>
      </c>
      <c r="C13" s="7">
        <f>s_ri!C13*shock_OC!$E$3</f>
        <v>7114148.0923971813</v>
      </c>
      <c r="D13" s="7">
        <f>s_ri!D13*shock_OC!$E$4</f>
        <v>0</v>
      </c>
      <c r="E13" s="7">
        <f>s_ri!E13*shock_OC!$E$5</f>
        <v>0</v>
      </c>
      <c r="F13" s="7">
        <f>s_ri!F13*shock_OC!$E$6</f>
        <v>12.265790110990292</v>
      </c>
      <c r="G13" s="7">
        <f>s_ri!G13*shock_OC!$E$7</f>
        <v>-242.00197002284747</v>
      </c>
      <c r="H13" s="7">
        <f t="shared" si="0"/>
        <v>7130.0789158583902</v>
      </c>
      <c r="K13" s="8" t="s">
        <v>15</v>
      </c>
      <c r="L13" s="7">
        <f>s_ri!K13*shock_OC!$E$8</f>
        <v>-8810.8784688442829</v>
      </c>
      <c r="M13" s="7">
        <f>s_ri!L13*shock_OC!$E$9</f>
        <v>-94962.461138511819</v>
      </c>
      <c r="N13" s="7">
        <f>s_ri!M13*shock_OC!$E$10</f>
        <v>0</v>
      </c>
      <c r="O13" s="7">
        <f>s_ri!N13*shock_OC!$E$11</f>
        <v>0</v>
      </c>
      <c r="P13" s="7">
        <f>s_ri!O13*shock_OC!$E$12</f>
        <v>4.8526360292023103</v>
      </c>
      <c r="Q13" s="7">
        <f>s_ri!P13*shock_OC!$E$12</f>
        <v>11.317974451343114</v>
      </c>
      <c r="R13" s="7">
        <f t="shared" si="1"/>
        <v>-103.75716899687555</v>
      </c>
    </row>
    <row r="14" spans="1:18" x14ac:dyDescent="0.2">
      <c r="A14" s="8" t="s">
        <v>16</v>
      </c>
      <c r="B14" s="7">
        <f>s_ri!B14*shock_OC!$E$2</f>
        <v>3087.3904986020593</v>
      </c>
      <c r="C14" s="7">
        <f>s_ri!C14*shock_OC!$E$3</f>
        <v>3236008.6805698909</v>
      </c>
      <c r="D14" s="7">
        <f>s_ri!D14*shock_OC!$E$4</f>
        <v>0</v>
      </c>
      <c r="E14" s="7">
        <f>s_ri!E14*shock_OC!$E$5</f>
        <v>0</v>
      </c>
      <c r="F14" s="7">
        <f>s_ri!F14*shock_OC!$E$6</f>
        <v>21.16594161999986</v>
      </c>
      <c r="G14" s="7">
        <f>s_ri!G14*shock_OC!$E$7</f>
        <v>-355.81957837753339</v>
      </c>
      <c r="H14" s="7">
        <f t="shared" si="0"/>
        <v>3238.761417431735</v>
      </c>
      <c r="K14" s="8" t="s">
        <v>16</v>
      </c>
      <c r="L14" s="7">
        <f>s_ri!K14*shock_OC!$E$8</f>
        <v>0</v>
      </c>
      <c r="M14" s="7">
        <f>s_ri!L14*shock_OC!$E$9</f>
        <v>-31203.772675613021</v>
      </c>
      <c r="N14" s="7">
        <f>s_ri!M14*shock_OC!$E$10</f>
        <v>0</v>
      </c>
      <c r="O14" s="7">
        <f>s_ri!N14*shock_OC!$E$11</f>
        <v>0</v>
      </c>
      <c r="P14" s="7">
        <f>s_ri!O14*shock_OC!$E$12</f>
        <v>8.154119707615104</v>
      </c>
      <c r="Q14" s="7">
        <f>s_ri!P14*shock_OC!$E$12</f>
        <v>15.761316751914556</v>
      </c>
      <c r="R14" s="7">
        <f t="shared" si="1"/>
        <v>-31.179857239153492</v>
      </c>
    </row>
    <row r="15" spans="1:18" x14ac:dyDescent="0.2">
      <c r="A15" s="8" t="s">
        <v>17</v>
      </c>
      <c r="B15" s="7">
        <f>s_ri!B15*shock_OC!$E$2</f>
        <v>21127.559131197137</v>
      </c>
      <c r="C15" s="7">
        <f>s_ri!C15*shock_OC!$E$3</f>
        <v>3434269.9277453632</v>
      </c>
      <c r="D15" s="7">
        <f>s_ri!D15*shock_OC!$E$4</f>
        <v>0</v>
      </c>
      <c r="E15" s="7">
        <f>s_ri!E15*shock_OC!$E$5</f>
        <v>0</v>
      </c>
      <c r="F15" s="7">
        <f>s_ri!F15*shock_OC!$E$6</f>
        <v>11.510822401339786</v>
      </c>
      <c r="G15" s="7">
        <f>s_ri!G15*shock_OC!$E$7</f>
        <v>-300.09508753159264</v>
      </c>
      <c r="H15" s="7">
        <f t="shared" si="0"/>
        <v>3455.1089026114305</v>
      </c>
      <c r="K15" s="8" t="s">
        <v>17</v>
      </c>
      <c r="L15" s="7">
        <f>s_ri!K15*shock_OC!$E$8</f>
        <v>-8833.0640183954347</v>
      </c>
      <c r="M15" s="7">
        <f>s_ri!L15*shock_OC!$E$9</f>
        <v>-50451.593223896125</v>
      </c>
      <c r="N15" s="7">
        <f>s_ri!M15*shock_OC!$E$10</f>
        <v>0</v>
      </c>
      <c r="O15" s="7">
        <f>s_ri!N15*shock_OC!$E$11</f>
        <v>0</v>
      </c>
      <c r="P15" s="7">
        <f>s_ri!O15*shock_OC!$E$12</f>
        <v>6.1925583680564698</v>
      </c>
      <c r="Q15" s="7">
        <f>s_ri!P15*shock_OC!$E$12</f>
        <v>14.268716471471949</v>
      </c>
      <c r="R15" s="7">
        <f t="shared" si="1"/>
        <v>-59.264195967452032</v>
      </c>
    </row>
    <row r="16" spans="1:18" x14ac:dyDescent="0.2">
      <c r="A16" s="8" t="s">
        <v>18</v>
      </c>
      <c r="B16" s="7">
        <f>s_ri!B16*shock_OC!$E$2</f>
        <v>0</v>
      </c>
      <c r="C16" s="7">
        <f>s_ri!C16*shock_OC!$E$3</f>
        <v>4726472.1008189199</v>
      </c>
      <c r="D16" s="7">
        <f>s_ri!D16*shock_OC!$E$4</f>
        <v>0</v>
      </c>
      <c r="E16" s="7">
        <f>s_ri!E16*shock_OC!$E$5</f>
        <v>0</v>
      </c>
      <c r="F16" s="7">
        <f>s_ri!F16*shock_OC!$E$6</f>
        <v>15.026012688749535</v>
      </c>
      <c r="G16" s="7">
        <f>s_ri!G16*shock_OC!$E$7</f>
        <v>-285.83484000800689</v>
      </c>
      <c r="H16" s="7">
        <f t="shared" si="0"/>
        <v>4726.2012919916006</v>
      </c>
      <c r="K16" s="8" t="s">
        <v>18</v>
      </c>
      <c r="L16" s="7">
        <f>s_ri!K16*shock_OC!$E$8</f>
        <v>0</v>
      </c>
      <c r="M16" s="7">
        <f>s_ri!L16*shock_OC!$E$9</f>
        <v>-50977.093700683952</v>
      </c>
      <c r="N16" s="7">
        <f>s_ri!M16*shock_OC!$E$10</f>
        <v>0</v>
      </c>
      <c r="O16" s="7">
        <f>s_ri!N16*shock_OC!$E$11</f>
        <v>0</v>
      </c>
      <c r="P16" s="7">
        <f>s_ri!O16*shock_OC!$E$12</f>
        <v>6.5219525763180677</v>
      </c>
      <c r="Q16" s="7">
        <f>s_ri!P16*shock_OC!$E$12</f>
        <v>13.988260276808891</v>
      </c>
      <c r="R16" s="7">
        <f t="shared" si="1"/>
        <v>-50.956583487830827</v>
      </c>
    </row>
    <row r="17" spans="1:18" x14ac:dyDescent="0.2">
      <c r="A17" s="8" t="s">
        <v>19</v>
      </c>
      <c r="B17" s="7">
        <f>s_ri!B17*shock_OC!$E$2</f>
        <v>0</v>
      </c>
      <c r="C17" s="7">
        <f>s_ri!C17*shock_OC!$E$3</f>
        <v>3726292.739394438</v>
      </c>
      <c r="D17" s="7">
        <f>s_ri!D17*shock_OC!$E$4</f>
        <v>0</v>
      </c>
      <c r="E17" s="7">
        <f>s_ri!E17*shock_OC!$E$5</f>
        <v>0</v>
      </c>
      <c r="F17" s="7">
        <f>s_ri!F17*shock_OC!$E$6</f>
        <v>23.319829866338782</v>
      </c>
      <c r="G17" s="7">
        <f>s_ri!G17*shock_OC!$E$7</f>
        <v>-275.80232155535771</v>
      </c>
      <c r="H17" s="7">
        <f t="shared" si="0"/>
        <v>3726.0402569027488</v>
      </c>
      <c r="K17" s="8" t="s">
        <v>19</v>
      </c>
      <c r="L17" s="7">
        <f>s_ri!K17*shock_OC!$E$8</f>
        <v>0</v>
      </c>
      <c r="M17" s="7">
        <f>s_ri!L17*shock_OC!$E$9</f>
        <v>-37982.808799502556</v>
      </c>
      <c r="N17" s="7">
        <f>s_ri!M17*shock_OC!$E$10</f>
        <v>0</v>
      </c>
      <c r="O17" s="7">
        <f>s_ri!N17*shock_OC!$E$11</f>
        <v>0</v>
      </c>
      <c r="P17" s="7">
        <f>s_ri!O17*shock_OC!$E$12</f>
        <v>9.0531857947597612</v>
      </c>
      <c r="Q17" s="7">
        <f>s_ri!P17*shock_OC!$E$12</f>
        <v>13.011439806135277</v>
      </c>
      <c r="R17" s="7">
        <f t="shared" si="1"/>
        <v>-37.960744173901666</v>
      </c>
    </row>
    <row r="18" spans="1:18" x14ac:dyDescent="0.2">
      <c r="A18" s="8" t="s">
        <v>20</v>
      </c>
      <c r="B18" s="7">
        <f>s_ri!B18*shock_OC!$E$2</f>
        <v>4183.3766106361845</v>
      </c>
      <c r="C18" s="7">
        <f>s_ri!C18*shock_OC!$E$3</f>
        <v>5292241.3738854583</v>
      </c>
      <c r="D18" s="7">
        <f>s_ri!D18*shock_OC!$E$4</f>
        <v>0</v>
      </c>
      <c r="E18" s="7">
        <f>s_ri!E18*shock_OC!$E$5</f>
        <v>0</v>
      </c>
      <c r="F18" s="7">
        <f>s_ri!F18*shock_OC!$E$6</f>
        <v>22.505916857501518</v>
      </c>
      <c r="G18" s="7">
        <f>s_ri!G18*shock_OC!$E$7</f>
        <v>-254.10381543981498</v>
      </c>
      <c r="H18" s="7">
        <f t="shared" si="0"/>
        <v>5296.1931525975115</v>
      </c>
      <c r="K18" s="8" t="s">
        <v>20</v>
      </c>
      <c r="L18" s="7">
        <f>s_ri!K18*shock_OC!$E$8</f>
        <v>-2998.2443241091541</v>
      </c>
      <c r="M18" s="7">
        <f>s_ri!L18*shock_OC!$E$9</f>
        <v>-60102.047781230489</v>
      </c>
      <c r="N18" s="7">
        <f>s_ri!M18*shock_OC!$E$10</f>
        <v>0</v>
      </c>
      <c r="O18" s="7">
        <f>s_ri!N18*shock_OC!$E$11</f>
        <v>0</v>
      </c>
      <c r="P18" s="7">
        <f>s_ri!O18*shock_OC!$E$12</f>
        <v>8.7769258910738799</v>
      </c>
      <c r="Q18" s="7">
        <f>s_ri!P18*shock_OC!$E$12</f>
        <v>11.744263464699015</v>
      </c>
      <c r="R18" s="7">
        <f t="shared" si="1"/>
        <v>-63.079770915983872</v>
      </c>
    </row>
    <row r="19" spans="1:18" x14ac:dyDescent="0.2">
      <c r="A19" s="8" t="s">
        <v>21</v>
      </c>
      <c r="B19" s="7">
        <f>s_ri!B19*shock_OC!$E$2</f>
        <v>8624.3908281811273</v>
      </c>
      <c r="C19" s="7">
        <f>s_ri!C19*shock_OC!$E$3</f>
        <v>6566310.2937173443</v>
      </c>
      <c r="D19" s="7">
        <f>s_ri!D19*shock_OC!$E$4</f>
        <v>0</v>
      </c>
      <c r="E19" s="7">
        <f>s_ri!E19*shock_OC!$E$5</f>
        <v>0</v>
      </c>
      <c r="F19" s="7">
        <f>s_ri!F19*shock_OC!$E$6</f>
        <v>12.07844961766282</v>
      </c>
      <c r="G19" s="7">
        <f>s_ri!G19*shock_OC!$E$7</f>
        <v>-283.37026566146039</v>
      </c>
      <c r="H19" s="7">
        <f t="shared" si="0"/>
        <v>6574.6633927294815</v>
      </c>
      <c r="K19" s="8" t="s">
        <v>21</v>
      </c>
      <c r="L19" s="7">
        <f>s_ri!K19*shock_OC!$E$8</f>
        <v>0</v>
      </c>
      <c r="M19" s="7">
        <f>s_ri!L19*shock_OC!$E$9</f>
        <v>-84285.433987972647</v>
      </c>
      <c r="N19" s="7">
        <f>s_ri!M19*shock_OC!$E$10</f>
        <v>0</v>
      </c>
      <c r="O19" s="7">
        <f>s_ri!N19*shock_OC!$E$11</f>
        <v>0</v>
      </c>
      <c r="P19" s="7">
        <f>s_ri!O19*shock_OC!$E$12</f>
        <v>4.8094812689072217</v>
      </c>
      <c r="Q19" s="7">
        <f>s_ri!P19*shock_OC!$E$12</f>
        <v>14.651104976578482</v>
      </c>
      <c r="R19" s="7">
        <f t="shared" si="1"/>
        <v>-84.265973401727152</v>
      </c>
    </row>
    <row r="20" spans="1:18" x14ac:dyDescent="0.2">
      <c r="A20" s="8" t="s">
        <v>22</v>
      </c>
      <c r="B20" s="7">
        <f>s_ri!B20*shock_OC!$E$2</f>
        <v>11411.055569842574</v>
      </c>
      <c r="C20" s="7">
        <f>s_ri!C20*shock_OC!$E$3</f>
        <v>6120892.2678559609</v>
      </c>
      <c r="D20" s="7">
        <f>s_ri!D20*shock_OC!$E$4</f>
        <v>0</v>
      </c>
      <c r="E20" s="7">
        <f>s_ri!E20*shock_OC!$E$5</f>
        <v>0</v>
      </c>
      <c r="F20" s="7">
        <f>s_ri!F20*shock_OC!$E$6</f>
        <v>10.776024715058751</v>
      </c>
      <c r="G20" s="7">
        <f>s_ri!G20*shock_OC!$E$7</f>
        <v>-281.24230350014312</v>
      </c>
      <c r="H20" s="7">
        <f t="shared" si="0"/>
        <v>6132.0328571470181</v>
      </c>
      <c r="K20" s="8" t="s">
        <v>22</v>
      </c>
      <c r="L20" s="7">
        <f>s_ri!K20*shock_OC!$E$8</f>
        <v>-4549.6340247606504</v>
      </c>
      <c r="M20" s="7">
        <f>s_ri!L20*shock_OC!$E$9</f>
        <v>-76495.929595122667</v>
      </c>
      <c r="N20" s="7">
        <f>s_ri!M20*shock_OC!$E$10</f>
        <v>0</v>
      </c>
      <c r="O20" s="7">
        <f>s_ri!N20*shock_OC!$E$11</f>
        <v>0</v>
      </c>
      <c r="P20" s="7">
        <f>s_ri!O20*shock_OC!$E$12</f>
        <v>4.7529732133908755</v>
      </c>
      <c r="Q20" s="7">
        <f>s_ri!P20*shock_OC!$E$12</f>
        <v>14.236744026424303</v>
      </c>
      <c r="R20" s="7">
        <f t="shared" si="1"/>
        <v>-81.02657390264352</v>
      </c>
    </row>
    <row r="21" spans="1:18" x14ac:dyDescent="0.2">
      <c r="A21" s="8" t="s">
        <v>23</v>
      </c>
      <c r="B21" s="7">
        <f>s_ri!B21*shock_OC!$E$2</f>
        <v>26358.693798480872</v>
      </c>
      <c r="C21" s="7">
        <f>s_ri!C21*shock_OC!$E$3</f>
        <v>2440756.74688541</v>
      </c>
      <c r="D21" s="7">
        <f>s_ri!D21*shock_OC!$E$4</f>
        <v>0</v>
      </c>
      <c r="E21" s="7">
        <f>s_ri!E21*shock_OC!$E$5</f>
        <v>0</v>
      </c>
      <c r="F21" s="7">
        <f>s_ri!F21*shock_OC!$E$6</f>
        <v>8.1904112829136722</v>
      </c>
      <c r="G21" s="7">
        <f>s_ri!G21*shock_OC!$E$7</f>
        <v>-331.79726781837041</v>
      </c>
      <c r="H21" s="7">
        <f t="shared" si="0"/>
        <v>2466.7918338273553</v>
      </c>
      <c r="K21" s="8" t="s">
        <v>23</v>
      </c>
      <c r="L21" s="7">
        <f>s_ri!K21*shock_OC!$E$8</f>
        <v>-14072.176040510902</v>
      </c>
      <c r="M21" s="7">
        <f>s_ri!L21*shock_OC!$E$9</f>
        <v>-47223.8343081411</v>
      </c>
      <c r="N21" s="7">
        <f>s_ri!M21*shock_OC!$E$10</f>
        <v>0</v>
      </c>
      <c r="O21" s="7">
        <f>s_ri!N21*shock_OC!$E$11</f>
        <v>0</v>
      </c>
      <c r="P21" s="7">
        <f>s_ri!O21*shock_OC!$E$12</f>
        <v>5.663982442940914</v>
      </c>
      <c r="Q21" s="7">
        <f>s_ri!P21*shock_OC!$E$12</f>
        <v>13.368154480124829</v>
      </c>
      <c r="R21" s="7">
        <f t="shared" si="1"/>
        <v>-61.276978211728938</v>
      </c>
    </row>
    <row r="22" spans="1:18" x14ac:dyDescent="0.2">
      <c r="A22" s="8" t="s">
        <v>24</v>
      </c>
      <c r="B22" s="7">
        <f>s_ri!B22*shock_OC!$E$2</f>
        <v>8835.8661047260593</v>
      </c>
      <c r="C22" s="7">
        <f>s_ri!C22*shock_OC!$E$3</f>
        <v>7211563.0095802853</v>
      </c>
      <c r="D22" s="7">
        <f>s_ri!D22*shock_OC!$E$4</f>
        <v>0</v>
      </c>
      <c r="E22" s="7">
        <f>s_ri!E22*shock_OC!$E$5</f>
        <v>0</v>
      </c>
      <c r="F22" s="7">
        <f>s_ri!F22*shock_OC!$E$6</f>
        <v>12.82883306672232</v>
      </c>
      <c r="G22" s="7">
        <f>s_ri!G22*shock_OC!$E$7</f>
        <v>-272.30469449304496</v>
      </c>
      <c r="H22" s="7">
        <f t="shared" si="0"/>
        <v>7220.1393998235844</v>
      </c>
      <c r="K22" s="8" t="s">
        <v>24</v>
      </c>
      <c r="L22" s="7">
        <f>s_ri!K22*shock_OC!$E$8</f>
        <v>-5804.5935210750367</v>
      </c>
      <c r="M22" s="7">
        <f>s_ri!L22*shock_OC!$E$9</f>
        <v>-86466.147104393734</v>
      </c>
      <c r="N22" s="7">
        <f>s_ri!M22*shock_OC!$E$10</f>
        <v>0</v>
      </c>
      <c r="O22" s="7">
        <f>s_ri!N22*shock_OC!$E$11</f>
        <v>0</v>
      </c>
      <c r="P22" s="7">
        <f>s_ri!O22*shock_OC!$E$12</f>
        <v>5.6716469905772708</v>
      </c>
      <c r="Q22" s="7">
        <f>s_ri!P22*shock_OC!$E$12</f>
        <v>13.690791023934967</v>
      </c>
      <c r="R22" s="7">
        <f t="shared" si="1"/>
        <v>-92.25137818745425</v>
      </c>
    </row>
    <row r="23" spans="1:18" x14ac:dyDescent="0.2">
      <c r="A23" s="8" t="s">
        <v>25</v>
      </c>
      <c r="B23" s="7">
        <f>s_ri!B23*shock_OC!$E$2</f>
        <v>8023.1395333308965</v>
      </c>
      <c r="C23" s="7">
        <f>s_ri!C23*shock_OC!$E$3</f>
        <v>5439623.2014738582</v>
      </c>
      <c r="D23" s="7">
        <f>s_ri!D23*shock_OC!$E$4</f>
        <v>0</v>
      </c>
      <c r="E23" s="7">
        <f>s_ri!E23*shock_OC!$E$5</f>
        <v>0</v>
      </c>
      <c r="F23" s="7">
        <f>s_ri!F23*shock_OC!$E$6</f>
        <v>15.110730307044188</v>
      </c>
      <c r="G23" s="7">
        <f>s_ri!G23*shock_OC!$E$7</f>
        <v>-278.48369457014297</v>
      </c>
      <c r="H23" s="7">
        <f t="shared" si="0"/>
        <v>5447.3829680429262</v>
      </c>
      <c r="K23" s="8" t="s">
        <v>25</v>
      </c>
      <c r="L23" s="7">
        <f>s_ri!K23*shock_OC!$E$8</f>
        <v>-5178.1002118225351</v>
      </c>
      <c r="M23" s="7">
        <f>s_ri!L23*shock_OC!$E$9</f>
        <v>-60706.052465775036</v>
      </c>
      <c r="N23" s="7">
        <f>s_ri!M23*shock_OC!$E$10</f>
        <v>0</v>
      </c>
      <c r="O23" s="7">
        <f>s_ri!N23*shock_OC!$E$11</f>
        <v>0</v>
      </c>
      <c r="P23" s="7">
        <f>s_ri!O23*shock_OC!$E$12</f>
        <v>6.3058895049715247</v>
      </c>
      <c r="Q23" s="7">
        <f>s_ri!P23*shock_OC!$E$12</f>
        <v>14.531716501834721</v>
      </c>
      <c r="R23" s="7">
        <f t="shared" si="1"/>
        <v>-65.863315071590748</v>
      </c>
    </row>
    <row r="24" spans="1:18" x14ac:dyDescent="0.2">
      <c r="A24" s="8" t="s">
        <v>26</v>
      </c>
      <c r="B24" s="7">
        <f>s_ri!B24*shock_OC!$E$2</f>
        <v>18348.627259187702</v>
      </c>
      <c r="C24" s="7">
        <f>s_ri!C24*shock_OC!$E$3</f>
        <v>4430846.5915548494</v>
      </c>
      <c r="D24" s="7">
        <f>s_ri!D24*shock_OC!$E$4</f>
        <v>0</v>
      </c>
      <c r="E24" s="7">
        <f>s_ri!E24*shock_OC!$E$5</f>
        <v>0</v>
      </c>
      <c r="F24" s="7">
        <f>s_ri!F24*shock_OC!$E$6</f>
        <v>13.375811885453052</v>
      </c>
      <c r="G24" s="7">
        <f>s_ri!G24*shock_OC!$E$7</f>
        <v>-290.0799589662542</v>
      </c>
      <c r="H24" s="7">
        <f t="shared" si="0"/>
        <v>4448.9185146669561</v>
      </c>
      <c r="K24" s="8" t="s">
        <v>26</v>
      </c>
      <c r="L24" s="7">
        <f>s_ri!K24*shock_OC!$E$8</f>
        <v>-14118.628402918715</v>
      </c>
      <c r="M24" s="7">
        <f>s_ri!L24*shock_OC!$E$9</f>
        <v>-56451.561769842308</v>
      </c>
      <c r="N24" s="7">
        <f>s_ri!M24*shock_OC!$E$10</f>
        <v>0</v>
      </c>
      <c r="O24" s="7">
        <f>s_ri!N24*shock_OC!$E$11</f>
        <v>0</v>
      </c>
      <c r="P24" s="7">
        <f>s_ri!O24*shock_OC!$E$12</f>
        <v>4.9870860256834604</v>
      </c>
      <c r="Q24" s="7">
        <f>s_ri!P24*shock_OC!$E$12</f>
        <v>13.610131246303542</v>
      </c>
      <c r="R24" s="7">
        <f t="shared" si="1"/>
        <v>-70.551592955489042</v>
      </c>
    </row>
    <row r="25" spans="1:18" x14ac:dyDescent="0.2">
      <c r="A25" s="8" t="s">
        <v>27</v>
      </c>
      <c r="B25" s="7">
        <f>s_ri!B25*shock_OC!$E$2</f>
        <v>23884.960489283367</v>
      </c>
      <c r="C25" s="7">
        <f>s_ri!C25*shock_OC!$E$3</f>
        <v>5424031.1649638554</v>
      </c>
      <c r="D25" s="7">
        <f>s_ri!D25*shock_OC!$E$4</f>
        <v>0</v>
      </c>
      <c r="E25" s="7">
        <f>s_ri!E25*shock_OC!$E$5</f>
        <v>0</v>
      </c>
      <c r="F25" s="7">
        <f>s_ri!F25*shock_OC!$E$6</f>
        <v>10.340164361564327</v>
      </c>
      <c r="G25" s="7">
        <f>s_ri!G25*shock_OC!$E$7</f>
        <v>-283.39735009199359</v>
      </c>
      <c r="H25" s="7">
        <f t="shared" si="0"/>
        <v>5447.6430682674081</v>
      </c>
      <c r="K25" s="8" t="s">
        <v>27</v>
      </c>
      <c r="L25" s="7">
        <f>s_ri!K25*shock_OC!$E$8</f>
        <v>-13113.225747770626</v>
      </c>
      <c r="M25" s="7">
        <f>s_ri!L25*shock_OC!$E$9</f>
        <v>-70709.54178328508</v>
      </c>
      <c r="N25" s="7">
        <f>s_ri!M25*shock_OC!$E$10</f>
        <v>0</v>
      </c>
      <c r="O25" s="7">
        <f>s_ri!N25*shock_OC!$E$11</f>
        <v>0</v>
      </c>
      <c r="P25" s="7">
        <f>s_ri!O25*shock_OC!$E$12</f>
        <v>4.4166794355574472</v>
      </c>
      <c r="Q25" s="7">
        <f>s_ri!P25*shock_OC!$E$12</f>
        <v>13.439006973797705</v>
      </c>
      <c r="R25" s="7">
        <f t="shared" si="1"/>
        <v>-83.804911844646355</v>
      </c>
    </row>
    <row r="26" spans="1:18" x14ac:dyDescent="0.2">
      <c r="A26" s="8" t="s">
        <v>28</v>
      </c>
      <c r="B26" s="7">
        <f>s_ri!B26*shock_OC!$E$2</f>
        <v>5694.640458138937</v>
      </c>
      <c r="C26" s="7">
        <f>s_ri!C26*shock_OC!$E$3</f>
        <v>5959759.5638166731</v>
      </c>
      <c r="D26" s="7">
        <f>s_ri!D26*shock_OC!$E$4</f>
        <v>0</v>
      </c>
      <c r="E26" s="7">
        <f>s_ri!E26*shock_OC!$E$5</f>
        <v>0</v>
      </c>
      <c r="F26" s="7">
        <f>s_ri!F26*shock_OC!$E$6</f>
        <v>15.764127140874511</v>
      </c>
      <c r="G26" s="7">
        <f>s_ri!G26*shock_OC!$E$7</f>
        <v>-265.06595609239474</v>
      </c>
      <c r="H26" s="7">
        <f t="shared" si="0"/>
        <v>5965.2049024458602</v>
      </c>
      <c r="K26" s="8" t="s">
        <v>28</v>
      </c>
      <c r="L26" s="7">
        <f>s_ri!K26*shock_OC!$E$8</f>
        <v>-1658.3093926903289</v>
      </c>
      <c r="M26" s="7">
        <f>s_ri!L26*shock_OC!$E$9</f>
        <v>-67762.127456474438</v>
      </c>
      <c r="N26" s="7">
        <f>s_ri!M26*shock_OC!$E$10</f>
        <v>0</v>
      </c>
      <c r="O26" s="7">
        <f>s_ri!N26*shock_OC!$E$11</f>
        <v>0</v>
      </c>
      <c r="P26" s="7">
        <f>s_ri!O26*shock_OC!$E$12</f>
        <v>6.7418080077666955</v>
      </c>
      <c r="Q26" s="7">
        <f>s_ri!P26*shock_OC!$E$12</f>
        <v>12.780380483567612</v>
      </c>
      <c r="R26" s="7">
        <f t="shared" si="1"/>
        <v>-69.400914660673422</v>
      </c>
    </row>
    <row r="27" spans="1:18" x14ac:dyDescent="0.2">
      <c r="A27" s="8" t="s">
        <v>29</v>
      </c>
      <c r="B27" s="7">
        <f>s_ri!B27*shock_OC!$E$2</f>
        <v>5718.0593623780496</v>
      </c>
      <c r="C27" s="7">
        <f>s_ri!C27*shock_OC!$E$3</f>
        <v>5416231.2693285597</v>
      </c>
      <c r="D27" s="7">
        <f>s_ri!D27*shock_OC!$E$4</f>
        <v>0</v>
      </c>
      <c r="E27" s="7">
        <f>s_ri!E27*shock_OC!$E$5</f>
        <v>0</v>
      </c>
      <c r="F27" s="7">
        <f>s_ri!F27*shock_OC!$E$6</f>
        <v>16.607010184683666</v>
      </c>
      <c r="G27" s="7">
        <f>s_ri!G27*shock_OC!$E$7</f>
        <v>-300.940510047364</v>
      </c>
      <c r="H27" s="7">
        <f t="shared" si="0"/>
        <v>5421.6649951910749</v>
      </c>
      <c r="K27" s="8" t="s">
        <v>29</v>
      </c>
      <c r="L27" s="7">
        <f>s_ri!K27*shock_OC!$E$8</f>
        <v>-2424.7296993333421</v>
      </c>
      <c r="M27" s="7">
        <f>s_ri!L27*shock_OC!$E$9</f>
        <v>-61993.552500656246</v>
      </c>
      <c r="N27" s="7">
        <f>s_ri!M27*shock_OC!$E$10</f>
        <v>0</v>
      </c>
      <c r="O27" s="7">
        <f>s_ri!N27*shock_OC!$E$11</f>
        <v>0</v>
      </c>
      <c r="P27" s="7">
        <f>s_ri!O27*shock_OC!$E$12</f>
        <v>7.1659531034280572</v>
      </c>
      <c r="Q27" s="7">
        <f>s_ri!P27*shock_OC!$E$12</f>
        <v>14.100746429326179</v>
      </c>
      <c r="R27" s="7">
        <f t="shared" si="1"/>
        <v>-64.397015500456831</v>
      </c>
    </row>
    <row r="28" spans="1:18" x14ac:dyDescent="0.2">
      <c r="A28" s="8" t="s">
        <v>30</v>
      </c>
      <c r="B28" s="7">
        <f>s_ri!B28*shock_OC!$E$2</f>
        <v>10878.266154270425</v>
      </c>
      <c r="C28" s="7">
        <f>s_ri!C28*shock_OC!$E$3</f>
        <v>6154808.8809188781</v>
      </c>
      <c r="D28" s="7">
        <f>s_ri!D28*shock_OC!$E$4</f>
        <v>0</v>
      </c>
      <c r="E28" s="7">
        <f>s_ri!E28*shock_OC!$E$5</f>
        <v>0</v>
      </c>
      <c r="F28" s="7">
        <f>s_ri!F28*shock_OC!$E$6</f>
        <v>12.852295839466429</v>
      </c>
      <c r="G28" s="7">
        <f>s_ri!G28*shock_OC!$E$7</f>
        <v>-267.82762826637151</v>
      </c>
      <c r="H28" s="7">
        <f t="shared" si="0"/>
        <v>6165.432171740722</v>
      </c>
      <c r="K28" s="8" t="s">
        <v>30</v>
      </c>
      <c r="L28" s="7">
        <f>s_ri!K28*shock_OC!$E$8</f>
        <v>-5519.8361448372325</v>
      </c>
      <c r="M28" s="7">
        <f>s_ri!L28*shock_OC!$E$9</f>
        <v>-69908.753136280808</v>
      </c>
      <c r="N28" s="7">
        <f>s_ri!M28*shock_OC!$E$10</f>
        <v>0</v>
      </c>
      <c r="O28" s="7">
        <f>s_ri!N28*shock_OC!$E$11</f>
        <v>0</v>
      </c>
      <c r="P28" s="7">
        <f>s_ri!O28*shock_OC!$E$12</f>
        <v>5.3586177505983574</v>
      </c>
      <c r="Q28" s="7">
        <f>s_ri!P28*shock_OC!$E$12</f>
        <v>13.67981137543325</v>
      </c>
      <c r="R28" s="7">
        <f t="shared" si="1"/>
        <v>-75.409550851992009</v>
      </c>
    </row>
    <row r="29" spans="1:18" x14ac:dyDescent="0.2">
      <c r="A29" s="8" t="s">
        <v>31</v>
      </c>
      <c r="B29" s="7">
        <f>s_ri!B29*shock_OC!$E$2</f>
        <v>7729.3820242463371</v>
      </c>
      <c r="C29" s="7">
        <f>s_ri!C29*shock_OC!$E$3</f>
        <v>7527897.0881081568</v>
      </c>
      <c r="D29" s="7">
        <f>s_ri!D29*shock_OC!$E$4</f>
        <v>0</v>
      </c>
      <c r="E29" s="7">
        <f>s_ri!E29*shock_OC!$E$5</f>
        <v>0</v>
      </c>
      <c r="F29" s="7">
        <f>s_ri!F29*shock_OC!$E$6</f>
        <v>10.610609043713421</v>
      </c>
      <c r="G29" s="7">
        <f>s_ri!G29*shock_OC!$E$7</f>
        <v>-259.8395150831891</v>
      </c>
      <c r="H29" s="7">
        <f t="shared" si="0"/>
        <v>7535.3772412263634</v>
      </c>
      <c r="K29" s="8" t="s">
        <v>31</v>
      </c>
      <c r="L29" s="7">
        <f>s_ri!K29*shock_OC!$E$8</f>
        <v>-4355.7667350804704</v>
      </c>
      <c r="M29" s="7">
        <f>s_ri!L29*shock_OC!$E$9</f>
        <v>-89562.115028369284</v>
      </c>
      <c r="N29" s="7">
        <f>s_ri!M29*shock_OC!$E$10</f>
        <v>0</v>
      </c>
      <c r="O29" s="7">
        <f>s_ri!N29*shock_OC!$E$11</f>
        <v>0</v>
      </c>
      <c r="P29" s="7">
        <f>s_ri!O29*shock_OC!$E$12</f>
        <v>4.5379410069839308</v>
      </c>
      <c r="Q29" s="7">
        <f>s_ri!P29*shock_OC!$E$12</f>
        <v>12.795284603438338</v>
      </c>
      <c r="R29" s="7">
        <f t="shared" si="1"/>
        <v>-93.900548537839342</v>
      </c>
    </row>
    <row r="30" spans="1:18" x14ac:dyDescent="0.2">
      <c r="A30" s="8" t="s">
        <v>32</v>
      </c>
      <c r="B30" s="7">
        <f>s_ri!B30*shock_OC!$E$2</f>
        <v>6557.088657201497</v>
      </c>
      <c r="C30" s="7">
        <f>s_ri!C30*shock_OC!$E$3</f>
        <v>6950459.7292092806</v>
      </c>
      <c r="D30" s="7">
        <f>s_ri!D30*shock_OC!$E$4</f>
        <v>0</v>
      </c>
      <c r="E30" s="7">
        <f>s_ri!E30*shock_OC!$E$5</f>
        <v>0</v>
      </c>
      <c r="F30" s="7">
        <f>s_ri!F30*shock_OC!$E$6</f>
        <v>12.143696626886596</v>
      </c>
      <c r="G30" s="7">
        <f>s_ri!G30*shock_OC!$E$7</f>
        <v>-263.53969826923731</v>
      </c>
      <c r="H30" s="7">
        <f t="shared" si="0"/>
        <v>6956.7654218648395</v>
      </c>
      <c r="K30" s="8" t="s">
        <v>32</v>
      </c>
      <c r="L30" s="7">
        <f>s_ri!K30*shock_OC!$E$8</f>
        <v>-1960.1422170933706</v>
      </c>
      <c r="M30" s="7">
        <f>s_ri!L30*shock_OC!$E$9</f>
        <v>-87715.672061125952</v>
      </c>
      <c r="N30" s="7">
        <f>s_ri!M30*shock_OC!$E$10</f>
        <v>0</v>
      </c>
      <c r="O30" s="7">
        <f>s_ri!N30*shock_OC!$E$11</f>
        <v>0</v>
      </c>
      <c r="P30" s="7">
        <f>s_ri!O30*shock_OC!$E$12</f>
        <v>5.1385760726891103</v>
      </c>
      <c r="Q30" s="7">
        <f>s_ri!P30*shock_OC!$E$12</f>
        <v>13.207370342915819</v>
      </c>
      <c r="R30" s="7">
        <f t="shared" si="1"/>
        <v>-89.657468331803713</v>
      </c>
    </row>
    <row r="31" spans="1:18" x14ac:dyDescent="0.2">
      <c r="A31" s="8" t="s">
        <v>33</v>
      </c>
      <c r="B31" s="7">
        <f>s_ri!B31*shock_OC!$E$2</f>
        <v>8502.757599929464</v>
      </c>
      <c r="C31" s="7">
        <f>s_ri!C31*shock_OC!$E$3</f>
        <v>6170884.3428476173</v>
      </c>
      <c r="D31" s="7">
        <f>s_ri!D31*shock_OC!$E$4</f>
        <v>0</v>
      </c>
      <c r="E31" s="7">
        <f>s_ri!E31*shock_OC!$E$5</f>
        <v>0</v>
      </c>
      <c r="F31" s="7">
        <f>s_ri!F31*shock_OC!$E$6</f>
        <v>11.526886618456651</v>
      </c>
      <c r="G31" s="7">
        <f>s_ri!G31*shock_OC!$E$7</f>
        <v>-286.54803282262543</v>
      </c>
      <c r="H31" s="7">
        <f t="shared" si="0"/>
        <v>6179.1120793013424</v>
      </c>
      <c r="K31" s="8" t="s">
        <v>33</v>
      </c>
      <c r="L31" s="7">
        <f>s_ri!K31*shock_OC!$E$8</f>
        <v>-4580.2211690658323</v>
      </c>
      <c r="M31" s="7">
        <f>s_ri!L31*shock_OC!$E$9</f>
        <v>-69444.958446371311</v>
      </c>
      <c r="N31" s="7">
        <f>s_ri!M31*shock_OC!$E$10</f>
        <v>0</v>
      </c>
      <c r="O31" s="7">
        <f>s_ri!N31*shock_OC!$E$11</f>
        <v>0</v>
      </c>
      <c r="P31" s="7">
        <f>s_ri!O31*shock_OC!$E$12</f>
        <v>4.5847223628713527</v>
      </c>
      <c r="Q31" s="7">
        <f>s_ri!P31*shock_OC!$E$12</f>
        <v>14.821090510824817</v>
      </c>
      <c r="R31" s="7">
        <f t="shared" si="1"/>
        <v>-74.005773802563439</v>
      </c>
    </row>
    <row r="32" spans="1:18" x14ac:dyDescent="0.2">
      <c r="A32" s="8" t="s">
        <v>34</v>
      </c>
      <c r="B32" s="7">
        <f>s_ri!B32*shock_OC!$E$2</f>
        <v>16146.315494794862</v>
      </c>
      <c r="C32" s="7">
        <f>s_ri!C32*shock_OC!$E$3</f>
        <v>4942951.3746332871</v>
      </c>
      <c r="D32" s="7">
        <f>s_ri!D32*shock_OC!$E$4</f>
        <v>0</v>
      </c>
      <c r="E32" s="7">
        <f>s_ri!E32*shock_OC!$E$5</f>
        <v>0</v>
      </c>
      <c r="F32" s="7">
        <f>s_ri!F32*shock_OC!$E$6</f>
        <v>12.794728321304586</v>
      </c>
      <c r="G32" s="7">
        <f>s_ri!G32*shock_OC!$E$7</f>
        <v>-299.01228253279027</v>
      </c>
      <c r="H32" s="7">
        <f t="shared" si="0"/>
        <v>4958.8114725738697</v>
      </c>
      <c r="K32" s="8" t="s">
        <v>34</v>
      </c>
      <c r="L32" s="7">
        <f>s_ri!K32*shock_OC!$E$8</f>
        <v>-12464.389784837151</v>
      </c>
      <c r="M32" s="7">
        <f>s_ri!L32*shock_OC!$E$9</f>
        <v>-61044.017542829257</v>
      </c>
      <c r="N32" s="7">
        <f>s_ri!M32*shock_OC!$E$10</f>
        <v>0</v>
      </c>
      <c r="O32" s="7">
        <f>s_ri!N32*shock_OC!$E$11</f>
        <v>0</v>
      </c>
      <c r="P32" s="7">
        <f>s_ri!O32*shock_OC!$E$12</f>
        <v>4.920527156838653</v>
      </c>
      <c r="Q32" s="7">
        <f>s_ri!P32*shock_OC!$E$12</f>
        <v>13.283743962659983</v>
      </c>
      <c r="R32" s="7">
        <f t="shared" si="1"/>
        <v>-73.490203056546918</v>
      </c>
    </row>
    <row r="33" spans="1:18" x14ac:dyDescent="0.2">
      <c r="A33" s="8" t="s">
        <v>35</v>
      </c>
      <c r="B33" s="7">
        <f>s_ri!B33*shock_OC!$E$2</f>
        <v>8454.5982529453795</v>
      </c>
      <c r="C33" s="7">
        <f>s_ri!C33*shock_OC!$E$3</f>
        <v>6813134.0141593786</v>
      </c>
      <c r="D33" s="7">
        <f>s_ri!D33*shock_OC!$E$4</f>
        <v>0</v>
      </c>
      <c r="E33" s="7">
        <f>s_ri!E33*shock_OC!$E$5</f>
        <v>0</v>
      </c>
      <c r="F33" s="7">
        <f>s_ri!F33*shock_OC!$E$6</f>
        <v>12.929359755435645</v>
      </c>
      <c r="G33" s="7">
        <f>s_ri!G33*shock_OC!$E$7</f>
        <v>-263.72081487849113</v>
      </c>
      <c r="H33" s="7">
        <f t="shared" si="0"/>
        <v>6821.337820957202</v>
      </c>
      <c r="K33" s="8" t="s">
        <v>35</v>
      </c>
      <c r="L33" s="7">
        <f>s_ri!K33*shock_OC!$E$8</f>
        <v>-6578.720858086489</v>
      </c>
      <c r="M33" s="7">
        <f>s_ri!L33*shock_OC!$E$9</f>
        <v>-78343.770942985502</v>
      </c>
      <c r="N33" s="7">
        <f>s_ri!M33*shock_OC!$E$10</f>
        <v>0</v>
      </c>
      <c r="O33" s="7">
        <f>s_ri!N33*shock_OC!$E$11</f>
        <v>0</v>
      </c>
      <c r="P33" s="7">
        <f>s_ri!O33*shock_OC!$E$12</f>
        <v>5.39284273539353</v>
      </c>
      <c r="Q33" s="7">
        <f>s_ri!P33*shock_OC!$E$12</f>
        <v>13.890383617952056</v>
      </c>
      <c r="R33" s="7">
        <f t="shared" si="1"/>
        <v>-84.903208574718633</v>
      </c>
    </row>
    <row r="34" spans="1:18" x14ac:dyDescent="0.2">
      <c r="A34" s="8" t="s">
        <v>36</v>
      </c>
      <c r="B34" s="7">
        <f>s_ri!B34*shock_OC!$E$2</f>
        <v>0</v>
      </c>
      <c r="C34" s="7">
        <f>s_ri!C34*shock_OC!$E$3</f>
        <v>6318676.5811568713</v>
      </c>
      <c r="D34" s="7">
        <f>s_ri!D34*shock_OC!$E$4</f>
        <v>0</v>
      </c>
      <c r="E34" s="7">
        <f>s_ri!E34*shock_OC!$E$5</f>
        <v>0</v>
      </c>
      <c r="F34" s="7">
        <f>s_ri!F34*shock_OC!$E$6</f>
        <v>13.375228998462573</v>
      </c>
      <c r="G34" s="7">
        <f>s_ri!G34*shock_OC!$E$7</f>
        <v>-293.6483959509855</v>
      </c>
      <c r="H34" s="7">
        <f t="shared" si="0"/>
        <v>6318.3963079899186</v>
      </c>
      <c r="K34" s="8" t="s">
        <v>36</v>
      </c>
      <c r="L34" s="7">
        <f>s_ri!K34*shock_OC!$E$8</f>
        <v>0</v>
      </c>
      <c r="M34" s="7">
        <f>s_ri!L34*shock_OC!$E$9</f>
        <v>-81188.228557402283</v>
      </c>
      <c r="N34" s="7">
        <f>s_ri!M34*shock_OC!$E$10</f>
        <v>0</v>
      </c>
      <c r="O34" s="7">
        <f>s_ri!N34*shock_OC!$E$11</f>
        <v>0</v>
      </c>
      <c r="P34" s="7">
        <f>s_ri!O34*shock_OC!$E$12</f>
        <v>5.2344471604047564</v>
      </c>
      <c r="Q34" s="7">
        <f>s_ri!P34*shock_OC!$E$12</f>
        <v>13.837313700082772</v>
      </c>
      <c r="R34" s="7">
        <f t="shared" si="1"/>
        <v>-81.169156796541799</v>
      </c>
    </row>
    <row r="35" spans="1:18" x14ac:dyDescent="0.2">
      <c r="A35" s="8" t="s">
        <v>37</v>
      </c>
      <c r="B35" s="7">
        <f>s_ri!B35*shock_OC!$E$2</f>
        <v>0</v>
      </c>
      <c r="C35" s="7">
        <f>s_ri!C35*shock_OC!$E$3</f>
        <v>0</v>
      </c>
      <c r="D35" s="7">
        <f>s_ri!D35*shock_OC!$E$4</f>
        <v>0</v>
      </c>
      <c r="E35" s="7">
        <f>s_ri!E35*shock_OC!$E$5</f>
        <v>0</v>
      </c>
      <c r="F35" s="7">
        <f>s_ri!F35*shock_OC!$E$6</f>
        <v>0</v>
      </c>
      <c r="G35" s="7">
        <f>s_ri!G35*shock_OC!$E$7</f>
        <v>0</v>
      </c>
      <c r="H35" s="7">
        <f t="shared" si="0"/>
        <v>0</v>
      </c>
      <c r="K35" s="8" t="s">
        <v>37</v>
      </c>
      <c r="L35" s="7">
        <f>s_ri!K35*shock_OC!$E$8</f>
        <v>-6001.9853969992546</v>
      </c>
      <c r="M35" s="7">
        <f>s_ri!L35*shock_OC!$E$9</f>
        <v>-68989.646054067678</v>
      </c>
      <c r="N35" s="7">
        <f>s_ri!M35*shock_OC!$E$10</f>
        <v>0</v>
      </c>
      <c r="O35" s="7">
        <f>s_ri!N35*shock_OC!$E$11</f>
        <v>0</v>
      </c>
      <c r="P35" s="7">
        <f>s_ri!O35*shock_OC!$E$12</f>
        <v>5.9912046017667677</v>
      </c>
      <c r="Q35" s="7">
        <f>s_ri!P35*shock_OC!$E$12</f>
        <v>13.401684856767606</v>
      </c>
      <c r="R35" s="7">
        <f t="shared" si="1"/>
        <v>-74.972238561608393</v>
      </c>
    </row>
    <row r="36" spans="1:18" x14ac:dyDescent="0.2">
      <c r="A36" s="8" t="s">
        <v>38</v>
      </c>
      <c r="B36" s="7">
        <f>s_ri!B36*shock_OC!$E$2</f>
        <v>0</v>
      </c>
      <c r="C36" s="7">
        <f>s_ri!C36*shock_OC!$E$3</f>
        <v>0</v>
      </c>
      <c r="D36" s="7">
        <f>s_ri!D36*shock_OC!$E$4</f>
        <v>0</v>
      </c>
      <c r="E36" s="7">
        <f>s_ri!E36*shock_OC!$E$5</f>
        <v>0</v>
      </c>
      <c r="F36" s="7">
        <f>s_ri!F36*shock_OC!$E$6</f>
        <v>0</v>
      </c>
      <c r="G36" s="7">
        <f>s_ri!G36*shock_OC!$E$7</f>
        <v>0</v>
      </c>
      <c r="H36" s="7">
        <f t="shared" si="0"/>
        <v>0</v>
      </c>
      <c r="K36" s="8" t="s">
        <v>38</v>
      </c>
      <c r="L36" s="7">
        <f>s_ri!K36*shock_OC!$E$8</f>
        <v>-6166.1078466982972</v>
      </c>
      <c r="M36" s="7">
        <f>s_ri!L36*shock_OC!$E$9</f>
        <v>-84440.783699823965</v>
      </c>
      <c r="N36" s="7">
        <f>s_ri!M36*shock_OC!$E$10</f>
        <v>0</v>
      </c>
      <c r="O36" s="7">
        <f>s_ri!N36*shock_OC!$E$11</f>
        <v>0</v>
      </c>
      <c r="P36" s="7">
        <f>s_ri!O36*shock_OC!$E$12</f>
        <v>4.8004895419521434</v>
      </c>
      <c r="Q36" s="7">
        <f>s_ri!P36*shock_OC!$E$12</f>
        <v>11.69562239862876</v>
      </c>
      <c r="R36" s="7">
        <f t="shared" si="1"/>
        <v>-90.59039543458168</v>
      </c>
    </row>
    <row r="37" spans="1:18" x14ac:dyDescent="0.2">
      <c r="A37" s="8" t="s">
        <v>39</v>
      </c>
      <c r="B37" s="7">
        <f>s_ri!B37*shock_OC!$E$2</f>
        <v>0</v>
      </c>
      <c r="C37" s="7">
        <f>s_ri!C37*shock_OC!$E$3</f>
        <v>0</v>
      </c>
      <c r="D37" s="7">
        <f>s_ri!D37*shock_OC!$E$4</f>
        <v>0</v>
      </c>
      <c r="E37" s="7">
        <f>s_ri!E37*shock_OC!$E$5</f>
        <v>0</v>
      </c>
      <c r="F37" s="7">
        <f>s_ri!F37*shock_OC!$E$6</f>
        <v>0</v>
      </c>
      <c r="G37" s="7">
        <f>s_ri!G37*shock_OC!$E$7</f>
        <v>0</v>
      </c>
      <c r="H37" s="7">
        <f t="shared" si="0"/>
        <v>0</v>
      </c>
      <c r="K37" s="8" t="s">
        <v>39</v>
      </c>
      <c r="L37" s="7">
        <f>s_ri!K37*shock_OC!$E$8</f>
        <v>-6048.6288466206579</v>
      </c>
      <c r="M37" s="7">
        <f>s_ri!L37*shock_OC!$E$9</f>
        <v>-47988.407052292605</v>
      </c>
      <c r="N37" s="7">
        <f>s_ri!M37*shock_OC!$E$10</f>
        <v>0</v>
      </c>
      <c r="O37" s="7">
        <f>s_ri!N37*shock_OC!$E$11</f>
        <v>0</v>
      </c>
      <c r="P37" s="7">
        <f>s_ri!O37*shock_OC!$E$12</f>
        <v>6.8589197506352457</v>
      </c>
      <c r="Q37" s="7">
        <f>s_ri!P37*shock_OC!$E$12</f>
        <v>13.318741329041377</v>
      </c>
      <c r="R37" s="7">
        <f t="shared" si="1"/>
        <v>-54.016858237833588</v>
      </c>
    </row>
    <row r="38" spans="1:18" x14ac:dyDescent="0.2">
      <c r="A38" s="8" t="s">
        <v>40</v>
      </c>
      <c r="B38" s="7">
        <f>s_ri!B38*shock_OC!$E$2</f>
        <v>16447.334491945556</v>
      </c>
      <c r="C38" s="7">
        <f>s_ri!C38*shock_OC!$E$3</f>
        <v>3689999.0852942024</v>
      </c>
      <c r="D38" s="7">
        <f>s_ri!D38*shock_OC!$E$4</f>
        <v>0</v>
      </c>
      <c r="E38" s="7">
        <f>s_ri!E38*shock_OC!$E$5</f>
        <v>0</v>
      </c>
      <c r="F38" s="7">
        <f>s_ri!F38*shock_OC!$E$6</f>
        <v>9.4585221719983448</v>
      </c>
      <c r="G38" s="7">
        <f>s_ri!G38*shock_OC!$E$7</f>
        <v>-310.9145806763787</v>
      </c>
      <c r="H38" s="7">
        <f t="shared" si="0"/>
        <v>3706.1449637276437</v>
      </c>
      <c r="K38" s="8" t="s">
        <v>40</v>
      </c>
      <c r="L38" s="7">
        <f>s_ri!K38*shock_OC!$E$8</f>
        <v>-7890.3009857050047</v>
      </c>
      <c r="M38" s="7">
        <f>s_ri!L38*shock_OC!$E$9</f>
        <v>-60435.661482252632</v>
      </c>
      <c r="N38" s="7">
        <f>s_ri!M38*shock_OC!$E$10</f>
        <v>0</v>
      </c>
      <c r="O38" s="7">
        <f>s_ri!N38*shock_OC!$E$11</f>
        <v>0</v>
      </c>
      <c r="P38" s="7">
        <f>s_ri!O38*shock_OC!$E$12</f>
        <v>5.7091968534654072</v>
      </c>
      <c r="Q38" s="7">
        <f>s_ri!P38*shock_OC!$E$12</f>
        <v>13.448330365940739</v>
      </c>
      <c r="R38" s="7">
        <f t="shared" si="1"/>
        <v>-68.306804940738232</v>
      </c>
    </row>
    <row r="39" spans="1:18" x14ac:dyDescent="0.2">
      <c r="A39" s="8" t="s">
        <v>41</v>
      </c>
      <c r="B39" s="7">
        <f>s_ri!B39*shock_OC!$E$2</f>
        <v>12584.190323644312</v>
      </c>
      <c r="C39" s="7">
        <f>s_ri!C39*shock_OC!$E$3</f>
        <v>3886015.4076504963</v>
      </c>
      <c r="D39" s="7">
        <f>s_ri!D39*shock_OC!$E$4</f>
        <v>0</v>
      </c>
      <c r="E39" s="7">
        <f>s_ri!E39*shock_OC!$E$5</f>
        <v>0</v>
      </c>
      <c r="F39" s="7">
        <f>s_ri!F39*shock_OC!$E$6</f>
        <v>15.088168183159217</v>
      </c>
      <c r="G39" s="7">
        <f>s_ri!G39*shock_OC!$E$7</f>
        <v>-312.97000755157376</v>
      </c>
      <c r="H39" s="7">
        <f t="shared" si="0"/>
        <v>3898.3017161347725</v>
      </c>
      <c r="K39" s="8" t="s">
        <v>41</v>
      </c>
      <c r="L39" s="7">
        <f>s_ri!K39*shock_OC!$E$8</f>
        <v>-9335.2072560085162</v>
      </c>
      <c r="M39" s="7">
        <f>s_ri!L39*shock_OC!$E$9</f>
        <v>-49341.690925962663</v>
      </c>
      <c r="N39" s="7">
        <f>s_ri!M39*shock_OC!$E$10</f>
        <v>0</v>
      </c>
      <c r="O39" s="7">
        <f>s_ri!N39*shock_OC!$E$11</f>
        <v>0</v>
      </c>
      <c r="P39" s="7">
        <f>s_ri!O39*shock_OC!$E$12</f>
        <v>6.3178984392463589</v>
      </c>
      <c r="Q39" s="7">
        <f>s_ri!P39*shock_OC!$E$12</f>
        <v>14.494193082644754</v>
      </c>
      <c r="R39" s="7">
        <f t="shared" si="1"/>
        <v>-58.656086090449286</v>
      </c>
    </row>
    <row r="40" spans="1:18" x14ac:dyDescent="0.2">
      <c r="A40" s="8" t="s">
        <v>42</v>
      </c>
      <c r="B40" s="7">
        <f>s_ri!B40*shock_OC!$E$2</f>
        <v>14747.070987791692</v>
      </c>
      <c r="C40" s="7">
        <f>s_ri!C40*shock_OC!$E$3</f>
        <v>4400698.6872439198</v>
      </c>
      <c r="D40" s="7">
        <f>s_ri!D40*shock_OC!$E$4</f>
        <v>0</v>
      </c>
      <c r="E40" s="7">
        <f>s_ri!E40*shock_OC!$E$5</f>
        <v>0</v>
      </c>
      <c r="F40" s="7">
        <f>s_ri!F40*shock_OC!$E$6</f>
        <v>7.9062710416351649</v>
      </c>
      <c r="G40" s="7">
        <f>s_ri!G40*shock_OC!$E$7</f>
        <v>-338.89305369567211</v>
      </c>
      <c r="H40" s="7">
        <f t="shared" si="0"/>
        <v>4415.1147714490571</v>
      </c>
      <c r="K40" s="8" t="s">
        <v>42</v>
      </c>
      <c r="L40" s="7">
        <f>s_ri!K40*shock_OC!$E$8</f>
        <v>-8697.3771662168983</v>
      </c>
      <c r="M40" s="7">
        <f>s_ri!L40*shock_OC!$E$9</f>
        <v>-78833.297620287995</v>
      </c>
      <c r="N40" s="7">
        <f>s_ri!M40*shock_OC!$E$10</f>
        <v>0</v>
      </c>
      <c r="O40" s="7">
        <f>s_ri!N40*shock_OC!$E$11</f>
        <v>0</v>
      </c>
      <c r="P40" s="7">
        <f>s_ri!O40*shock_OC!$E$12</f>
        <v>5.0071863983467777</v>
      </c>
      <c r="Q40" s="7">
        <f>s_ri!P40*shock_OC!$E$12</f>
        <v>13.071391860947381</v>
      </c>
      <c r="R40" s="7">
        <f t="shared" si="1"/>
        <v>-87.512596208245597</v>
      </c>
    </row>
  </sheetData>
  <mergeCells count="2">
    <mergeCell ref="A1:H1"/>
    <mergeCell ref="K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employment</vt:lpstr>
      <vt:lpstr>import</vt:lpstr>
      <vt:lpstr>L_i</vt:lpstr>
      <vt:lpstr>delta_М</vt:lpstr>
      <vt:lpstr>shock_i</vt:lpstr>
      <vt:lpstr>L_r</vt:lpstr>
      <vt:lpstr>s_ri</vt:lpstr>
      <vt:lpstr>IPW_r</vt:lpstr>
      <vt:lpstr>import OC</vt:lpstr>
      <vt:lpstr>delta_M_OC</vt:lpstr>
      <vt:lpstr>shock_OC</vt:lpstr>
      <vt:lpstr>IPW_OC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2026-04-03T08:18:14Z</dcterms:created>
  <dcterms:modified xsi:type="dcterms:W3CDTF">2026-04-11T14:21:50Z</dcterms:modified>
</cp:coreProperties>
</file>