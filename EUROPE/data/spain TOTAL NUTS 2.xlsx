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china shock eu/EUROPE/data/"/>
    </mc:Choice>
  </mc:AlternateContent>
  <xr:revisionPtr revIDLastSave="0" documentId="8_{2879D2AE-E153-244B-8726-AEE0600E75AC}" xr6:coauthVersionLast="47" xr6:coauthVersionMax="47" xr10:uidLastSave="{00000000-0000-0000-0000-000000000000}"/>
  <bookViews>
    <workbookView xWindow="0" yWindow="740" windowWidth="29400" windowHeight="16640" activeTab="7" xr2:uid="{69BC92AD-8D91-EE44-A8EB-E5C8B6FD1D23}"/>
  </bookViews>
  <sheets>
    <sheet name="employment" sheetId="1" r:id="rId1"/>
    <sheet name="import" sheetId="2" r:id="rId2"/>
    <sheet name="L_i" sheetId="3" r:id="rId3"/>
    <sheet name="delta_M" sheetId="4" r:id="rId4"/>
    <sheet name="shock_i" sheetId="5" r:id="rId5"/>
    <sheet name="L_r" sheetId="6" r:id="rId6"/>
    <sheet name="s_ri" sheetId="7" r:id="rId7"/>
    <sheet name="IPW_r" sheetId="8" r:id="rId8"/>
    <sheet name="import OC" sheetId="9" r:id="rId9"/>
    <sheet name="delta_M_OC" sheetId="10" r:id="rId10"/>
    <sheet name="shock_OC" sheetId="11" r:id="rId11"/>
    <sheet name="IPW_OC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7" i="11"/>
  <c r="D8" i="11"/>
  <c r="D9" i="11"/>
  <c r="D10" i="11"/>
  <c r="D11" i="11"/>
  <c r="D12" i="11"/>
  <c r="D13" i="11"/>
  <c r="D2" i="11"/>
  <c r="C29" i="9" l="1"/>
  <c r="W40" i="9" l="1"/>
  <c r="S40" i="9"/>
  <c r="O40" i="9"/>
  <c r="K40" i="9"/>
  <c r="G40" i="9"/>
  <c r="C40" i="9"/>
  <c r="W39" i="9"/>
  <c r="S39" i="9"/>
  <c r="O39" i="9"/>
  <c r="K39" i="9"/>
  <c r="G39" i="9"/>
  <c r="C39" i="9"/>
  <c r="W38" i="9"/>
  <c r="S38" i="9"/>
  <c r="O38" i="9"/>
  <c r="K38" i="9"/>
  <c r="G38" i="9"/>
  <c r="C38" i="9"/>
  <c r="W37" i="9"/>
  <c r="S37" i="9"/>
  <c r="O37" i="9"/>
  <c r="K37" i="9"/>
  <c r="G37" i="9"/>
  <c r="C37" i="9"/>
  <c r="W36" i="9"/>
  <c r="S36" i="9"/>
  <c r="O36" i="9"/>
  <c r="K36" i="9"/>
  <c r="G36" i="9"/>
  <c r="C36" i="9"/>
  <c r="W35" i="9"/>
  <c r="S35" i="9"/>
  <c r="O35" i="9"/>
  <c r="K35" i="9"/>
  <c r="G35" i="9"/>
  <c r="C35" i="9"/>
  <c r="W34" i="9"/>
  <c r="S34" i="9"/>
  <c r="O34" i="9"/>
  <c r="K34" i="9"/>
  <c r="G34" i="9"/>
  <c r="C34" i="9"/>
  <c r="W33" i="9"/>
  <c r="S33" i="9"/>
  <c r="O33" i="9"/>
  <c r="K33" i="9"/>
  <c r="G33" i="9"/>
  <c r="C33" i="9"/>
  <c r="W32" i="9"/>
  <c r="S32" i="9"/>
  <c r="O32" i="9"/>
  <c r="K32" i="9"/>
  <c r="G32" i="9"/>
  <c r="C32" i="9"/>
  <c r="W31" i="9"/>
  <c r="S31" i="9"/>
  <c r="O31" i="9"/>
  <c r="K31" i="9"/>
  <c r="G31" i="9"/>
  <c r="C31" i="9"/>
  <c r="W30" i="9"/>
  <c r="S30" i="9"/>
  <c r="O30" i="9"/>
  <c r="K30" i="9"/>
  <c r="G30" i="9"/>
  <c r="C30" i="9"/>
  <c r="W29" i="9"/>
  <c r="S29" i="9"/>
  <c r="O29" i="9"/>
  <c r="K29" i="9"/>
  <c r="G29" i="9"/>
  <c r="R4" i="6" l="1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E3" i="6"/>
  <c r="O3" i="6"/>
  <c r="D3" i="6"/>
  <c r="N4" i="6"/>
  <c r="N5" i="6"/>
  <c r="N6" i="6"/>
  <c r="N7" i="6"/>
  <c r="N8" i="6"/>
  <c r="N9" i="6"/>
  <c r="N10" i="6"/>
  <c r="N11" i="6"/>
  <c r="S11" i="6" s="1"/>
  <c r="O11" i="7" s="1"/>
  <c r="N12" i="6"/>
  <c r="N13" i="6"/>
  <c r="N14" i="6"/>
  <c r="N15" i="6"/>
  <c r="N16" i="6"/>
  <c r="N17" i="6"/>
  <c r="N18" i="6"/>
  <c r="N19" i="6"/>
  <c r="S19" i="6" s="1"/>
  <c r="O19" i="7" s="1"/>
  <c r="N20" i="6"/>
  <c r="N21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N3" i="6"/>
  <c r="C3" i="6"/>
  <c r="M4" i="6"/>
  <c r="M5" i="6"/>
  <c r="S5" i="6" s="1"/>
  <c r="K5" i="7" s="1"/>
  <c r="M6" i="6"/>
  <c r="M7" i="6"/>
  <c r="M8" i="6"/>
  <c r="M9" i="6"/>
  <c r="M10" i="6"/>
  <c r="M11" i="6"/>
  <c r="M12" i="6"/>
  <c r="M13" i="6"/>
  <c r="S13" i="6" s="1"/>
  <c r="K13" i="7" s="1"/>
  <c r="M14" i="6"/>
  <c r="M15" i="6"/>
  <c r="M16" i="6"/>
  <c r="M17" i="6"/>
  <c r="M18" i="6"/>
  <c r="M19" i="6"/>
  <c r="M20" i="6"/>
  <c r="M21" i="6"/>
  <c r="S21" i="6" s="1"/>
  <c r="K21" i="7" s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M3" i="6"/>
  <c r="B3" i="6"/>
  <c r="C3" i="4"/>
  <c r="D3" i="5" s="1"/>
  <c r="C4" i="4"/>
  <c r="D4" i="5" s="1"/>
  <c r="C5" i="4"/>
  <c r="D5" i="5" s="1"/>
  <c r="C6" i="4"/>
  <c r="D6" i="5" s="1"/>
  <c r="C7" i="4"/>
  <c r="D7" i="5" s="1"/>
  <c r="C2" i="4"/>
  <c r="D2" i="5" s="1"/>
  <c r="C25" i="3"/>
  <c r="C19" i="3"/>
  <c r="C13" i="3"/>
  <c r="C7" i="3"/>
  <c r="C24" i="3"/>
  <c r="C18" i="3"/>
  <c r="C12" i="3"/>
  <c r="C6" i="3"/>
  <c r="C17" i="3"/>
  <c r="C23" i="3"/>
  <c r="C11" i="3"/>
  <c r="C5" i="3"/>
  <c r="C22" i="3"/>
  <c r="C16" i="3"/>
  <c r="C10" i="3"/>
  <c r="C4" i="3"/>
  <c r="C21" i="3"/>
  <c r="C15" i="3"/>
  <c r="C9" i="3"/>
  <c r="C20" i="3"/>
  <c r="C14" i="3"/>
  <c r="C8" i="3"/>
  <c r="C3" i="3"/>
  <c r="C2" i="3"/>
  <c r="H18" i="6" l="1"/>
  <c r="B18" i="7" s="1"/>
  <c r="N6" i="7"/>
  <c r="H10" i="6"/>
  <c r="B10" i="7" s="1"/>
  <c r="S6" i="6"/>
  <c r="K6" i="7" s="1"/>
  <c r="M19" i="7"/>
  <c r="M11" i="7"/>
  <c r="C10" i="5"/>
  <c r="C10" i="11"/>
  <c r="E10" i="11" s="1"/>
  <c r="C12" i="5"/>
  <c r="C12" i="11"/>
  <c r="E12" i="11" s="1"/>
  <c r="C8" i="5"/>
  <c r="C8" i="11"/>
  <c r="E8" i="11" s="1"/>
  <c r="C9" i="5"/>
  <c r="C9" i="11"/>
  <c r="E9" i="11" s="1"/>
  <c r="C13" i="5"/>
  <c r="C13" i="11"/>
  <c r="E13" i="11" s="1"/>
  <c r="H15" i="6"/>
  <c r="D15" i="7" s="1"/>
  <c r="H7" i="6"/>
  <c r="B7" i="7" s="1"/>
  <c r="N19" i="7"/>
  <c r="N11" i="7"/>
  <c r="C3" i="5"/>
  <c r="E3" i="5" s="1"/>
  <c r="C3" i="11"/>
  <c r="E3" i="11" s="1"/>
  <c r="S14" i="6"/>
  <c r="K14" i="7" s="1"/>
  <c r="C11" i="5"/>
  <c r="C11" i="11"/>
  <c r="E11" i="11" s="1"/>
  <c r="L19" i="7"/>
  <c r="C2" i="5"/>
  <c r="C2" i="11"/>
  <c r="E2" i="11" s="1"/>
  <c r="C4" i="5"/>
  <c r="C4" i="11"/>
  <c r="E4" i="11" s="1"/>
  <c r="C6" i="5"/>
  <c r="E6" i="5" s="1"/>
  <c r="C6" i="11"/>
  <c r="E6" i="11" s="1"/>
  <c r="H19" i="6"/>
  <c r="B19" i="7" s="1"/>
  <c r="H11" i="6"/>
  <c r="B11" i="7" s="1"/>
  <c r="M14" i="7"/>
  <c r="M6" i="7"/>
  <c r="L11" i="7"/>
  <c r="P19" i="7"/>
  <c r="P11" i="7"/>
  <c r="C7" i="5"/>
  <c r="E7" i="5" s="1"/>
  <c r="C7" i="11"/>
  <c r="E7" i="11" s="1"/>
  <c r="K19" i="7"/>
  <c r="K11" i="7"/>
  <c r="H3" i="6"/>
  <c r="C3" i="7" s="1"/>
  <c r="C5" i="5"/>
  <c r="E5" i="5" s="1"/>
  <c r="C5" i="11"/>
  <c r="E5" i="11" s="1"/>
  <c r="H16" i="6"/>
  <c r="F16" i="7" s="1"/>
  <c r="H8" i="6"/>
  <c r="C8" i="7" s="1"/>
  <c r="S18" i="6"/>
  <c r="K18" i="7" s="1"/>
  <c r="S10" i="6"/>
  <c r="K10" i="7" s="1"/>
  <c r="E7" i="7"/>
  <c r="S20" i="6"/>
  <c r="K20" i="7" s="1"/>
  <c r="S12" i="6"/>
  <c r="M12" i="7" s="1"/>
  <c r="F7" i="7"/>
  <c r="D7" i="7"/>
  <c r="C13" i="7"/>
  <c r="E18" i="7"/>
  <c r="E10" i="7"/>
  <c r="M20" i="7"/>
  <c r="F18" i="7"/>
  <c r="F10" i="7"/>
  <c r="O21" i="7"/>
  <c r="O13" i="7"/>
  <c r="O5" i="7"/>
  <c r="G16" i="7"/>
  <c r="G8" i="7"/>
  <c r="C16" i="7"/>
  <c r="D16" i="7"/>
  <c r="G7" i="7"/>
  <c r="E4" i="5"/>
  <c r="C7" i="7"/>
  <c r="E8" i="7"/>
  <c r="N21" i="7"/>
  <c r="N13" i="7"/>
  <c r="N5" i="7"/>
  <c r="E2" i="5"/>
  <c r="D8" i="7"/>
  <c r="F8" i="7"/>
  <c r="L10" i="7"/>
  <c r="O16" i="7"/>
  <c r="L5" i="7"/>
  <c r="D10" i="7"/>
  <c r="G18" i="7"/>
  <c r="G10" i="7"/>
  <c r="P21" i="7"/>
  <c r="P13" i="7"/>
  <c r="P5" i="7"/>
  <c r="N20" i="7"/>
  <c r="O20" i="7"/>
  <c r="P20" i="7"/>
  <c r="O10" i="7"/>
  <c r="L21" i="7"/>
  <c r="L13" i="7"/>
  <c r="D18" i="7"/>
  <c r="C18" i="7"/>
  <c r="C10" i="7"/>
  <c r="E19" i="7"/>
  <c r="M21" i="7"/>
  <c r="M13" i="7"/>
  <c r="M5" i="7"/>
  <c r="F11" i="7"/>
  <c r="O14" i="7"/>
  <c r="O6" i="7"/>
  <c r="S4" i="6"/>
  <c r="N4" i="7" s="1"/>
  <c r="H14" i="6"/>
  <c r="G14" i="7" s="1"/>
  <c r="H6" i="6"/>
  <c r="G6" i="7" s="1"/>
  <c r="H21" i="6"/>
  <c r="G21" i="7" s="1"/>
  <c r="H13" i="6"/>
  <c r="G13" i="7" s="1"/>
  <c r="H5" i="6"/>
  <c r="G5" i="7" s="1"/>
  <c r="C19" i="7"/>
  <c r="C11" i="7"/>
  <c r="S17" i="6"/>
  <c r="P17" i="7" s="1"/>
  <c r="S9" i="6"/>
  <c r="P9" i="7" s="1"/>
  <c r="H20" i="6"/>
  <c r="D20" i="7" s="1"/>
  <c r="H12" i="6"/>
  <c r="D12" i="7" s="1"/>
  <c r="H4" i="6"/>
  <c r="D4" i="7" s="1"/>
  <c r="S16" i="6"/>
  <c r="N16" i="7" s="1"/>
  <c r="S8" i="6"/>
  <c r="N8" i="7" s="1"/>
  <c r="S15" i="6"/>
  <c r="K15" i="7" s="1"/>
  <c r="S7" i="6"/>
  <c r="K7" i="7" s="1"/>
  <c r="B16" i="7"/>
  <c r="B8" i="7"/>
  <c r="S3" i="6"/>
  <c r="H17" i="6"/>
  <c r="H9" i="6"/>
  <c r="B9" i="7" s="1"/>
  <c r="C13" i="4"/>
  <c r="D13" i="5" s="1"/>
  <c r="E13" i="5" s="1"/>
  <c r="C12" i="4"/>
  <c r="D12" i="5" s="1"/>
  <c r="E12" i="5" s="1"/>
  <c r="C11" i="4"/>
  <c r="D11" i="5" s="1"/>
  <c r="C10" i="4"/>
  <c r="D10" i="5" s="1"/>
  <c r="E10" i="5" s="1"/>
  <c r="C9" i="4"/>
  <c r="D9" i="5" s="1"/>
  <c r="E9" i="5" s="1"/>
  <c r="C8" i="4"/>
  <c r="D8" i="5" s="1"/>
  <c r="E8" i="5" s="1"/>
  <c r="G21" i="8" l="1"/>
  <c r="E8" i="8"/>
  <c r="E19" i="8"/>
  <c r="E18" i="8"/>
  <c r="G7" i="8"/>
  <c r="E10" i="8"/>
  <c r="L12" i="7"/>
  <c r="P12" i="7"/>
  <c r="N10" i="7"/>
  <c r="B15" i="7"/>
  <c r="O9" i="7"/>
  <c r="P9" i="12" s="1"/>
  <c r="K17" i="7"/>
  <c r="O12" i="7"/>
  <c r="M7" i="7"/>
  <c r="N7" i="12" s="1"/>
  <c r="C15" i="7"/>
  <c r="N9" i="7"/>
  <c r="P10" i="7"/>
  <c r="C14" i="7"/>
  <c r="K12" i="7"/>
  <c r="P7" i="7"/>
  <c r="M18" i="7"/>
  <c r="P6" i="7"/>
  <c r="Q6" i="12" s="1"/>
  <c r="L6" i="7"/>
  <c r="E15" i="7"/>
  <c r="E15" i="8" s="1"/>
  <c r="K16" i="7"/>
  <c r="G11" i="7"/>
  <c r="G11" i="12" s="1"/>
  <c r="M10" i="7"/>
  <c r="G15" i="7"/>
  <c r="F15" i="7"/>
  <c r="N14" i="7"/>
  <c r="P14" i="7"/>
  <c r="L4" i="7"/>
  <c r="F5" i="7"/>
  <c r="E16" i="7"/>
  <c r="E16" i="8" s="1"/>
  <c r="G20" i="7"/>
  <c r="G14" i="8"/>
  <c r="G15" i="8"/>
  <c r="G10" i="8"/>
  <c r="G13" i="8"/>
  <c r="G6" i="8"/>
  <c r="G11" i="8"/>
  <c r="G8" i="8"/>
  <c r="G16" i="8"/>
  <c r="G20" i="8"/>
  <c r="E7" i="8"/>
  <c r="G18" i="8"/>
  <c r="G5" i="8"/>
  <c r="C18" i="8"/>
  <c r="C7" i="8"/>
  <c r="C11" i="8"/>
  <c r="C15" i="8"/>
  <c r="C19" i="8"/>
  <c r="C8" i="8"/>
  <c r="C13" i="8"/>
  <c r="C10" i="8"/>
  <c r="C3" i="8"/>
  <c r="C16" i="8"/>
  <c r="C14" i="8"/>
  <c r="B7" i="12"/>
  <c r="B15" i="12"/>
  <c r="B10" i="12"/>
  <c r="B8" i="12"/>
  <c r="B23" i="12"/>
  <c r="B16" i="12"/>
  <c r="B11" i="12"/>
  <c r="B24" i="12"/>
  <c r="B19" i="12"/>
  <c r="B18" i="12"/>
  <c r="B22" i="12"/>
  <c r="B9" i="12"/>
  <c r="F19" i="7"/>
  <c r="L20" i="7"/>
  <c r="O18" i="7"/>
  <c r="P18" i="12" s="1"/>
  <c r="M9" i="7"/>
  <c r="N18" i="7"/>
  <c r="O18" i="12" s="1"/>
  <c r="L8" i="7"/>
  <c r="M8" i="12" s="1"/>
  <c r="C9" i="7"/>
  <c r="C9" i="8" s="1"/>
  <c r="G21" i="12"/>
  <c r="G13" i="12"/>
  <c r="G20" i="12"/>
  <c r="G18" i="12"/>
  <c r="G5" i="12"/>
  <c r="G23" i="12"/>
  <c r="G8" i="12"/>
  <c r="G6" i="12"/>
  <c r="G22" i="12"/>
  <c r="G24" i="12"/>
  <c r="G10" i="12"/>
  <c r="G16" i="12"/>
  <c r="G14" i="12"/>
  <c r="G7" i="12"/>
  <c r="G15" i="12"/>
  <c r="P21" i="12"/>
  <c r="P24" i="12"/>
  <c r="P13" i="12"/>
  <c r="P10" i="12"/>
  <c r="P19" i="12"/>
  <c r="P20" i="12"/>
  <c r="P6" i="12"/>
  <c r="P22" i="12"/>
  <c r="P11" i="12"/>
  <c r="P16" i="12"/>
  <c r="P5" i="12"/>
  <c r="P12" i="12"/>
  <c r="P14" i="12"/>
  <c r="P23" i="12"/>
  <c r="E8" i="12"/>
  <c r="E19" i="12"/>
  <c r="E16" i="12"/>
  <c r="E22" i="12"/>
  <c r="E24" i="12"/>
  <c r="E5" i="12"/>
  <c r="E7" i="12"/>
  <c r="E15" i="12"/>
  <c r="E23" i="12"/>
  <c r="E10" i="12"/>
  <c r="E18" i="12"/>
  <c r="Q9" i="12"/>
  <c r="Q23" i="12"/>
  <c r="Q13" i="12"/>
  <c r="Q17" i="12"/>
  <c r="Q24" i="12"/>
  <c r="Q10" i="12"/>
  <c r="Q21" i="12"/>
  <c r="Q7" i="12"/>
  <c r="Q14" i="12"/>
  <c r="Q11" i="12"/>
  <c r="Q22" i="12"/>
  <c r="Q19" i="12"/>
  <c r="Q12" i="12"/>
  <c r="Q5" i="12"/>
  <c r="Q20" i="12"/>
  <c r="D5" i="7"/>
  <c r="B5" i="7"/>
  <c r="B5" i="12" s="1"/>
  <c r="L16" i="7"/>
  <c r="C5" i="7"/>
  <c r="C5" i="8" s="1"/>
  <c r="N13" i="12"/>
  <c r="N6" i="12"/>
  <c r="N10" i="12"/>
  <c r="N21" i="12"/>
  <c r="N12" i="12"/>
  <c r="N14" i="12"/>
  <c r="N18" i="12"/>
  <c r="N11" i="12"/>
  <c r="N20" i="12"/>
  <c r="N24" i="12"/>
  <c r="N5" i="12"/>
  <c r="N19" i="12"/>
  <c r="N9" i="12"/>
  <c r="N23" i="12"/>
  <c r="N22" i="12"/>
  <c r="C13" i="12"/>
  <c r="C19" i="12"/>
  <c r="C5" i="12"/>
  <c r="C11" i="12"/>
  <c r="C18" i="12"/>
  <c r="C8" i="12"/>
  <c r="C23" i="12"/>
  <c r="C24" i="12"/>
  <c r="C15" i="12"/>
  <c r="C9" i="12"/>
  <c r="C16" i="12"/>
  <c r="C3" i="12"/>
  <c r="C14" i="12"/>
  <c r="C22" i="12"/>
  <c r="C10" i="12"/>
  <c r="C7" i="12"/>
  <c r="B20" i="7"/>
  <c r="B20" i="12" s="1"/>
  <c r="E5" i="7"/>
  <c r="E5" i="8" s="1"/>
  <c r="G19" i="7"/>
  <c r="G19" i="8" s="1"/>
  <c r="D19" i="7"/>
  <c r="L18" i="7"/>
  <c r="M18" i="12" s="1"/>
  <c r="F14" i="7"/>
  <c r="F14" i="8" s="1"/>
  <c r="F18" i="12"/>
  <c r="F5" i="12"/>
  <c r="F22" i="12"/>
  <c r="F11" i="12"/>
  <c r="F7" i="12"/>
  <c r="F15" i="12"/>
  <c r="F19" i="12"/>
  <c r="F8" i="12"/>
  <c r="F23" i="12"/>
  <c r="F16" i="12"/>
  <c r="F24" i="12"/>
  <c r="F10" i="12"/>
  <c r="M4" i="12"/>
  <c r="M11" i="12"/>
  <c r="M13" i="12"/>
  <c r="M12" i="12"/>
  <c r="M19" i="12"/>
  <c r="M21" i="12"/>
  <c r="M16" i="12"/>
  <c r="M23" i="12"/>
  <c r="M20" i="12"/>
  <c r="M5" i="12"/>
  <c r="M24" i="12"/>
  <c r="M6" i="12"/>
  <c r="M22" i="12"/>
  <c r="M10" i="12"/>
  <c r="E11" i="5"/>
  <c r="O19" i="8" s="1"/>
  <c r="E11" i="7"/>
  <c r="E11" i="8" s="1"/>
  <c r="N12" i="7"/>
  <c r="O8" i="7"/>
  <c r="P8" i="12" s="1"/>
  <c r="C20" i="7"/>
  <c r="C20" i="8" s="1"/>
  <c r="P18" i="7"/>
  <c r="Q18" i="12" s="1"/>
  <c r="E14" i="7"/>
  <c r="E14" i="8" s="1"/>
  <c r="G3" i="7"/>
  <c r="G3" i="8" s="1"/>
  <c r="D11" i="7"/>
  <c r="D11" i="12" s="1"/>
  <c r="F3" i="7"/>
  <c r="F3" i="12" s="1"/>
  <c r="B3" i="7"/>
  <c r="B3" i="12" s="1"/>
  <c r="E3" i="7"/>
  <c r="E3" i="8" s="1"/>
  <c r="D3" i="7"/>
  <c r="D4" i="12"/>
  <c r="D5" i="12"/>
  <c r="D12" i="12"/>
  <c r="D23" i="12"/>
  <c r="D8" i="12"/>
  <c r="D20" i="12"/>
  <c r="D7" i="12"/>
  <c r="D16" i="12"/>
  <c r="D10" i="12"/>
  <c r="D24" i="12"/>
  <c r="D18" i="12"/>
  <c r="D15" i="12"/>
  <c r="D19" i="12"/>
  <c r="D3" i="12"/>
  <c r="D22" i="12"/>
  <c r="L14" i="7"/>
  <c r="M14" i="12" s="1"/>
  <c r="K8" i="7"/>
  <c r="L8" i="12" s="1"/>
  <c r="P8" i="7"/>
  <c r="Q8" i="12" s="1"/>
  <c r="O12" i="12"/>
  <c r="O5" i="12"/>
  <c r="O24" i="12"/>
  <c r="O20" i="12"/>
  <c r="O13" i="12"/>
  <c r="O9" i="12"/>
  <c r="O8" i="12"/>
  <c r="O4" i="12"/>
  <c r="O21" i="12"/>
  <c r="O16" i="12"/>
  <c r="O23" i="12"/>
  <c r="O10" i="12"/>
  <c r="O19" i="12"/>
  <c r="O6" i="12"/>
  <c r="O11" i="12"/>
  <c r="O22" i="12"/>
  <c r="O14" i="12"/>
  <c r="L6" i="12"/>
  <c r="L15" i="12"/>
  <c r="L10" i="12"/>
  <c r="R10" i="12" s="1"/>
  <c r="L19" i="12"/>
  <c r="L14" i="12"/>
  <c r="L5" i="12"/>
  <c r="L12" i="12"/>
  <c r="L21" i="12"/>
  <c r="L20" i="12"/>
  <c r="R20" i="12" s="1"/>
  <c r="L11" i="12"/>
  <c r="L23" i="12"/>
  <c r="R23" i="12" s="1"/>
  <c r="L18" i="12"/>
  <c r="L22" i="12"/>
  <c r="L16" i="12"/>
  <c r="L17" i="12"/>
  <c r="L7" i="12"/>
  <c r="L13" i="12"/>
  <c r="R13" i="12" s="1"/>
  <c r="L24" i="12"/>
  <c r="F5" i="8"/>
  <c r="F8" i="8"/>
  <c r="F16" i="8"/>
  <c r="F20" i="8"/>
  <c r="F7" i="8"/>
  <c r="F11" i="8"/>
  <c r="F15" i="8"/>
  <c r="F19" i="8"/>
  <c r="F10" i="8"/>
  <c r="F18" i="8"/>
  <c r="D12" i="8"/>
  <c r="D16" i="8"/>
  <c r="D4" i="8"/>
  <c r="D8" i="8"/>
  <c r="D20" i="8"/>
  <c r="D15" i="8"/>
  <c r="D19" i="8"/>
  <c r="D7" i="8"/>
  <c r="D10" i="8"/>
  <c r="D18" i="8"/>
  <c r="D3" i="8"/>
  <c r="D5" i="8"/>
  <c r="D21" i="8"/>
  <c r="B3" i="8"/>
  <c r="B15" i="8"/>
  <c r="B19" i="8"/>
  <c r="B18" i="8"/>
  <c r="B7" i="8"/>
  <c r="B11" i="8"/>
  <c r="B20" i="8"/>
  <c r="B10" i="8"/>
  <c r="B5" i="8"/>
  <c r="B9" i="8"/>
  <c r="B8" i="8"/>
  <c r="B16" i="8"/>
  <c r="Q5" i="8"/>
  <c r="Q9" i="8"/>
  <c r="Q13" i="8"/>
  <c r="Q17" i="8"/>
  <c r="Q21" i="8"/>
  <c r="Q12" i="8"/>
  <c r="Q20" i="8"/>
  <c r="Q7" i="8"/>
  <c r="Q14" i="8"/>
  <c r="Q10" i="8"/>
  <c r="Q11" i="8"/>
  <c r="Q19" i="8"/>
  <c r="Q6" i="8"/>
  <c r="L7" i="8"/>
  <c r="L11" i="8"/>
  <c r="L15" i="8"/>
  <c r="L19" i="8"/>
  <c r="L5" i="8"/>
  <c r="L6" i="8"/>
  <c r="L10" i="8"/>
  <c r="L14" i="8"/>
  <c r="L18" i="8"/>
  <c r="L17" i="8"/>
  <c r="L12" i="8"/>
  <c r="L20" i="8"/>
  <c r="L8" i="8"/>
  <c r="L16" i="8"/>
  <c r="L13" i="8"/>
  <c r="L21" i="8"/>
  <c r="N12" i="8"/>
  <c r="N20" i="8"/>
  <c r="N7" i="8"/>
  <c r="N11" i="8"/>
  <c r="N19" i="8"/>
  <c r="N6" i="8"/>
  <c r="N9" i="8"/>
  <c r="N5" i="8"/>
  <c r="N13" i="8"/>
  <c r="N21" i="8"/>
  <c r="N14" i="8"/>
  <c r="N10" i="8"/>
  <c r="N18" i="8"/>
  <c r="M11" i="8"/>
  <c r="M19" i="8"/>
  <c r="M6" i="8"/>
  <c r="M10" i="8"/>
  <c r="M18" i="8"/>
  <c r="M5" i="8"/>
  <c r="M13" i="8"/>
  <c r="M21" i="8"/>
  <c r="M12" i="8"/>
  <c r="M20" i="8"/>
  <c r="M8" i="8"/>
  <c r="M16" i="8"/>
  <c r="M4" i="8"/>
  <c r="P5" i="8"/>
  <c r="P9" i="8"/>
  <c r="P13" i="8"/>
  <c r="P21" i="8"/>
  <c r="P8" i="8"/>
  <c r="P12" i="8"/>
  <c r="P16" i="8"/>
  <c r="P20" i="8"/>
  <c r="P11" i="8"/>
  <c r="P10" i="8"/>
  <c r="P18" i="8"/>
  <c r="P19" i="8"/>
  <c r="P6" i="8"/>
  <c r="P14" i="8"/>
  <c r="P7" i="8"/>
  <c r="E17" i="7"/>
  <c r="E17" i="8" s="1"/>
  <c r="F17" i="7"/>
  <c r="F17" i="8" s="1"/>
  <c r="G17" i="7"/>
  <c r="G17" i="8" s="1"/>
  <c r="D17" i="7"/>
  <c r="D17" i="12" s="1"/>
  <c r="O15" i="7"/>
  <c r="P15" i="8" s="1"/>
  <c r="C12" i="7"/>
  <c r="C12" i="8" s="1"/>
  <c r="P15" i="7"/>
  <c r="Q15" i="12" s="1"/>
  <c r="F12" i="7"/>
  <c r="F12" i="8" s="1"/>
  <c r="M15" i="7"/>
  <c r="N15" i="12" s="1"/>
  <c r="M17" i="7"/>
  <c r="N17" i="8" s="1"/>
  <c r="D6" i="7"/>
  <c r="D6" i="12" s="1"/>
  <c r="O17" i="7"/>
  <c r="P17" i="12" s="1"/>
  <c r="C21" i="7"/>
  <c r="C21" i="8" s="1"/>
  <c r="L3" i="7"/>
  <c r="M3" i="12" s="1"/>
  <c r="M3" i="7"/>
  <c r="N3" i="12" s="1"/>
  <c r="N3" i="7"/>
  <c r="O3" i="12" s="1"/>
  <c r="F20" i="7"/>
  <c r="F20" i="12" s="1"/>
  <c r="D13" i="7"/>
  <c r="D13" i="12" s="1"/>
  <c r="D14" i="7"/>
  <c r="D14" i="12" s="1"/>
  <c r="C6" i="7"/>
  <c r="C6" i="8" s="1"/>
  <c r="F6" i="7"/>
  <c r="F6" i="12" s="1"/>
  <c r="K9" i="7"/>
  <c r="L9" i="12" s="1"/>
  <c r="E4" i="7"/>
  <c r="E4" i="8" s="1"/>
  <c r="B17" i="7"/>
  <c r="B17" i="12" s="1"/>
  <c r="L15" i="7"/>
  <c r="M15" i="8" s="1"/>
  <c r="N15" i="7"/>
  <c r="O15" i="12" s="1"/>
  <c r="N17" i="7"/>
  <c r="O17" i="12" s="1"/>
  <c r="B13" i="7"/>
  <c r="B13" i="8" s="1"/>
  <c r="F13" i="7"/>
  <c r="F13" i="8" s="1"/>
  <c r="E21" i="7"/>
  <c r="E21" i="8" s="1"/>
  <c r="B14" i="7"/>
  <c r="B14" i="12" s="1"/>
  <c r="L17" i="7"/>
  <c r="M17" i="12" s="1"/>
  <c r="D21" i="7"/>
  <c r="D21" i="12" s="1"/>
  <c r="C17" i="7"/>
  <c r="C17" i="8" s="1"/>
  <c r="M8" i="7"/>
  <c r="N8" i="12" s="1"/>
  <c r="F4" i="7"/>
  <c r="F4" i="12" s="1"/>
  <c r="L7" i="7"/>
  <c r="M7" i="8" s="1"/>
  <c r="N7" i="7"/>
  <c r="O7" i="12" s="1"/>
  <c r="O4" i="7"/>
  <c r="P4" i="8" s="1"/>
  <c r="P4" i="7"/>
  <c r="Q4" i="12" s="1"/>
  <c r="E13" i="7"/>
  <c r="E13" i="8" s="1"/>
  <c r="B6" i="7"/>
  <c r="B6" i="12" s="1"/>
  <c r="L9" i="7"/>
  <c r="M9" i="8" s="1"/>
  <c r="B4" i="7"/>
  <c r="B4" i="12" s="1"/>
  <c r="E12" i="7"/>
  <c r="E12" i="8" s="1"/>
  <c r="B21" i="7"/>
  <c r="B21" i="12" s="1"/>
  <c r="F21" i="7"/>
  <c r="F21" i="8" s="1"/>
  <c r="K3" i="7"/>
  <c r="L3" i="8" s="1"/>
  <c r="G4" i="7"/>
  <c r="G4" i="8" s="1"/>
  <c r="M16" i="7"/>
  <c r="N16" i="12" s="1"/>
  <c r="E9" i="7"/>
  <c r="E9" i="8" s="1"/>
  <c r="F9" i="7"/>
  <c r="F9" i="12" s="1"/>
  <c r="G9" i="7"/>
  <c r="G9" i="8" s="1"/>
  <c r="O3" i="7"/>
  <c r="P3" i="8" s="1"/>
  <c r="D9" i="7"/>
  <c r="D9" i="8" s="1"/>
  <c r="B12" i="7"/>
  <c r="B12" i="12" s="1"/>
  <c r="O7" i="7"/>
  <c r="P7" i="12" s="1"/>
  <c r="E20" i="7"/>
  <c r="E20" i="8" s="1"/>
  <c r="P3" i="7"/>
  <c r="Q3" i="12" s="1"/>
  <c r="C4" i="7"/>
  <c r="C4" i="8" s="1"/>
  <c r="K4" i="7"/>
  <c r="L4" i="12" s="1"/>
  <c r="M4" i="7"/>
  <c r="N4" i="12" s="1"/>
  <c r="G12" i="7"/>
  <c r="G12" i="8" s="1"/>
  <c r="E6" i="7"/>
  <c r="E6" i="8" s="1"/>
  <c r="P16" i="7"/>
  <c r="Q16" i="8" s="1"/>
  <c r="O8" i="8" l="1"/>
  <c r="O16" i="8"/>
  <c r="O5" i="8"/>
  <c r="O17" i="8"/>
  <c r="O3" i="8"/>
  <c r="O18" i="8"/>
  <c r="O10" i="8"/>
  <c r="R10" i="8" s="1"/>
  <c r="O11" i="8"/>
  <c r="R11" i="8" s="1"/>
  <c r="M3" i="8"/>
  <c r="O20" i="8"/>
  <c r="B17" i="8"/>
  <c r="M7" i="12"/>
  <c r="M17" i="8"/>
  <c r="D11" i="8"/>
  <c r="H11" i="8" s="1"/>
  <c r="L3" i="12"/>
  <c r="C20" i="12"/>
  <c r="H5" i="12"/>
  <c r="O12" i="8"/>
  <c r="F6" i="8"/>
  <c r="R21" i="12"/>
  <c r="F12" i="12"/>
  <c r="F13" i="12"/>
  <c r="L4" i="8"/>
  <c r="B6" i="8"/>
  <c r="O15" i="8"/>
  <c r="N15" i="8"/>
  <c r="Q8" i="8"/>
  <c r="B12" i="8"/>
  <c r="H12" i="8" s="1"/>
  <c r="M15" i="12"/>
  <c r="R15" i="12" s="1"/>
  <c r="E6" i="12"/>
  <c r="H6" i="12" s="1"/>
  <c r="G19" i="12"/>
  <c r="Q4" i="8"/>
  <c r="O21" i="8"/>
  <c r="R21" i="8" s="1"/>
  <c r="O7" i="8"/>
  <c r="Q18" i="8"/>
  <c r="B21" i="8"/>
  <c r="R19" i="12"/>
  <c r="R4" i="12"/>
  <c r="O13" i="8"/>
  <c r="R13" i="8" s="1"/>
  <c r="N8" i="8"/>
  <c r="R8" i="8" s="1"/>
  <c r="B4" i="8"/>
  <c r="F9" i="8"/>
  <c r="R14" i="12"/>
  <c r="D9" i="12"/>
  <c r="N3" i="8"/>
  <c r="N4" i="8"/>
  <c r="B14" i="8"/>
  <c r="R24" i="12"/>
  <c r="R11" i="12"/>
  <c r="P3" i="12"/>
  <c r="G9" i="12"/>
  <c r="H16" i="12"/>
  <c r="B13" i="12"/>
  <c r="Q3" i="8"/>
  <c r="D14" i="8"/>
  <c r="F4" i="8"/>
  <c r="C17" i="12"/>
  <c r="C21" i="12"/>
  <c r="C12" i="12"/>
  <c r="H12" i="12" s="1"/>
  <c r="E13" i="12"/>
  <c r="H23" i="12"/>
  <c r="Q15" i="8"/>
  <c r="C4" i="12"/>
  <c r="E11" i="12"/>
  <c r="H11" i="12" s="1"/>
  <c r="E17" i="12"/>
  <c r="E4" i="12"/>
  <c r="P4" i="12"/>
  <c r="G3" i="12"/>
  <c r="H3" i="12" s="1"/>
  <c r="G17" i="12"/>
  <c r="H8" i="12"/>
  <c r="Q16" i="12"/>
  <c r="R16" i="12" s="1"/>
  <c r="G12" i="12"/>
  <c r="H10" i="12"/>
  <c r="R7" i="12"/>
  <c r="P17" i="8"/>
  <c r="M14" i="8"/>
  <c r="O14" i="8"/>
  <c r="L9" i="8"/>
  <c r="D17" i="8"/>
  <c r="H17" i="8" s="1"/>
  <c r="R12" i="12"/>
  <c r="R6" i="12"/>
  <c r="M9" i="12"/>
  <c r="R9" i="12" s="1"/>
  <c r="F21" i="12"/>
  <c r="F14" i="12"/>
  <c r="H14" i="12" s="1"/>
  <c r="N17" i="12"/>
  <c r="R17" i="12" s="1"/>
  <c r="E21" i="12"/>
  <c r="E12" i="12"/>
  <c r="E14" i="12"/>
  <c r="P15" i="12"/>
  <c r="H22" i="12"/>
  <c r="H19" i="12"/>
  <c r="H15" i="12"/>
  <c r="O9" i="8"/>
  <c r="H21" i="8"/>
  <c r="D6" i="8"/>
  <c r="O6" i="8"/>
  <c r="R6" i="8" s="1"/>
  <c r="O4" i="8"/>
  <c r="N16" i="8"/>
  <c r="R16" i="8" s="1"/>
  <c r="D13" i="8"/>
  <c r="F3" i="8"/>
  <c r="H3" i="8" s="1"/>
  <c r="R22" i="12"/>
  <c r="R5" i="12"/>
  <c r="F17" i="12"/>
  <c r="E9" i="12"/>
  <c r="H24" i="12"/>
  <c r="E20" i="12"/>
  <c r="H20" i="12" s="1"/>
  <c r="H18" i="12"/>
  <c r="R18" i="12"/>
  <c r="R8" i="12"/>
  <c r="C6" i="12"/>
  <c r="E3" i="12"/>
  <c r="G4" i="12"/>
  <c r="H7" i="12"/>
  <c r="H8" i="8"/>
  <c r="H20" i="8"/>
  <c r="H16" i="8"/>
  <c r="H15" i="8"/>
  <c r="H10" i="8"/>
  <c r="H13" i="8"/>
  <c r="H7" i="8"/>
  <c r="H9" i="8"/>
  <c r="H18" i="8"/>
  <c r="H5" i="8"/>
  <c r="H19" i="8"/>
  <c r="R20" i="8"/>
  <c r="R3" i="8"/>
  <c r="R5" i="8"/>
  <c r="R12" i="8"/>
  <c r="R19" i="8"/>
  <c r="R7" i="8"/>
  <c r="R15" i="8" l="1"/>
  <c r="R18" i="8"/>
  <c r="R17" i="8"/>
  <c r="R4" i="8"/>
  <c r="H4" i="8"/>
  <c r="R9" i="8"/>
  <c r="R14" i="8"/>
  <c r="H9" i="12"/>
  <c r="H21" i="12"/>
  <c r="R3" i="12"/>
  <c r="H17" i="12"/>
  <c r="H6" i="8"/>
  <c r="H4" i="12"/>
  <c r="H14" i="8"/>
  <c r="H13" i="12"/>
</calcChain>
</file>

<file path=xl/sharedStrings.xml><?xml version="1.0" encoding="utf-8"?>
<sst xmlns="http://schemas.openxmlformats.org/spreadsheetml/2006/main" count="1630" uniqueCount="74">
  <si>
    <t>zone</t>
  </si>
  <si>
    <t>year</t>
  </si>
  <si>
    <t>industry</t>
  </si>
  <si>
    <t>employment</t>
  </si>
  <si>
    <t>a-b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</si>
  <si>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</si>
  <si>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</si>
  <si>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</si>
  <si>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</si>
  <si>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</si>
  <si>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</si>
  <si>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</si>
  <si>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</si>
  <si>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</si>
  <si>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</si>
  <si>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</si>
  <si>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</si>
  <si>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Comunitat Valenciana</t>
  </si>
  <si>
    <t>Illes Balears</t>
  </si>
  <si>
    <t>Andalucía</t>
  </si>
  <si>
    <t>Región de Murcia</t>
  </si>
  <si>
    <t>Ciudad de Ceuta</t>
  </si>
  <si>
    <t>Ciudad de Melilla</t>
  </si>
  <si>
    <t>Canarias</t>
  </si>
  <si>
    <t>c-e</t>
  </si>
  <si>
    <t>f</t>
  </si>
  <si>
    <t>g-i</t>
  </si>
  <si>
    <t>j-k</t>
  </si>
  <si>
    <t>l-q</t>
  </si>
  <si>
    <t>import</t>
  </si>
  <si>
    <t>L_i</t>
  </si>
  <si>
    <t>period</t>
  </si>
  <si>
    <t>1999-2011</t>
  </si>
  <si>
    <t>2012-2019</t>
  </si>
  <si>
    <t>delta_M</t>
  </si>
  <si>
    <t>L_i0</t>
  </si>
  <si>
    <t>shock_i</t>
  </si>
  <si>
    <t>total_1999</t>
  </si>
  <si>
    <t>Australia</t>
  </si>
  <si>
    <t xml:space="preserve">Finland </t>
  </si>
  <si>
    <t>Japan</t>
  </si>
  <si>
    <t>Norway</t>
  </si>
  <si>
    <t>New Zealand</t>
  </si>
  <si>
    <t>Sweden</t>
  </si>
  <si>
    <t>delta_M_OC</t>
  </si>
  <si>
    <t>shock_OC</t>
  </si>
  <si>
    <t>p1</t>
  </si>
  <si>
    <t>p2</t>
  </si>
  <si>
    <t>IPW_OC (1999-2011)</t>
  </si>
  <si>
    <t>IPW_OC (2012-2019)</t>
  </si>
  <si>
    <t>Ile de France</t>
  </si>
  <si>
    <t>Centre — Val de Loire</t>
  </si>
  <si>
    <t>Bourgogne</t>
  </si>
  <si>
    <t>Franche-Comté</t>
  </si>
  <si>
    <t>Basse-Normandie</t>
  </si>
  <si>
    <t>Haute-Normandie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</si>
  <si>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</si>
  <si>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</si>
  <si>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</si>
  <si>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</si>
  <si>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</si>
  <si>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</si>
  <si>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</si>
  <si>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</si>
  <si>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</si>
  <si>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</si>
  <si>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</si>
  <si>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</si>
  <si>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</si>
  <si>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</si>
  <si>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</si>
  <si>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</si>
  <si>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IPW (1999-2011)</t>
  </si>
  <si>
    <t>IPW (2012-2019)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</si>
</sst>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000"/>
  </numFmts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1" xfId="0" applyFont="1" applyBorder="1"/>
    <xf numFmtId="2" fontId="0" fillId="0" borderId="1" xfId="0" applyNumberFormat="1" applyBorder="1" applyAlignment="1">
      <alignment horizontal="left"/>
    </xf>
    <xf numFmtId="0" fontId="2" fillId="0" borderId="0" xfId="0" applyFont="1" applyAlignment="1">
      <alignment horizontal="center"/>
    </xf>
    <xf numFmtId="2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/>
    <xf numFmtId="165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3F87-1F06-A042-8A47-03D2256164AE}">
  <dimension ref="A1:D503"/>
  <sheetViews>
    <sheetView workbookViewId="0">
      <selection activeCell="H27" sqref="H24:H27"/>
    </sheetView>
  </sheetViews>
  <sheetFormatPr baseColWidth="10" defaultRowHeight="16" x14ac:dyDescent="0.2"/>
  <cols>
    <col min="1" max="3" width="10.83203125" style="8"/>
    <col min="4" max="4" width="10.83203125" style="11"/>
  </cols>
  <sheetData>
    <row r="1" spans="1:4" s="5" customFormat="1" x14ac:dyDescent="0.2">
      <c r="A1" s="6" t="s">
        <v>0</v>
      </c>
      <c r="B1" s="6" t="s">
        <v>1</v>
      </c>
      <c r="C1" s="6" t="s">
        <v>2</v>
      </c>
      <c r="D1" s="13" t="s">
        <v>3</v>
      </c>
    </row>
    <row r="2" spans="1:4" x14ac:dyDescent="0.2">
      <c r="A2" s="8" t="s">
        <v>5</v>
      </c>
      <c r="B2" s="8">
        <v>1999</v>
      </c>
      <c r="C2" s="8" t="s">
        <v>4</v>
      </c>
      <c r="D2" s="11">
        <v>169700</v>
      </c>
    </row>
    <row r="3" spans="1:4" x14ac:dyDescent="0.2">
      <c r="A3" s="8" t="s">
        <v>6</v>
      </c>
      <c r="B3" s="8">
        <v>1999</v>
      </c>
      <c r="C3" s="8" t="s">
        <v>4</v>
      </c>
      <c r="D3" s="11">
        <v>31100</v>
      </c>
    </row>
    <row r="4" spans="1:4" x14ac:dyDescent="0.2">
      <c r="A4" s="8" t="s">
        <v>7</v>
      </c>
      <c r="B4" s="8">
        <v>1999</v>
      </c>
      <c r="C4" s="8" t="s">
        <v>4</v>
      </c>
      <c r="D4" s="11">
        <v>14600</v>
      </c>
    </row>
    <row r="5" spans="1:4" x14ac:dyDescent="0.2">
      <c r="A5" s="8" t="s">
        <v>8</v>
      </c>
      <c r="B5" s="8">
        <v>1999</v>
      </c>
      <c r="C5" s="8" t="s">
        <v>4</v>
      </c>
      <c r="D5" s="11">
        <v>16900</v>
      </c>
    </row>
    <row r="6" spans="1:4" x14ac:dyDescent="0.2">
      <c r="A6" s="8" t="s">
        <v>9</v>
      </c>
      <c r="B6" s="8">
        <v>1999</v>
      </c>
      <c r="C6" s="8" t="s">
        <v>4</v>
      </c>
      <c r="D6" s="11">
        <v>16900</v>
      </c>
    </row>
    <row r="7" spans="1:4" x14ac:dyDescent="0.2">
      <c r="A7" s="8" t="s">
        <v>10</v>
      </c>
      <c r="B7" s="8">
        <v>1999</v>
      </c>
      <c r="C7" s="8" t="s">
        <v>4</v>
      </c>
      <c r="D7" s="11">
        <v>11000</v>
      </c>
    </row>
    <row r="8" spans="1:4" x14ac:dyDescent="0.2">
      <c r="A8" s="8" t="s">
        <v>11</v>
      </c>
      <c r="B8" s="8">
        <v>1999</v>
      </c>
      <c r="C8" s="8" t="s">
        <v>4</v>
      </c>
      <c r="D8" s="11">
        <v>36300</v>
      </c>
    </row>
    <row r="9" spans="1:4" x14ac:dyDescent="0.2">
      <c r="A9" s="8" t="s">
        <v>12</v>
      </c>
      <c r="B9" s="8">
        <v>1999</v>
      </c>
      <c r="C9" s="8" t="s">
        <v>4</v>
      </c>
      <c r="D9" s="11">
        <v>19800</v>
      </c>
    </row>
    <row r="10" spans="1:4" x14ac:dyDescent="0.2">
      <c r="A10" s="8" t="s">
        <v>13</v>
      </c>
      <c r="B10" s="8">
        <v>1999</v>
      </c>
      <c r="C10" s="8" t="s">
        <v>4</v>
      </c>
      <c r="D10" s="11">
        <v>91300</v>
      </c>
    </row>
    <row r="11" spans="1:4" x14ac:dyDescent="0.2">
      <c r="A11" s="8" t="s">
        <v>14</v>
      </c>
      <c r="B11" s="8">
        <v>1999</v>
      </c>
      <c r="C11" s="8" t="s">
        <v>4</v>
      </c>
      <c r="D11" s="11">
        <v>64900.000000000007</v>
      </c>
    </row>
    <row r="12" spans="1:4" x14ac:dyDescent="0.2">
      <c r="A12" s="8" t="s">
        <v>15</v>
      </c>
      <c r="B12" s="8">
        <v>1999</v>
      </c>
      <c r="C12" s="8" t="s">
        <v>4</v>
      </c>
      <c r="D12" s="11">
        <v>46600</v>
      </c>
    </row>
    <row r="13" spans="1:4" x14ac:dyDescent="0.2">
      <c r="A13" s="8" t="s">
        <v>16</v>
      </c>
      <c r="B13" s="8">
        <v>1999</v>
      </c>
      <c r="C13" s="8" t="s">
        <v>4</v>
      </c>
      <c r="D13" s="11">
        <v>84500</v>
      </c>
    </row>
    <row r="14" spans="1:4" x14ac:dyDescent="0.2">
      <c r="A14" s="8" t="s">
        <v>17</v>
      </c>
      <c r="B14" s="8">
        <v>1999</v>
      </c>
      <c r="C14" s="8" t="s">
        <v>4</v>
      </c>
      <c r="D14" s="11">
        <v>75100</v>
      </c>
    </row>
    <row r="15" spans="1:4" x14ac:dyDescent="0.2">
      <c r="A15" s="8" t="s">
        <v>18</v>
      </c>
      <c r="B15" s="8">
        <v>1999</v>
      </c>
      <c r="C15" s="8" t="s">
        <v>4</v>
      </c>
      <c r="D15" s="11">
        <v>7300</v>
      </c>
    </row>
    <row r="16" spans="1:4" x14ac:dyDescent="0.2">
      <c r="A16" s="8" t="s">
        <v>19</v>
      </c>
      <c r="B16" s="8">
        <v>1999</v>
      </c>
      <c r="C16" s="8" t="s">
        <v>4</v>
      </c>
      <c r="D16" s="11">
        <v>242500</v>
      </c>
    </row>
    <row r="17" spans="1:4" x14ac:dyDescent="0.2">
      <c r="A17" s="8" t="s">
        <v>20</v>
      </c>
      <c r="B17" s="8">
        <v>1999</v>
      </c>
      <c r="C17" s="8" t="s">
        <v>4</v>
      </c>
      <c r="D17" s="11">
        <v>59600</v>
      </c>
    </row>
    <row r="18" spans="1:4" x14ac:dyDescent="0.2">
      <c r="A18" s="8" t="s">
        <v>21</v>
      </c>
      <c r="B18" s="8">
        <v>1999</v>
      </c>
      <c r="C18" s="8" t="s">
        <v>4</v>
      </c>
      <c r="D18" s="11">
        <v>0</v>
      </c>
    </row>
    <row r="19" spans="1:4" x14ac:dyDescent="0.2">
      <c r="A19" s="8" t="s">
        <v>22</v>
      </c>
      <c r="B19" s="8">
        <v>1999</v>
      </c>
      <c r="C19" s="8" t="s">
        <v>4</v>
      </c>
      <c r="D19" s="11">
        <v>0</v>
      </c>
    </row>
    <row r="20" spans="1:4" x14ac:dyDescent="0.2">
      <c r="A20" s="8" t="s">
        <v>23</v>
      </c>
      <c r="B20" s="8">
        <v>1999</v>
      </c>
      <c r="C20" s="8" t="s">
        <v>4</v>
      </c>
      <c r="D20" s="11">
        <v>39000</v>
      </c>
    </row>
    <row r="21" spans="1:4" x14ac:dyDescent="0.2">
      <c r="A21" s="8" t="s">
        <v>5</v>
      </c>
      <c r="B21" s="8">
        <v>2011</v>
      </c>
      <c r="C21" s="8" t="s">
        <v>4</v>
      </c>
      <c r="D21" s="11">
        <v>81600</v>
      </c>
    </row>
    <row r="22" spans="1:4" x14ac:dyDescent="0.2">
      <c r="A22" s="8" t="s">
        <v>6</v>
      </c>
      <c r="B22" s="8">
        <v>2011</v>
      </c>
      <c r="C22" s="8" t="s">
        <v>4</v>
      </c>
      <c r="D22" s="11">
        <v>15800</v>
      </c>
    </row>
    <row r="23" spans="1:4" x14ac:dyDescent="0.2">
      <c r="A23" s="8" t="s">
        <v>7</v>
      </c>
      <c r="B23" s="8">
        <v>2011</v>
      </c>
      <c r="C23" s="8" t="s">
        <v>4</v>
      </c>
      <c r="D23" s="11">
        <v>6700</v>
      </c>
    </row>
    <row r="24" spans="1:4" x14ac:dyDescent="0.2">
      <c r="A24" s="8" t="s">
        <v>8</v>
      </c>
      <c r="B24" s="8">
        <v>2011</v>
      </c>
      <c r="C24" s="8" t="s">
        <v>4</v>
      </c>
      <c r="D24" s="11">
        <v>9400</v>
      </c>
    </row>
    <row r="25" spans="1:4" x14ac:dyDescent="0.2">
      <c r="A25" s="8" t="s">
        <v>9</v>
      </c>
      <c r="B25" s="8">
        <v>2011</v>
      </c>
      <c r="C25" s="8" t="s">
        <v>4</v>
      </c>
      <c r="D25" s="11">
        <v>7800</v>
      </c>
    </row>
    <row r="26" spans="1:4" x14ac:dyDescent="0.2">
      <c r="A26" s="8" t="s">
        <v>10</v>
      </c>
      <c r="B26" s="8">
        <v>2011</v>
      </c>
      <c r="C26" s="8" t="s">
        <v>4</v>
      </c>
      <c r="D26" s="11">
        <v>6400</v>
      </c>
    </row>
    <row r="27" spans="1:4" x14ac:dyDescent="0.2">
      <c r="A27" s="8" t="s">
        <v>11</v>
      </c>
      <c r="B27" s="8">
        <v>2011</v>
      </c>
      <c r="C27" s="8" t="s">
        <v>4</v>
      </c>
      <c r="D27" s="11">
        <v>31300</v>
      </c>
    </row>
    <row r="28" spans="1:4" x14ac:dyDescent="0.2">
      <c r="A28" s="8" t="s">
        <v>12</v>
      </c>
      <c r="B28" s="8">
        <v>2011</v>
      </c>
      <c r="C28" s="8" t="s">
        <v>4</v>
      </c>
      <c r="D28" s="11">
        <v>5300</v>
      </c>
    </row>
    <row r="29" spans="1:4" x14ac:dyDescent="0.2">
      <c r="A29" s="8" t="s">
        <v>13</v>
      </c>
      <c r="B29" s="8">
        <v>2011</v>
      </c>
      <c r="C29" s="8" t="s">
        <v>4</v>
      </c>
      <c r="D29" s="11">
        <v>65700</v>
      </c>
    </row>
    <row r="30" spans="1:4" x14ac:dyDescent="0.2">
      <c r="A30" s="8" t="s">
        <v>14</v>
      </c>
      <c r="B30" s="8">
        <v>2011</v>
      </c>
      <c r="C30" s="8" t="s">
        <v>4</v>
      </c>
      <c r="D30" s="11">
        <v>53100</v>
      </c>
    </row>
    <row r="31" spans="1:4" x14ac:dyDescent="0.2">
      <c r="A31" s="8" t="s">
        <v>15</v>
      </c>
      <c r="B31" s="8">
        <v>2011</v>
      </c>
      <c r="C31" s="8" t="s">
        <v>4</v>
      </c>
      <c r="D31" s="11">
        <v>35300</v>
      </c>
    </row>
    <row r="32" spans="1:4" x14ac:dyDescent="0.2">
      <c r="A32" s="8" t="s">
        <v>16</v>
      </c>
      <c r="B32" s="8">
        <v>2011</v>
      </c>
      <c r="C32" s="8" t="s">
        <v>4</v>
      </c>
      <c r="D32" s="11">
        <v>57700</v>
      </c>
    </row>
    <row r="33" spans="1:4" x14ac:dyDescent="0.2">
      <c r="A33" s="8" t="s">
        <v>17</v>
      </c>
      <c r="B33" s="8">
        <v>2011</v>
      </c>
      <c r="C33" s="8" t="s">
        <v>4</v>
      </c>
      <c r="D33" s="11">
        <v>54300</v>
      </c>
    </row>
    <row r="34" spans="1:4" x14ac:dyDescent="0.2">
      <c r="A34" s="8" t="s">
        <v>18</v>
      </c>
      <c r="B34" s="8">
        <v>2011</v>
      </c>
      <c r="C34" s="8" t="s">
        <v>4</v>
      </c>
      <c r="D34" s="11">
        <v>7300</v>
      </c>
    </row>
    <row r="35" spans="1:4" x14ac:dyDescent="0.2">
      <c r="A35" s="8" t="s">
        <v>19</v>
      </c>
      <c r="B35" s="8">
        <v>2011</v>
      </c>
      <c r="C35" s="8" t="s">
        <v>4</v>
      </c>
      <c r="D35" s="11">
        <v>213500</v>
      </c>
    </row>
    <row r="36" spans="1:4" x14ac:dyDescent="0.2">
      <c r="A36" s="8" t="s">
        <v>20</v>
      </c>
      <c r="B36" s="8">
        <v>2011</v>
      </c>
      <c r="C36" s="8" t="s">
        <v>4</v>
      </c>
      <c r="D36" s="11">
        <v>70200</v>
      </c>
    </row>
    <row r="37" spans="1:4" x14ac:dyDescent="0.2">
      <c r="A37" s="8" t="s">
        <v>21</v>
      </c>
      <c r="B37" s="8">
        <v>2011</v>
      </c>
      <c r="C37" s="8" t="s">
        <v>4</v>
      </c>
      <c r="D37" s="11">
        <v>0</v>
      </c>
    </row>
    <row r="38" spans="1:4" x14ac:dyDescent="0.2">
      <c r="A38" s="8" t="s">
        <v>22</v>
      </c>
      <c r="B38" s="8">
        <v>2011</v>
      </c>
      <c r="C38" s="8" t="s">
        <v>4</v>
      </c>
      <c r="D38" s="11">
        <v>0</v>
      </c>
    </row>
    <row r="39" spans="1:4" x14ac:dyDescent="0.2">
      <c r="A39" s="8" t="s">
        <v>23</v>
      </c>
      <c r="B39" s="8">
        <v>2011</v>
      </c>
      <c r="C39" s="8" t="s">
        <v>4</v>
      </c>
      <c r="D39" s="11">
        <v>21100</v>
      </c>
    </row>
    <row r="40" spans="1:4" x14ac:dyDescent="0.2">
      <c r="A40" s="8" t="s">
        <v>5</v>
      </c>
      <c r="B40" s="8">
        <v>2012</v>
      </c>
      <c r="C40" s="8" t="s">
        <v>4</v>
      </c>
      <c r="D40" s="11">
        <v>77400</v>
      </c>
    </row>
    <row r="41" spans="1:4" x14ac:dyDescent="0.2">
      <c r="A41" s="8" t="s">
        <v>6</v>
      </c>
      <c r="B41" s="8">
        <v>2012</v>
      </c>
      <c r="C41" s="8" t="s">
        <v>4</v>
      </c>
      <c r="D41" s="11">
        <v>16500</v>
      </c>
    </row>
    <row r="42" spans="1:4" x14ac:dyDescent="0.2">
      <c r="A42" s="8" t="s">
        <v>7</v>
      </c>
      <c r="B42" s="8">
        <v>2012</v>
      </c>
      <c r="C42" s="8" t="s">
        <v>4</v>
      </c>
      <c r="D42" s="11">
        <v>7200</v>
      </c>
    </row>
    <row r="43" spans="1:4" x14ac:dyDescent="0.2">
      <c r="A43" s="8" t="s">
        <v>8</v>
      </c>
      <c r="B43" s="8">
        <v>2012</v>
      </c>
      <c r="C43" s="8" t="s">
        <v>4</v>
      </c>
      <c r="D43" s="11">
        <v>11400</v>
      </c>
    </row>
    <row r="44" spans="1:4" x14ac:dyDescent="0.2">
      <c r="A44" s="8" t="s">
        <v>9</v>
      </c>
      <c r="B44" s="8">
        <v>2012</v>
      </c>
      <c r="C44" s="8" t="s">
        <v>4</v>
      </c>
      <c r="D44" s="11">
        <v>9100</v>
      </c>
    </row>
    <row r="45" spans="1:4" x14ac:dyDescent="0.2">
      <c r="A45" s="8" t="s">
        <v>10</v>
      </c>
      <c r="B45" s="8">
        <v>2012</v>
      </c>
      <c r="C45" s="8" t="s">
        <v>4</v>
      </c>
      <c r="D45" s="11">
        <v>6900</v>
      </c>
    </row>
    <row r="46" spans="1:4" x14ac:dyDescent="0.2">
      <c r="A46" s="8" t="s">
        <v>11</v>
      </c>
      <c r="B46" s="8">
        <v>2012</v>
      </c>
      <c r="C46" s="8" t="s">
        <v>4</v>
      </c>
      <c r="D46" s="11">
        <v>31200</v>
      </c>
    </row>
    <row r="47" spans="1:4" x14ac:dyDescent="0.2">
      <c r="A47" s="8" t="s">
        <v>12</v>
      </c>
      <c r="B47" s="8">
        <v>2012</v>
      </c>
      <c r="C47" s="8" t="s">
        <v>4</v>
      </c>
      <c r="D47" s="11">
        <v>8000</v>
      </c>
    </row>
    <row r="48" spans="1:4" x14ac:dyDescent="0.2">
      <c r="A48" s="8" t="s">
        <v>13</v>
      </c>
      <c r="B48" s="8">
        <v>2012</v>
      </c>
      <c r="C48" s="8" t="s">
        <v>4</v>
      </c>
      <c r="D48" s="11">
        <v>68100</v>
      </c>
    </row>
    <row r="49" spans="1:4" x14ac:dyDescent="0.2">
      <c r="A49" s="8" t="s">
        <v>14</v>
      </c>
      <c r="B49" s="8">
        <v>2012</v>
      </c>
      <c r="C49" s="8" t="s">
        <v>4</v>
      </c>
      <c r="D49" s="11">
        <v>51100</v>
      </c>
    </row>
    <row r="50" spans="1:4" x14ac:dyDescent="0.2">
      <c r="A50" s="8" t="s">
        <v>15</v>
      </c>
      <c r="B50" s="8">
        <v>2012</v>
      </c>
      <c r="C50" s="8" t="s">
        <v>4</v>
      </c>
      <c r="D50" s="11">
        <v>37300</v>
      </c>
    </row>
    <row r="51" spans="1:4" x14ac:dyDescent="0.2">
      <c r="A51" s="8" t="s">
        <v>16</v>
      </c>
      <c r="B51" s="8">
        <v>2012</v>
      </c>
      <c r="C51" s="8" t="s">
        <v>4</v>
      </c>
      <c r="D51" s="11">
        <v>54500</v>
      </c>
    </row>
    <row r="52" spans="1:4" x14ac:dyDescent="0.2">
      <c r="A52" s="8" t="s">
        <v>17</v>
      </c>
      <c r="B52" s="8">
        <v>2012</v>
      </c>
      <c r="C52" s="8" t="s">
        <v>4</v>
      </c>
      <c r="D52" s="11">
        <v>61000</v>
      </c>
    </row>
    <row r="53" spans="1:4" x14ac:dyDescent="0.2">
      <c r="A53" s="8" t="s">
        <v>18</v>
      </c>
      <c r="B53" s="8">
        <v>2012</v>
      </c>
      <c r="C53" s="8" t="s">
        <v>4</v>
      </c>
      <c r="D53" s="11">
        <v>5000</v>
      </c>
    </row>
    <row r="54" spans="1:4" x14ac:dyDescent="0.2">
      <c r="A54" s="8" t="s">
        <v>19</v>
      </c>
      <c r="B54" s="8">
        <v>2012</v>
      </c>
      <c r="C54" s="8" t="s">
        <v>4</v>
      </c>
      <c r="D54" s="11">
        <v>200400</v>
      </c>
    </row>
    <row r="55" spans="1:4" x14ac:dyDescent="0.2">
      <c r="A55" s="8" t="s">
        <v>20</v>
      </c>
      <c r="B55" s="8">
        <v>2012</v>
      </c>
      <c r="C55" s="8" t="s">
        <v>4</v>
      </c>
      <c r="D55" s="11">
        <v>64400.000000000007</v>
      </c>
    </row>
    <row r="56" spans="1:4" x14ac:dyDescent="0.2">
      <c r="A56" s="8" t="s">
        <v>21</v>
      </c>
      <c r="B56" s="8">
        <v>2012</v>
      </c>
      <c r="C56" s="8" t="s">
        <v>4</v>
      </c>
      <c r="D56" s="11">
        <v>0</v>
      </c>
    </row>
    <row r="57" spans="1:4" x14ac:dyDescent="0.2">
      <c r="A57" s="8" t="s">
        <v>22</v>
      </c>
      <c r="B57" s="8">
        <v>2012</v>
      </c>
      <c r="C57" s="8" t="s">
        <v>4</v>
      </c>
      <c r="D57" s="11">
        <v>0</v>
      </c>
    </row>
    <row r="58" spans="1:4" x14ac:dyDescent="0.2">
      <c r="A58" s="8" t="s">
        <v>23</v>
      </c>
      <c r="B58" s="8">
        <v>2012</v>
      </c>
      <c r="C58" s="8" t="s">
        <v>4</v>
      </c>
      <c r="D58" s="11">
        <v>20200</v>
      </c>
    </row>
    <row r="59" spans="1:4" x14ac:dyDescent="0.2">
      <c r="A59" s="8" t="s">
        <v>5</v>
      </c>
      <c r="B59" s="8">
        <v>2019</v>
      </c>
      <c r="C59" s="8" t="s">
        <v>4</v>
      </c>
      <c r="D59" s="11">
        <v>65200</v>
      </c>
    </row>
    <row r="60" spans="1:4" x14ac:dyDescent="0.2">
      <c r="A60" s="8" t="s">
        <v>6</v>
      </c>
      <c r="B60" s="8">
        <v>2019</v>
      </c>
      <c r="C60" s="8" t="s">
        <v>4</v>
      </c>
      <c r="D60" s="11">
        <v>13600</v>
      </c>
    </row>
    <row r="61" spans="1:4" x14ac:dyDescent="0.2">
      <c r="A61" s="8" t="s">
        <v>7</v>
      </c>
      <c r="B61" s="8">
        <v>2019</v>
      </c>
      <c r="C61" s="8" t="s">
        <v>4</v>
      </c>
      <c r="D61" s="11">
        <v>7100</v>
      </c>
    </row>
    <row r="62" spans="1:4" x14ac:dyDescent="0.2">
      <c r="A62" s="8" t="s">
        <v>8</v>
      </c>
      <c r="B62" s="8">
        <v>2019</v>
      </c>
      <c r="C62" s="8" t="s">
        <v>4</v>
      </c>
      <c r="D62" s="11">
        <v>9800</v>
      </c>
    </row>
    <row r="63" spans="1:4" x14ac:dyDescent="0.2">
      <c r="A63" s="8" t="s">
        <v>9</v>
      </c>
      <c r="B63" s="8">
        <v>2019</v>
      </c>
      <c r="C63" s="8" t="s">
        <v>4</v>
      </c>
      <c r="D63" s="11">
        <v>10000</v>
      </c>
    </row>
    <row r="64" spans="1:4" x14ac:dyDescent="0.2">
      <c r="A64" s="8" t="s">
        <v>10</v>
      </c>
      <c r="B64" s="8">
        <v>2019</v>
      </c>
      <c r="C64" s="8" t="s">
        <v>4</v>
      </c>
      <c r="D64" s="11">
        <v>6800</v>
      </c>
    </row>
    <row r="65" spans="1:4" x14ac:dyDescent="0.2">
      <c r="A65" s="8" t="s">
        <v>11</v>
      </c>
      <c r="B65" s="8">
        <v>2019</v>
      </c>
      <c r="C65" s="8" t="s">
        <v>4</v>
      </c>
      <c r="D65" s="11">
        <v>33700</v>
      </c>
    </row>
    <row r="66" spans="1:4" x14ac:dyDescent="0.2">
      <c r="A66" s="8" t="s">
        <v>12</v>
      </c>
      <c r="B66" s="8">
        <v>2019</v>
      </c>
      <c r="C66" s="8" t="s">
        <v>4</v>
      </c>
      <c r="D66" s="11">
        <v>5700</v>
      </c>
    </row>
    <row r="67" spans="1:4" x14ac:dyDescent="0.2">
      <c r="A67" s="8" t="s">
        <v>13</v>
      </c>
      <c r="B67" s="8">
        <v>2019</v>
      </c>
      <c r="C67" s="8" t="s">
        <v>4</v>
      </c>
      <c r="D67" s="11">
        <v>61600</v>
      </c>
    </row>
    <row r="68" spans="1:4" x14ac:dyDescent="0.2">
      <c r="A68" s="8" t="s">
        <v>14</v>
      </c>
      <c r="B68" s="8">
        <v>2019</v>
      </c>
      <c r="C68" s="8" t="s">
        <v>4</v>
      </c>
      <c r="D68" s="11">
        <v>51300</v>
      </c>
    </row>
    <row r="69" spans="1:4" x14ac:dyDescent="0.2">
      <c r="A69" s="8" t="s">
        <v>15</v>
      </c>
      <c r="B69" s="8">
        <v>2019</v>
      </c>
      <c r="C69" s="8" t="s">
        <v>4</v>
      </c>
      <c r="D69" s="11">
        <v>47300</v>
      </c>
    </row>
    <row r="70" spans="1:4" x14ac:dyDescent="0.2">
      <c r="A70" s="8" t="s">
        <v>16</v>
      </c>
      <c r="B70" s="8">
        <v>2019</v>
      </c>
      <c r="C70" s="8" t="s">
        <v>4</v>
      </c>
      <c r="D70" s="11">
        <v>50400</v>
      </c>
    </row>
    <row r="71" spans="1:4" x14ac:dyDescent="0.2">
      <c r="A71" s="8" t="s">
        <v>17</v>
      </c>
      <c r="B71" s="8">
        <v>2019</v>
      </c>
      <c r="C71" s="8" t="s">
        <v>4</v>
      </c>
      <c r="D71" s="11">
        <v>64200</v>
      </c>
    </row>
    <row r="72" spans="1:4" x14ac:dyDescent="0.2">
      <c r="A72" s="8" t="s">
        <v>18</v>
      </c>
      <c r="B72" s="8">
        <v>2019</v>
      </c>
      <c r="C72" s="8" t="s">
        <v>4</v>
      </c>
      <c r="D72" s="11">
        <v>5300</v>
      </c>
    </row>
    <row r="73" spans="1:4" x14ac:dyDescent="0.2">
      <c r="A73" s="8" t="s">
        <v>19</v>
      </c>
      <c r="B73" s="8">
        <v>2019</v>
      </c>
      <c r="C73" s="8" t="s">
        <v>4</v>
      </c>
      <c r="D73" s="11">
        <v>251200</v>
      </c>
    </row>
    <row r="74" spans="1:4" x14ac:dyDescent="0.2">
      <c r="A74" s="8" t="s">
        <v>20</v>
      </c>
      <c r="B74" s="8">
        <v>2019</v>
      </c>
      <c r="C74" s="8" t="s">
        <v>4</v>
      </c>
      <c r="D74" s="11">
        <v>74400</v>
      </c>
    </row>
    <row r="75" spans="1:4" x14ac:dyDescent="0.2">
      <c r="A75" s="8" t="s">
        <v>21</v>
      </c>
      <c r="B75" s="8">
        <v>2019</v>
      </c>
      <c r="C75" s="8" t="s">
        <v>4</v>
      </c>
      <c r="D75" s="11">
        <v>0</v>
      </c>
    </row>
    <row r="76" spans="1:4" x14ac:dyDescent="0.2">
      <c r="A76" s="8" t="s">
        <v>22</v>
      </c>
      <c r="B76" s="8">
        <v>2019</v>
      </c>
      <c r="C76" s="8" t="s">
        <v>4</v>
      </c>
      <c r="D76" s="11">
        <v>0</v>
      </c>
    </row>
    <row r="77" spans="1:4" x14ac:dyDescent="0.2">
      <c r="A77" s="8" t="s">
        <v>23</v>
      </c>
      <c r="B77" s="8">
        <v>2019</v>
      </c>
      <c r="C77" s="8" t="s">
        <v>4</v>
      </c>
      <c r="D77" s="11">
        <v>23900</v>
      </c>
    </row>
    <row r="78" spans="1:4" x14ac:dyDescent="0.2">
      <c r="A78" s="8" t="s">
        <v>5</v>
      </c>
      <c r="B78" s="8">
        <v>1999</v>
      </c>
      <c r="C78" s="8" t="s">
        <v>24</v>
      </c>
      <c r="D78" s="11">
        <v>176700</v>
      </c>
    </row>
    <row r="79" spans="1:4" x14ac:dyDescent="0.2">
      <c r="A79" s="8" t="s">
        <v>6</v>
      </c>
      <c r="B79" s="8">
        <v>1999</v>
      </c>
      <c r="C79" s="8" t="s">
        <v>24</v>
      </c>
      <c r="D79" s="11">
        <v>67600</v>
      </c>
    </row>
    <row r="80" spans="1:4" x14ac:dyDescent="0.2">
      <c r="A80" s="8" t="s">
        <v>7</v>
      </c>
      <c r="B80" s="8">
        <v>1999</v>
      </c>
      <c r="C80" s="8" t="s">
        <v>24</v>
      </c>
      <c r="D80" s="11">
        <v>39600</v>
      </c>
    </row>
    <row r="81" spans="1:4" x14ac:dyDescent="0.2">
      <c r="A81" s="8" t="s">
        <v>8</v>
      </c>
      <c r="B81" s="8">
        <v>1999</v>
      </c>
      <c r="C81" s="8" t="s">
        <v>24</v>
      </c>
      <c r="D81" s="11">
        <v>237000</v>
      </c>
    </row>
    <row r="82" spans="1:4" x14ac:dyDescent="0.2">
      <c r="A82" s="8" t="s">
        <v>9</v>
      </c>
      <c r="B82" s="8">
        <v>1999</v>
      </c>
      <c r="C82" s="8" t="s">
        <v>24</v>
      </c>
      <c r="D82" s="11">
        <v>66500</v>
      </c>
    </row>
    <row r="83" spans="1:4" x14ac:dyDescent="0.2">
      <c r="A83" s="8" t="s">
        <v>10</v>
      </c>
      <c r="B83" s="8">
        <v>1999</v>
      </c>
      <c r="C83" s="8" t="s">
        <v>24</v>
      </c>
      <c r="D83" s="11">
        <v>34300</v>
      </c>
    </row>
    <row r="84" spans="1:4" x14ac:dyDescent="0.2">
      <c r="A84" s="8" t="s">
        <v>11</v>
      </c>
      <c r="B84" s="8">
        <v>1999</v>
      </c>
      <c r="C84" s="8" t="s">
        <v>24</v>
      </c>
      <c r="D84" s="11">
        <v>115600</v>
      </c>
    </row>
    <row r="85" spans="1:4" x14ac:dyDescent="0.2">
      <c r="A85" s="8" t="s">
        <v>12</v>
      </c>
      <c r="B85" s="8">
        <v>1999</v>
      </c>
      <c r="C85" s="8" t="s">
        <v>24</v>
      </c>
      <c r="D85" s="11">
        <v>345200</v>
      </c>
    </row>
    <row r="86" spans="1:4" x14ac:dyDescent="0.2">
      <c r="A86" s="8" t="s">
        <v>13</v>
      </c>
      <c r="B86" s="8">
        <v>1999</v>
      </c>
      <c r="C86" s="8" t="s">
        <v>24</v>
      </c>
      <c r="D86" s="11">
        <v>159400</v>
      </c>
    </row>
    <row r="87" spans="1:4" x14ac:dyDescent="0.2">
      <c r="A87" s="8" t="s">
        <v>14</v>
      </c>
      <c r="B87" s="8">
        <v>1999</v>
      </c>
      <c r="C87" s="8" t="s">
        <v>24</v>
      </c>
      <c r="D87" s="11">
        <v>118900</v>
      </c>
    </row>
    <row r="88" spans="1:4" x14ac:dyDescent="0.2">
      <c r="A88" s="8" t="s">
        <v>15</v>
      </c>
      <c r="B88" s="8">
        <v>1999</v>
      </c>
      <c r="C88" s="8" t="s">
        <v>24</v>
      </c>
      <c r="D88" s="11">
        <v>35600</v>
      </c>
    </row>
    <row r="89" spans="1:4" x14ac:dyDescent="0.2">
      <c r="A89" s="8" t="s">
        <v>16</v>
      </c>
      <c r="B89" s="8">
        <v>1999</v>
      </c>
      <c r="C89" s="8" t="s">
        <v>24</v>
      </c>
      <c r="D89" s="11">
        <v>725800</v>
      </c>
    </row>
    <row r="90" spans="1:4" x14ac:dyDescent="0.2">
      <c r="A90" s="8" t="s">
        <v>17</v>
      </c>
      <c r="B90" s="8">
        <v>1999</v>
      </c>
      <c r="C90" s="8" t="s">
        <v>24</v>
      </c>
      <c r="D90" s="11">
        <v>372600</v>
      </c>
    </row>
    <row r="91" spans="1:4" x14ac:dyDescent="0.2">
      <c r="A91" s="8" t="s">
        <v>18</v>
      </c>
      <c r="B91" s="8">
        <v>1999</v>
      </c>
      <c r="C91" s="8" t="s">
        <v>24</v>
      </c>
      <c r="D91" s="11">
        <v>42400</v>
      </c>
    </row>
    <row r="92" spans="1:4" x14ac:dyDescent="0.2">
      <c r="A92" s="8" t="s">
        <v>19</v>
      </c>
      <c r="B92" s="8">
        <v>1999</v>
      </c>
      <c r="C92" s="8" t="s">
        <v>24</v>
      </c>
      <c r="D92" s="11">
        <v>285000</v>
      </c>
    </row>
    <row r="93" spans="1:4" x14ac:dyDescent="0.2">
      <c r="A93" s="8" t="s">
        <v>20</v>
      </c>
      <c r="B93" s="8">
        <v>1999</v>
      </c>
      <c r="C93" s="8" t="s">
        <v>24</v>
      </c>
      <c r="D93" s="11">
        <v>70300</v>
      </c>
    </row>
    <row r="94" spans="1:4" x14ac:dyDescent="0.2">
      <c r="A94" s="8" t="s">
        <v>21</v>
      </c>
      <c r="B94" s="8">
        <v>1999</v>
      </c>
      <c r="C94" s="8" t="s">
        <v>24</v>
      </c>
      <c r="D94" s="11">
        <v>0</v>
      </c>
    </row>
    <row r="95" spans="1:4" x14ac:dyDescent="0.2">
      <c r="A95" s="8" t="s">
        <v>22</v>
      </c>
      <c r="B95" s="8">
        <v>1999</v>
      </c>
      <c r="C95" s="8" t="s">
        <v>24</v>
      </c>
      <c r="D95" s="11">
        <v>0</v>
      </c>
    </row>
    <row r="96" spans="1:4" x14ac:dyDescent="0.2">
      <c r="A96" s="8" t="s">
        <v>23</v>
      </c>
      <c r="B96" s="8">
        <v>1999</v>
      </c>
      <c r="C96" s="8" t="s">
        <v>24</v>
      </c>
      <c r="D96" s="11">
        <v>44600</v>
      </c>
    </row>
    <row r="97" spans="1:4" x14ac:dyDescent="0.2">
      <c r="A97" s="8" t="s">
        <v>5</v>
      </c>
      <c r="B97" s="8">
        <v>2011</v>
      </c>
      <c r="C97" s="8" t="s">
        <v>24</v>
      </c>
      <c r="D97" s="11">
        <v>175700</v>
      </c>
    </row>
    <row r="98" spans="1:4" x14ac:dyDescent="0.2">
      <c r="A98" s="8" t="s">
        <v>6</v>
      </c>
      <c r="B98" s="8">
        <v>2011</v>
      </c>
      <c r="C98" s="8" t="s">
        <v>24</v>
      </c>
      <c r="D98" s="11">
        <v>57000</v>
      </c>
    </row>
    <row r="99" spans="1:4" x14ac:dyDescent="0.2">
      <c r="A99" s="8" t="s">
        <v>7</v>
      </c>
      <c r="B99" s="8">
        <v>2011</v>
      </c>
      <c r="C99" s="8" t="s">
        <v>24</v>
      </c>
      <c r="D99" s="11">
        <v>39400</v>
      </c>
    </row>
    <row r="100" spans="1:4" x14ac:dyDescent="0.2">
      <c r="A100" s="8" t="s">
        <v>8</v>
      </c>
      <c r="B100" s="8">
        <v>2011</v>
      </c>
      <c r="C100" s="8" t="s">
        <v>24</v>
      </c>
      <c r="D100" s="11">
        <v>208900</v>
      </c>
    </row>
    <row r="101" spans="1:4" x14ac:dyDescent="0.2">
      <c r="A101" s="8" t="s">
        <v>9</v>
      </c>
      <c r="B101" s="8">
        <v>2011</v>
      </c>
      <c r="C101" s="8" t="s">
        <v>24</v>
      </c>
      <c r="D101" s="11">
        <v>70600</v>
      </c>
    </row>
    <row r="102" spans="1:4" x14ac:dyDescent="0.2">
      <c r="A102" s="8" t="s">
        <v>10</v>
      </c>
      <c r="B102" s="8">
        <v>2011</v>
      </c>
      <c r="C102" s="8" t="s">
        <v>24</v>
      </c>
      <c r="D102" s="11">
        <v>32500</v>
      </c>
    </row>
    <row r="103" spans="1:4" x14ac:dyDescent="0.2">
      <c r="A103" s="8" t="s">
        <v>11</v>
      </c>
      <c r="B103" s="8">
        <v>2011</v>
      </c>
      <c r="C103" s="8" t="s">
        <v>24</v>
      </c>
      <c r="D103" s="11">
        <v>107300</v>
      </c>
    </row>
    <row r="104" spans="1:4" x14ac:dyDescent="0.2">
      <c r="A104" s="8" t="s">
        <v>12</v>
      </c>
      <c r="B104" s="8">
        <v>2011</v>
      </c>
      <c r="C104" s="8" t="s">
        <v>24</v>
      </c>
      <c r="D104" s="11">
        <v>271900</v>
      </c>
    </row>
    <row r="105" spans="1:4" x14ac:dyDescent="0.2">
      <c r="A105" s="8" t="s">
        <v>13</v>
      </c>
      <c r="B105" s="8">
        <v>2011</v>
      </c>
      <c r="C105" s="8" t="s">
        <v>24</v>
      </c>
      <c r="D105" s="11">
        <v>151400</v>
      </c>
    </row>
    <row r="106" spans="1:4" x14ac:dyDescent="0.2">
      <c r="A106" s="8" t="s">
        <v>14</v>
      </c>
      <c r="B106" s="8">
        <v>2011</v>
      </c>
      <c r="C106" s="8" t="s">
        <v>24</v>
      </c>
      <c r="D106" s="11">
        <v>126100</v>
      </c>
    </row>
    <row r="107" spans="1:4" x14ac:dyDescent="0.2">
      <c r="A107" s="8" t="s">
        <v>15</v>
      </c>
      <c r="B107" s="8">
        <v>2011</v>
      </c>
      <c r="C107" s="8" t="s">
        <v>24</v>
      </c>
      <c r="D107" s="11">
        <v>39300</v>
      </c>
    </row>
    <row r="108" spans="1:4" x14ac:dyDescent="0.2">
      <c r="A108" s="8" t="s">
        <v>16</v>
      </c>
      <c r="B108" s="8">
        <v>2011</v>
      </c>
      <c r="C108" s="8" t="s">
        <v>24</v>
      </c>
      <c r="D108" s="11">
        <v>587100</v>
      </c>
    </row>
    <row r="109" spans="1:4" x14ac:dyDescent="0.2">
      <c r="A109" s="8" t="s">
        <v>17</v>
      </c>
      <c r="B109" s="8">
        <v>2011</v>
      </c>
      <c r="C109" s="8" t="s">
        <v>24</v>
      </c>
      <c r="D109" s="11">
        <v>330700</v>
      </c>
    </row>
    <row r="110" spans="1:4" x14ac:dyDescent="0.2">
      <c r="A110" s="8" t="s">
        <v>18</v>
      </c>
      <c r="B110" s="8">
        <v>2011</v>
      </c>
      <c r="C110" s="8" t="s">
        <v>24</v>
      </c>
      <c r="D110" s="11">
        <v>34900</v>
      </c>
    </row>
    <row r="111" spans="1:4" x14ac:dyDescent="0.2">
      <c r="A111" s="8" t="s">
        <v>19</v>
      </c>
      <c r="B111" s="8">
        <v>2011</v>
      </c>
      <c r="C111" s="8" t="s">
        <v>24</v>
      </c>
      <c r="D111" s="11">
        <v>253400</v>
      </c>
    </row>
    <row r="112" spans="1:4" x14ac:dyDescent="0.2">
      <c r="A112" s="8" t="s">
        <v>20</v>
      </c>
      <c r="B112" s="8">
        <v>2011</v>
      </c>
      <c r="C112" s="8" t="s">
        <v>24</v>
      </c>
      <c r="D112" s="11">
        <v>69100</v>
      </c>
    </row>
    <row r="113" spans="1:4" x14ac:dyDescent="0.2">
      <c r="A113" s="8" t="s">
        <v>21</v>
      </c>
      <c r="B113" s="8">
        <v>2011</v>
      </c>
      <c r="C113" s="8" t="s">
        <v>24</v>
      </c>
      <c r="D113" s="11">
        <v>0</v>
      </c>
    </row>
    <row r="114" spans="1:4" x14ac:dyDescent="0.2">
      <c r="A114" s="8" t="s">
        <v>22</v>
      </c>
      <c r="B114" s="8">
        <v>2011</v>
      </c>
      <c r="C114" s="8" t="s">
        <v>24</v>
      </c>
      <c r="D114" s="11">
        <v>0</v>
      </c>
    </row>
    <row r="115" spans="1:4" x14ac:dyDescent="0.2">
      <c r="A115" s="8" t="s">
        <v>23</v>
      </c>
      <c r="B115" s="8">
        <v>2011</v>
      </c>
      <c r="C115" s="8" t="s">
        <v>24</v>
      </c>
      <c r="D115" s="11">
        <v>38300</v>
      </c>
    </row>
    <row r="116" spans="1:4" x14ac:dyDescent="0.2">
      <c r="A116" s="8" t="s">
        <v>5</v>
      </c>
      <c r="B116" s="8">
        <v>2012</v>
      </c>
      <c r="C116" s="8" t="s">
        <v>24</v>
      </c>
      <c r="D116" s="11">
        <v>164300</v>
      </c>
    </row>
    <row r="117" spans="1:4" x14ac:dyDescent="0.2">
      <c r="A117" s="8" t="s">
        <v>6</v>
      </c>
      <c r="B117" s="8">
        <v>2012</v>
      </c>
      <c r="C117" s="8" t="s">
        <v>24</v>
      </c>
      <c r="D117" s="11">
        <v>56800</v>
      </c>
    </row>
    <row r="118" spans="1:4" x14ac:dyDescent="0.2">
      <c r="A118" s="8" t="s">
        <v>7</v>
      </c>
      <c r="B118" s="8">
        <v>2012</v>
      </c>
      <c r="C118" s="8" t="s">
        <v>24</v>
      </c>
      <c r="D118" s="11">
        <v>38000</v>
      </c>
    </row>
    <row r="119" spans="1:4" x14ac:dyDescent="0.2">
      <c r="A119" s="8" t="s">
        <v>8</v>
      </c>
      <c r="B119" s="8">
        <v>2012</v>
      </c>
      <c r="C119" s="8" t="s">
        <v>24</v>
      </c>
      <c r="D119" s="11">
        <v>185300</v>
      </c>
    </row>
    <row r="120" spans="1:4" x14ac:dyDescent="0.2">
      <c r="A120" s="8" t="s">
        <v>9</v>
      </c>
      <c r="B120" s="8">
        <v>2012</v>
      </c>
      <c r="C120" s="8" t="s">
        <v>24</v>
      </c>
      <c r="D120" s="11">
        <v>68200</v>
      </c>
    </row>
    <row r="121" spans="1:4" x14ac:dyDescent="0.2">
      <c r="A121" s="8" t="s">
        <v>10</v>
      </c>
      <c r="B121" s="8">
        <v>2012</v>
      </c>
      <c r="C121" s="8" t="s">
        <v>24</v>
      </c>
      <c r="D121" s="11">
        <v>30100</v>
      </c>
    </row>
    <row r="122" spans="1:4" x14ac:dyDescent="0.2">
      <c r="A122" s="8" t="s">
        <v>11</v>
      </c>
      <c r="B122" s="8">
        <v>2012</v>
      </c>
      <c r="C122" s="8" t="s">
        <v>24</v>
      </c>
      <c r="D122" s="11">
        <v>98500</v>
      </c>
    </row>
    <row r="123" spans="1:4" x14ac:dyDescent="0.2">
      <c r="A123" s="8" t="s">
        <v>12</v>
      </c>
      <c r="B123" s="8">
        <v>2012</v>
      </c>
      <c r="C123" s="8" t="s">
        <v>24</v>
      </c>
      <c r="D123" s="11">
        <v>267800</v>
      </c>
    </row>
    <row r="124" spans="1:4" x14ac:dyDescent="0.2">
      <c r="A124" s="8" t="s">
        <v>13</v>
      </c>
      <c r="B124" s="8">
        <v>2012</v>
      </c>
      <c r="C124" s="8" t="s">
        <v>24</v>
      </c>
      <c r="D124" s="11">
        <v>149900</v>
      </c>
    </row>
    <row r="125" spans="1:4" x14ac:dyDescent="0.2">
      <c r="A125" s="8" t="s">
        <v>14</v>
      </c>
      <c r="B125" s="8">
        <v>2012</v>
      </c>
      <c r="C125" s="8" t="s">
        <v>24</v>
      </c>
      <c r="D125" s="11">
        <v>121200</v>
      </c>
    </row>
    <row r="126" spans="1:4" x14ac:dyDescent="0.2">
      <c r="A126" s="8" t="s">
        <v>15</v>
      </c>
      <c r="B126" s="8">
        <v>2012</v>
      </c>
      <c r="C126" s="8" t="s">
        <v>24</v>
      </c>
      <c r="D126" s="11">
        <v>38600</v>
      </c>
    </row>
    <row r="127" spans="1:4" x14ac:dyDescent="0.2">
      <c r="A127" s="8" t="s">
        <v>16</v>
      </c>
      <c r="B127" s="8">
        <v>2012</v>
      </c>
      <c r="C127" s="8" t="s">
        <v>24</v>
      </c>
      <c r="D127" s="11">
        <v>560000</v>
      </c>
    </row>
    <row r="128" spans="1:4" x14ac:dyDescent="0.2">
      <c r="A128" s="8" t="s">
        <v>17</v>
      </c>
      <c r="B128" s="8">
        <v>2012</v>
      </c>
      <c r="C128" s="8" t="s">
        <v>24</v>
      </c>
      <c r="D128" s="11">
        <v>311600</v>
      </c>
    </row>
    <row r="129" spans="1:4" x14ac:dyDescent="0.2">
      <c r="A129" s="8" t="s">
        <v>18</v>
      </c>
      <c r="B129" s="8">
        <v>2012</v>
      </c>
      <c r="C129" s="8" t="s">
        <v>24</v>
      </c>
      <c r="D129" s="11">
        <v>33400</v>
      </c>
    </row>
    <row r="130" spans="1:4" x14ac:dyDescent="0.2">
      <c r="A130" s="8" t="s">
        <v>19</v>
      </c>
      <c r="B130" s="8">
        <v>2012</v>
      </c>
      <c r="C130" s="8" t="s">
        <v>24</v>
      </c>
      <c r="D130" s="11">
        <v>237700</v>
      </c>
    </row>
    <row r="131" spans="1:4" x14ac:dyDescent="0.2">
      <c r="A131" s="8" t="s">
        <v>20</v>
      </c>
      <c r="B131" s="8">
        <v>2012</v>
      </c>
      <c r="C131" s="8" t="s">
        <v>24</v>
      </c>
      <c r="D131" s="11">
        <v>70300</v>
      </c>
    </row>
    <row r="132" spans="1:4" x14ac:dyDescent="0.2">
      <c r="A132" s="8" t="s">
        <v>21</v>
      </c>
      <c r="B132" s="8">
        <v>2012</v>
      </c>
      <c r="C132" s="8" t="s">
        <v>24</v>
      </c>
      <c r="D132" s="11">
        <v>0</v>
      </c>
    </row>
    <row r="133" spans="1:4" x14ac:dyDescent="0.2">
      <c r="A133" s="8" t="s">
        <v>22</v>
      </c>
      <c r="B133" s="8">
        <v>2012</v>
      </c>
      <c r="C133" s="8" t="s">
        <v>24</v>
      </c>
      <c r="D133" s="11">
        <v>0</v>
      </c>
    </row>
    <row r="134" spans="1:4" x14ac:dyDescent="0.2">
      <c r="A134" s="8" t="s">
        <v>23</v>
      </c>
      <c r="B134" s="8">
        <v>2012</v>
      </c>
      <c r="C134" s="8" t="s">
        <v>24</v>
      </c>
      <c r="D134" s="11">
        <v>37600</v>
      </c>
    </row>
    <row r="135" spans="1:4" x14ac:dyDescent="0.2">
      <c r="A135" s="8" t="s">
        <v>5</v>
      </c>
      <c r="B135" s="8">
        <v>2019</v>
      </c>
      <c r="C135" s="8" t="s">
        <v>24</v>
      </c>
      <c r="D135" s="11">
        <v>178200</v>
      </c>
    </row>
    <row r="136" spans="1:4" x14ac:dyDescent="0.2">
      <c r="A136" s="8" t="s">
        <v>6</v>
      </c>
      <c r="B136" s="8">
        <v>2019</v>
      </c>
      <c r="C136" s="8" t="s">
        <v>24</v>
      </c>
      <c r="D136" s="11">
        <v>53000</v>
      </c>
    </row>
    <row r="137" spans="1:4" x14ac:dyDescent="0.2">
      <c r="A137" s="8" t="s">
        <v>7</v>
      </c>
      <c r="B137" s="8">
        <v>2019</v>
      </c>
      <c r="C137" s="8" t="s">
        <v>24</v>
      </c>
      <c r="D137" s="11">
        <v>38300</v>
      </c>
    </row>
    <row r="138" spans="1:4" x14ac:dyDescent="0.2">
      <c r="A138" s="8" t="s">
        <v>8</v>
      </c>
      <c r="B138" s="8">
        <v>2019</v>
      </c>
      <c r="C138" s="8" t="s">
        <v>24</v>
      </c>
      <c r="D138" s="11">
        <v>190100</v>
      </c>
    </row>
    <row r="139" spans="1:4" x14ac:dyDescent="0.2">
      <c r="A139" s="8" t="s">
        <v>9</v>
      </c>
      <c r="B139" s="8">
        <v>2019</v>
      </c>
      <c r="C139" s="8" t="s">
        <v>24</v>
      </c>
      <c r="D139" s="11">
        <v>74500</v>
      </c>
    </row>
    <row r="140" spans="1:4" x14ac:dyDescent="0.2">
      <c r="A140" s="8" t="s">
        <v>10</v>
      </c>
      <c r="B140" s="8">
        <v>2019</v>
      </c>
      <c r="C140" s="8" t="s">
        <v>24</v>
      </c>
      <c r="D140" s="11">
        <v>34600</v>
      </c>
    </row>
    <row r="141" spans="1:4" x14ac:dyDescent="0.2">
      <c r="A141" s="8" t="s">
        <v>11</v>
      </c>
      <c r="B141" s="8">
        <v>2019</v>
      </c>
      <c r="C141" s="8" t="s">
        <v>24</v>
      </c>
      <c r="D141" s="11">
        <v>114700</v>
      </c>
    </row>
    <row r="142" spans="1:4" x14ac:dyDescent="0.2">
      <c r="A142" s="8" t="s">
        <v>12</v>
      </c>
      <c r="B142" s="8">
        <v>2019</v>
      </c>
      <c r="C142" s="8" t="s">
        <v>24</v>
      </c>
      <c r="D142" s="11">
        <v>275400</v>
      </c>
    </row>
    <row r="143" spans="1:4" x14ac:dyDescent="0.2">
      <c r="A143" s="8" t="s">
        <v>13</v>
      </c>
      <c r="B143" s="8">
        <v>2019</v>
      </c>
      <c r="C143" s="8" t="s">
        <v>24</v>
      </c>
      <c r="D143" s="11">
        <v>174000</v>
      </c>
    </row>
    <row r="144" spans="1:4" x14ac:dyDescent="0.2">
      <c r="A144" s="8" t="s">
        <v>14</v>
      </c>
      <c r="B144" s="8">
        <v>2019</v>
      </c>
      <c r="C144" s="8" t="s">
        <v>24</v>
      </c>
      <c r="D144" s="11">
        <v>135700</v>
      </c>
    </row>
    <row r="145" spans="1:4" x14ac:dyDescent="0.2">
      <c r="A145" s="8" t="s">
        <v>15</v>
      </c>
      <c r="B145" s="8">
        <v>2019</v>
      </c>
      <c r="C145" s="8" t="s">
        <v>24</v>
      </c>
      <c r="D145" s="11">
        <v>42100</v>
      </c>
    </row>
    <row r="146" spans="1:4" x14ac:dyDescent="0.2">
      <c r="A146" s="8" t="s">
        <v>16</v>
      </c>
      <c r="B146" s="8">
        <v>2019</v>
      </c>
      <c r="C146" s="8" t="s">
        <v>24</v>
      </c>
      <c r="D146" s="11">
        <v>619200</v>
      </c>
    </row>
    <row r="147" spans="1:4" x14ac:dyDescent="0.2">
      <c r="A147" s="8" t="s">
        <v>17</v>
      </c>
      <c r="B147" s="8">
        <v>2019</v>
      </c>
      <c r="C147" s="8" t="s">
        <v>24</v>
      </c>
      <c r="D147" s="11">
        <v>364500</v>
      </c>
    </row>
    <row r="148" spans="1:4" x14ac:dyDescent="0.2">
      <c r="A148" s="8" t="s">
        <v>18</v>
      </c>
      <c r="B148" s="8">
        <v>2019</v>
      </c>
      <c r="C148" s="8" t="s">
        <v>24</v>
      </c>
      <c r="D148" s="11">
        <v>36100</v>
      </c>
    </row>
    <row r="149" spans="1:4" x14ac:dyDescent="0.2">
      <c r="A149" s="8" t="s">
        <v>19</v>
      </c>
      <c r="B149" s="8">
        <v>2019</v>
      </c>
      <c r="C149" s="8" t="s">
        <v>24</v>
      </c>
      <c r="D149" s="11">
        <v>292500</v>
      </c>
    </row>
    <row r="150" spans="1:4" x14ac:dyDescent="0.2">
      <c r="A150" s="8" t="s">
        <v>20</v>
      </c>
      <c r="B150" s="8">
        <v>2019</v>
      </c>
      <c r="C150" s="8" t="s">
        <v>24</v>
      </c>
      <c r="D150" s="11">
        <v>84100</v>
      </c>
    </row>
    <row r="151" spans="1:4" x14ac:dyDescent="0.2">
      <c r="A151" s="8" t="s">
        <v>21</v>
      </c>
      <c r="B151" s="8">
        <v>2019</v>
      </c>
      <c r="C151" s="8" t="s">
        <v>24</v>
      </c>
      <c r="D151" s="11">
        <v>0</v>
      </c>
    </row>
    <row r="152" spans="1:4" x14ac:dyDescent="0.2">
      <c r="A152" s="8" t="s">
        <v>22</v>
      </c>
      <c r="B152" s="8">
        <v>2019</v>
      </c>
      <c r="C152" s="8" t="s">
        <v>24</v>
      </c>
      <c r="D152" s="11">
        <v>0</v>
      </c>
    </row>
    <row r="153" spans="1:4" x14ac:dyDescent="0.2">
      <c r="A153" s="8" t="s">
        <v>23</v>
      </c>
      <c r="B153" s="8">
        <v>2019</v>
      </c>
      <c r="C153" s="8" t="s">
        <v>24</v>
      </c>
      <c r="D153" s="11">
        <v>40300</v>
      </c>
    </row>
    <row r="154" spans="1:4" x14ac:dyDescent="0.2">
      <c r="A154" s="8" t="s">
        <v>5</v>
      </c>
      <c r="B154" s="8">
        <v>1999</v>
      </c>
      <c r="C154" s="8" t="s">
        <v>25</v>
      </c>
      <c r="D154" s="11">
        <v>107300</v>
      </c>
    </row>
    <row r="155" spans="1:4" x14ac:dyDescent="0.2">
      <c r="A155" s="8" t="s">
        <v>6</v>
      </c>
      <c r="B155" s="8">
        <v>1999</v>
      </c>
      <c r="C155" s="8" t="s">
        <v>25</v>
      </c>
      <c r="D155" s="11">
        <v>36300</v>
      </c>
    </row>
    <row r="156" spans="1:4" x14ac:dyDescent="0.2">
      <c r="A156" s="8" t="s">
        <v>7</v>
      </c>
      <c r="B156" s="8">
        <v>1999</v>
      </c>
      <c r="C156" s="8" t="s">
        <v>25</v>
      </c>
      <c r="D156" s="11">
        <v>23500</v>
      </c>
    </row>
    <row r="157" spans="1:4" x14ac:dyDescent="0.2">
      <c r="A157" s="8" t="s">
        <v>8</v>
      </c>
      <c r="B157" s="8">
        <v>1999</v>
      </c>
      <c r="C157" s="8" t="s">
        <v>25</v>
      </c>
      <c r="D157" s="11">
        <v>76700</v>
      </c>
    </row>
    <row r="158" spans="1:4" x14ac:dyDescent="0.2">
      <c r="A158" s="8" t="s">
        <v>9</v>
      </c>
      <c r="B158" s="8">
        <v>1999</v>
      </c>
      <c r="C158" s="8" t="s">
        <v>25</v>
      </c>
      <c r="D158" s="11">
        <v>20800</v>
      </c>
    </row>
    <row r="159" spans="1:4" x14ac:dyDescent="0.2">
      <c r="A159" s="8" t="s">
        <v>10</v>
      </c>
      <c r="B159" s="8">
        <v>1999</v>
      </c>
      <c r="C159" s="8" t="s">
        <v>25</v>
      </c>
      <c r="D159" s="11">
        <v>9300</v>
      </c>
    </row>
    <row r="160" spans="1:4" x14ac:dyDescent="0.2">
      <c r="A160" s="8" t="s">
        <v>11</v>
      </c>
      <c r="B160" s="8">
        <v>1999</v>
      </c>
      <c r="C160" s="8" t="s">
        <v>25</v>
      </c>
      <c r="D160" s="11">
        <v>35400</v>
      </c>
    </row>
    <row r="161" spans="1:4" x14ac:dyDescent="0.2">
      <c r="A161" s="8" t="s">
        <v>12</v>
      </c>
      <c r="B161" s="8">
        <v>1999</v>
      </c>
      <c r="C161" s="8" t="s">
        <v>25</v>
      </c>
      <c r="D161" s="11">
        <v>185200</v>
      </c>
    </row>
    <row r="162" spans="1:4" x14ac:dyDescent="0.2">
      <c r="A162" s="8" t="s">
        <v>13</v>
      </c>
      <c r="B162" s="8">
        <v>1999</v>
      </c>
      <c r="C162" s="8" t="s">
        <v>25</v>
      </c>
      <c r="D162" s="11">
        <v>93300</v>
      </c>
    </row>
    <row r="163" spans="1:4" x14ac:dyDescent="0.2">
      <c r="A163" s="8" t="s">
        <v>14</v>
      </c>
      <c r="B163" s="8">
        <v>1999</v>
      </c>
      <c r="C163" s="8" t="s">
        <v>25</v>
      </c>
      <c r="D163" s="11">
        <v>82000</v>
      </c>
    </row>
    <row r="164" spans="1:4" x14ac:dyDescent="0.2">
      <c r="A164" s="8" t="s">
        <v>15</v>
      </c>
      <c r="B164" s="8">
        <v>1999</v>
      </c>
      <c r="C164" s="8" t="s">
        <v>25</v>
      </c>
      <c r="D164" s="11">
        <v>45400</v>
      </c>
    </row>
    <row r="165" spans="1:4" x14ac:dyDescent="0.2">
      <c r="A165" s="8" t="s">
        <v>16</v>
      </c>
      <c r="B165" s="8">
        <v>1999</v>
      </c>
      <c r="C165" s="8" t="s">
        <v>25</v>
      </c>
      <c r="D165" s="11">
        <v>242900</v>
      </c>
    </row>
    <row r="166" spans="1:4" x14ac:dyDescent="0.2">
      <c r="A166" s="8" t="s">
        <v>17</v>
      </c>
      <c r="B166" s="8">
        <v>1999</v>
      </c>
      <c r="C166" s="8" t="s">
        <v>25</v>
      </c>
      <c r="D166" s="11">
        <v>158300</v>
      </c>
    </row>
    <row r="167" spans="1:4" x14ac:dyDescent="0.2">
      <c r="A167" s="8" t="s">
        <v>18</v>
      </c>
      <c r="B167" s="8">
        <v>1999</v>
      </c>
      <c r="C167" s="8" t="s">
        <v>25</v>
      </c>
      <c r="D167" s="11">
        <v>42600</v>
      </c>
    </row>
    <row r="168" spans="1:4" x14ac:dyDescent="0.2">
      <c r="A168" s="8" t="s">
        <v>19</v>
      </c>
      <c r="B168" s="8">
        <v>1999</v>
      </c>
      <c r="C168" s="8" t="s">
        <v>25</v>
      </c>
      <c r="D168" s="11">
        <v>255500</v>
      </c>
    </row>
    <row r="169" spans="1:4" x14ac:dyDescent="0.2">
      <c r="A169" s="8" t="s">
        <v>20</v>
      </c>
      <c r="B169" s="8">
        <v>1999</v>
      </c>
      <c r="C169" s="8" t="s">
        <v>25</v>
      </c>
      <c r="D169" s="11">
        <v>43000</v>
      </c>
    </row>
    <row r="170" spans="1:4" x14ac:dyDescent="0.2">
      <c r="A170" s="8" t="s">
        <v>21</v>
      </c>
      <c r="B170" s="8">
        <v>1999</v>
      </c>
      <c r="C170" s="8" t="s">
        <v>25</v>
      </c>
      <c r="D170" s="11">
        <v>0</v>
      </c>
    </row>
    <row r="171" spans="1:4" x14ac:dyDescent="0.2">
      <c r="A171" s="8" t="s">
        <v>22</v>
      </c>
      <c r="B171" s="8">
        <v>1999</v>
      </c>
      <c r="C171" s="8" t="s">
        <v>25</v>
      </c>
      <c r="D171" s="11">
        <v>0</v>
      </c>
    </row>
    <row r="172" spans="1:4" x14ac:dyDescent="0.2">
      <c r="A172" s="8" t="s">
        <v>23</v>
      </c>
      <c r="B172" s="8">
        <v>1999</v>
      </c>
      <c r="C172" s="8" t="s">
        <v>25</v>
      </c>
      <c r="D172" s="11">
        <v>79200</v>
      </c>
    </row>
    <row r="173" spans="1:4" x14ac:dyDescent="0.2">
      <c r="A173" s="8" t="s">
        <v>5</v>
      </c>
      <c r="B173" s="8">
        <v>2011</v>
      </c>
      <c r="C173" s="8" t="s">
        <v>25</v>
      </c>
      <c r="D173" s="11">
        <v>91000</v>
      </c>
    </row>
    <row r="174" spans="1:4" x14ac:dyDescent="0.2">
      <c r="A174" s="8" t="s">
        <v>6</v>
      </c>
      <c r="B174" s="8">
        <v>2011</v>
      </c>
      <c r="C174" s="8" t="s">
        <v>25</v>
      </c>
      <c r="D174" s="11">
        <v>35700</v>
      </c>
    </row>
    <row r="175" spans="1:4" x14ac:dyDescent="0.2">
      <c r="A175" s="8" t="s">
        <v>7</v>
      </c>
      <c r="B175" s="8">
        <v>2011</v>
      </c>
      <c r="C175" s="8" t="s">
        <v>25</v>
      </c>
      <c r="D175" s="11">
        <v>19500</v>
      </c>
    </row>
    <row r="176" spans="1:4" x14ac:dyDescent="0.2">
      <c r="A176" s="8" t="s">
        <v>8</v>
      </c>
      <c r="B176" s="8">
        <v>2011</v>
      </c>
      <c r="C176" s="8" t="s">
        <v>25</v>
      </c>
      <c r="D176" s="11">
        <v>66100</v>
      </c>
    </row>
    <row r="177" spans="1:4" x14ac:dyDescent="0.2">
      <c r="A177" s="8" t="s">
        <v>9</v>
      </c>
      <c r="B177" s="8">
        <v>2011</v>
      </c>
      <c r="C177" s="8" t="s">
        <v>25</v>
      </c>
      <c r="D177" s="11">
        <v>22100</v>
      </c>
    </row>
    <row r="178" spans="1:4" x14ac:dyDescent="0.2">
      <c r="A178" s="8" t="s">
        <v>10</v>
      </c>
      <c r="B178" s="8">
        <v>2011</v>
      </c>
      <c r="C178" s="8" t="s">
        <v>25</v>
      </c>
      <c r="D178" s="11">
        <v>13300</v>
      </c>
    </row>
    <row r="179" spans="1:4" x14ac:dyDescent="0.2">
      <c r="A179" s="8" t="s">
        <v>11</v>
      </c>
      <c r="B179" s="8">
        <v>2011</v>
      </c>
      <c r="C179" s="8" t="s">
        <v>25</v>
      </c>
      <c r="D179" s="11">
        <v>41200</v>
      </c>
    </row>
    <row r="180" spans="1:4" x14ac:dyDescent="0.2">
      <c r="A180" s="8" t="s">
        <v>12</v>
      </c>
      <c r="B180" s="8">
        <v>2011</v>
      </c>
      <c r="C180" s="8" t="s">
        <v>25</v>
      </c>
      <c r="D180" s="11">
        <v>177100</v>
      </c>
    </row>
    <row r="181" spans="1:4" x14ac:dyDescent="0.2">
      <c r="A181" s="8" t="s">
        <v>13</v>
      </c>
      <c r="B181" s="8">
        <v>2011</v>
      </c>
      <c r="C181" s="8" t="s">
        <v>25</v>
      </c>
      <c r="D181" s="11">
        <v>81400</v>
      </c>
    </row>
    <row r="182" spans="1:4" x14ac:dyDescent="0.2">
      <c r="A182" s="8" t="s">
        <v>14</v>
      </c>
      <c r="B182" s="8">
        <v>2011</v>
      </c>
      <c r="C182" s="8" t="s">
        <v>25</v>
      </c>
      <c r="D182" s="11">
        <v>77200</v>
      </c>
    </row>
    <row r="183" spans="1:4" x14ac:dyDescent="0.2">
      <c r="A183" s="8" t="s">
        <v>15</v>
      </c>
      <c r="B183" s="8">
        <v>2011</v>
      </c>
      <c r="C183" s="8" t="s">
        <v>25</v>
      </c>
      <c r="D183" s="11">
        <v>37000</v>
      </c>
    </row>
    <row r="184" spans="1:4" x14ac:dyDescent="0.2">
      <c r="A184" s="8" t="s">
        <v>16</v>
      </c>
      <c r="B184" s="8">
        <v>2011</v>
      </c>
      <c r="C184" s="8" t="s">
        <v>25</v>
      </c>
      <c r="D184" s="11">
        <v>245100</v>
      </c>
    </row>
    <row r="185" spans="1:4" x14ac:dyDescent="0.2">
      <c r="A185" s="8" t="s">
        <v>17</v>
      </c>
      <c r="B185" s="8">
        <v>2011</v>
      </c>
      <c r="C185" s="8" t="s">
        <v>25</v>
      </c>
      <c r="D185" s="11">
        <v>143200</v>
      </c>
    </row>
    <row r="186" spans="1:4" x14ac:dyDescent="0.2">
      <c r="A186" s="8" t="s">
        <v>18</v>
      </c>
      <c r="B186" s="8">
        <v>2011</v>
      </c>
      <c r="C186" s="8" t="s">
        <v>25</v>
      </c>
      <c r="D186" s="11">
        <v>44200</v>
      </c>
    </row>
    <row r="187" spans="1:4" x14ac:dyDescent="0.2">
      <c r="A187" s="8" t="s">
        <v>19</v>
      </c>
      <c r="B187" s="8">
        <v>2011</v>
      </c>
      <c r="C187" s="8" t="s">
        <v>25</v>
      </c>
      <c r="D187" s="11">
        <v>209400</v>
      </c>
    </row>
    <row r="188" spans="1:4" x14ac:dyDescent="0.2">
      <c r="A188" s="8" t="s">
        <v>20</v>
      </c>
      <c r="B188" s="8">
        <v>2011</v>
      </c>
      <c r="C188" s="8" t="s">
        <v>25</v>
      </c>
      <c r="D188" s="11">
        <v>41600</v>
      </c>
    </row>
    <row r="189" spans="1:4" x14ac:dyDescent="0.2">
      <c r="A189" s="8" t="s">
        <v>21</v>
      </c>
      <c r="B189" s="8">
        <v>2011</v>
      </c>
      <c r="C189" s="8" t="s">
        <v>25</v>
      </c>
      <c r="D189" s="11">
        <v>1700</v>
      </c>
    </row>
    <row r="190" spans="1:4" x14ac:dyDescent="0.2">
      <c r="A190" s="8" t="s">
        <v>22</v>
      </c>
      <c r="B190" s="8">
        <v>2011</v>
      </c>
      <c r="C190" s="8" t="s">
        <v>25</v>
      </c>
      <c r="D190" s="11">
        <v>1200</v>
      </c>
    </row>
    <row r="191" spans="1:4" x14ac:dyDescent="0.2">
      <c r="A191" s="8" t="s">
        <v>23</v>
      </c>
      <c r="B191" s="8">
        <v>2011</v>
      </c>
      <c r="C191" s="8" t="s">
        <v>25</v>
      </c>
      <c r="D191" s="11">
        <v>50900</v>
      </c>
    </row>
    <row r="192" spans="1:4" x14ac:dyDescent="0.2">
      <c r="A192" s="8" t="s">
        <v>5</v>
      </c>
      <c r="B192" s="8">
        <v>2012</v>
      </c>
      <c r="C192" s="8" t="s">
        <v>25</v>
      </c>
      <c r="D192" s="11">
        <v>78700</v>
      </c>
    </row>
    <row r="193" spans="1:4" x14ac:dyDescent="0.2">
      <c r="A193" s="8" t="s">
        <v>6</v>
      </c>
      <c r="B193" s="8">
        <v>2012</v>
      </c>
      <c r="C193" s="8" t="s">
        <v>25</v>
      </c>
      <c r="D193" s="11">
        <v>30400</v>
      </c>
    </row>
    <row r="194" spans="1:4" x14ac:dyDescent="0.2">
      <c r="A194" s="8" t="s">
        <v>7</v>
      </c>
      <c r="B194" s="8">
        <v>2012</v>
      </c>
      <c r="C194" s="8" t="s">
        <v>25</v>
      </c>
      <c r="D194" s="11">
        <v>17400</v>
      </c>
    </row>
    <row r="195" spans="1:4" x14ac:dyDescent="0.2">
      <c r="A195" s="8" t="s">
        <v>8</v>
      </c>
      <c r="B195" s="8">
        <v>2012</v>
      </c>
      <c r="C195" s="8" t="s">
        <v>25</v>
      </c>
      <c r="D195" s="11">
        <v>55600</v>
      </c>
    </row>
    <row r="196" spans="1:4" x14ac:dyDescent="0.2">
      <c r="A196" s="8" t="s">
        <v>9</v>
      </c>
      <c r="B196" s="8">
        <v>2012</v>
      </c>
      <c r="C196" s="8" t="s">
        <v>25</v>
      </c>
      <c r="D196" s="11">
        <v>17800</v>
      </c>
    </row>
    <row r="197" spans="1:4" x14ac:dyDescent="0.2">
      <c r="A197" s="8" t="s">
        <v>10</v>
      </c>
      <c r="B197" s="8">
        <v>2012</v>
      </c>
      <c r="C197" s="8" t="s">
        <v>25</v>
      </c>
      <c r="D197" s="11">
        <v>11700</v>
      </c>
    </row>
    <row r="198" spans="1:4" x14ac:dyDescent="0.2">
      <c r="A198" s="8" t="s">
        <v>11</v>
      </c>
      <c r="B198" s="8">
        <v>2012</v>
      </c>
      <c r="C198" s="8" t="s">
        <v>25</v>
      </c>
      <c r="D198" s="11">
        <v>37100</v>
      </c>
    </row>
    <row r="199" spans="1:4" x14ac:dyDescent="0.2">
      <c r="A199" s="8" t="s">
        <v>12</v>
      </c>
      <c r="B199" s="8">
        <v>2012</v>
      </c>
      <c r="C199" s="8" t="s">
        <v>25</v>
      </c>
      <c r="D199" s="11">
        <v>137100</v>
      </c>
    </row>
    <row r="200" spans="1:4" x14ac:dyDescent="0.2">
      <c r="A200" s="8" t="s">
        <v>13</v>
      </c>
      <c r="B200" s="8">
        <v>2012</v>
      </c>
      <c r="C200" s="8" t="s">
        <v>25</v>
      </c>
      <c r="D200" s="11">
        <v>78300</v>
      </c>
    </row>
    <row r="201" spans="1:4" x14ac:dyDescent="0.2">
      <c r="A201" s="8" t="s">
        <v>14</v>
      </c>
      <c r="B201" s="8">
        <v>2012</v>
      </c>
      <c r="C201" s="8" t="s">
        <v>25</v>
      </c>
      <c r="D201" s="11">
        <v>62100</v>
      </c>
    </row>
    <row r="202" spans="1:4" x14ac:dyDescent="0.2">
      <c r="A202" s="8" t="s">
        <v>15</v>
      </c>
      <c r="B202" s="8">
        <v>2012</v>
      </c>
      <c r="C202" s="8" t="s">
        <v>25</v>
      </c>
      <c r="D202" s="11">
        <v>29000</v>
      </c>
    </row>
    <row r="203" spans="1:4" x14ac:dyDescent="0.2">
      <c r="A203" s="8" t="s">
        <v>16</v>
      </c>
      <c r="B203" s="8">
        <v>2012</v>
      </c>
      <c r="C203" s="8" t="s">
        <v>25</v>
      </c>
      <c r="D203" s="11">
        <v>196300</v>
      </c>
    </row>
    <row r="204" spans="1:4" x14ac:dyDescent="0.2">
      <c r="A204" s="8" t="s">
        <v>17</v>
      </c>
      <c r="B204" s="8">
        <v>2012</v>
      </c>
      <c r="C204" s="8" t="s">
        <v>25</v>
      </c>
      <c r="D204" s="11">
        <v>122100</v>
      </c>
    </row>
    <row r="205" spans="1:4" x14ac:dyDescent="0.2">
      <c r="A205" s="8" t="s">
        <v>18</v>
      </c>
      <c r="B205" s="8">
        <v>2012</v>
      </c>
      <c r="C205" s="8" t="s">
        <v>25</v>
      </c>
      <c r="D205" s="11">
        <v>44300</v>
      </c>
    </row>
    <row r="206" spans="1:4" x14ac:dyDescent="0.2">
      <c r="A206" s="8" t="s">
        <v>19</v>
      </c>
      <c r="B206" s="8">
        <v>2012</v>
      </c>
      <c r="C206" s="8" t="s">
        <v>25</v>
      </c>
      <c r="D206" s="11">
        <v>156900</v>
      </c>
    </row>
    <row r="207" spans="1:4" x14ac:dyDescent="0.2">
      <c r="A207" s="8" t="s">
        <v>20</v>
      </c>
      <c r="B207" s="8">
        <v>2012</v>
      </c>
      <c r="C207" s="8" t="s">
        <v>25</v>
      </c>
      <c r="D207" s="11">
        <v>33500</v>
      </c>
    </row>
    <row r="208" spans="1:4" x14ac:dyDescent="0.2">
      <c r="A208" s="8" t="s">
        <v>21</v>
      </c>
      <c r="B208" s="8">
        <v>2012</v>
      </c>
      <c r="C208" s="8" t="s">
        <v>25</v>
      </c>
      <c r="D208" s="11">
        <v>1100</v>
      </c>
    </row>
    <row r="209" spans="1:4" x14ac:dyDescent="0.2">
      <c r="A209" s="8" t="s">
        <v>22</v>
      </c>
      <c r="B209" s="8">
        <v>2012</v>
      </c>
      <c r="C209" s="8" t="s">
        <v>25</v>
      </c>
      <c r="D209" s="11">
        <v>1700</v>
      </c>
    </row>
    <row r="210" spans="1:4" x14ac:dyDescent="0.2">
      <c r="A210" s="8" t="s">
        <v>23</v>
      </c>
      <c r="B210" s="8">
        <v>2012</v>
      </c>
      <c r="C210" s="8" t="s">
        <v>25</v>
      </c>
      <c r="D210" s="11">
        <v>43200</v>
      </c>
    </row>
    <row r="211" spans="1:4" x14ac:dyDescent="0.2">
      <c r="A211" s="8" t="s">
        <v>5</v>
      </c>
      <c r="B211" s="8">
        <v>2019</v>
      </c>
      <c r="C211" s="8" t="s">
        <v>25</v>
      </c>
      <c r="D211" s="11">
        <v>69500</v>
      </c>
    </row>
    <row r="212" spans="1:4" x14ac:dyDescent="0.2">
      <c r="A212" s="8" t="s">
        <v>6</v>
      </c>
      <c r="B212" s="8">
        <v>2019</v>
      </c>
      <c r="C212" s="8" t="s">
        <v>25</v>
      </c>
      <c r="D212" s="11">
        <v>25200</v>
      </c>
    </row>
    <row r="213" spans="1:4" x14ac:dyDescent="0.2">
      <c r="A213" s="8" t="s">
        <v>7</v>
      </c>
      <c r="B213" s="8">
        <v>2019</v>
      </c>
      <c r="C213" s="8" t="s">
        <v>25</v>
      </c>
      <c r="D213" s="11">
        <v>17900</v>
      </c>
    </row>
    <row r="214" spans="1:4" x14ac:dyDescent="0.2">
      <c r="A214" s="8" t="s">
        <v>8</v>
      </c>
      <c r="B214" s="8">
        <v>2019</v>
      </c>
      <c r="C214" s="8" t="s">
        <v>25</v>
      </c>
      <c r="D214" s="11">
        <v>52400</v>
      </c>
    </row>
    <row r="215" spans="1:4" x14ac:dyDescent="0.2">
      <c r="A215" s="8" t="s">
        <v>9</v>
      </c>
      <c r="B215" s="8">
        <v>2019</v>
      </c>
      <c r="C215" s="8" t="s">
        <v>25</v>
      </c>
      <c r="D215" s="11">
        <v>16100.000000000002</v>
      </c>
    </row>
    <row r="216" spans="1:4" x14ac:dyDescent="0.2">
      <c r="A216" s="8" t="s">
        <v>10</v>
      </c>
      <c r="B216" s="8">
        <v>2019</v>
      </c>
      <c r="C216" s="8" t="s">
        <v>25</v>
      </c>
      <c r="D216" s="11">
        <v>8400</v>
      </c>
    </row>
    <row r="217" spans="1:4" x14ac:dyDescent="0.2">
      <c r="A217" s="8" t="s">
        <v>11</v>
      </c>
      <c r="B217" s="8">
        <v>2019</v>
      </c>
      <c r="C217" s="8" t="s">
        <v>25</v>
      </c>
      <c r="D217" s="11">
        <v>38000</v>
      </c>
    </row>
    <row r="218" spans="1:4" x14ac:dyDescent="0.2">
      <c r="A218" s="8" t="s">
        <v>12</v>
      </c>
      <c r="B218" s="8">
        <v>2019</v>
      </c>
      <c r="C218" s="8" t="s">
        <v>25</v>
      </c>
      <c r="D218" s="11">
        <v>195200</v>
      </c>
    </row>
    <row r="219" spans="1:4" x14ac:dyDescent="0.2">
      <c r="A219" s="8" t="s">
        <v>13</v>
      </c>
      <c r="B219" s="8">
        <v>2019</v>
      </c>
      <c r="C219" s="8" t="s">
        <v>25</v>
      </c>
      <c r="D219" s="11">
        <v>64200</v>
      </c>
    </row>
    <row r="220" spans="1:4" x14ac:dyDescent="0.2">
      <c r="A220" s="8" t="s">
        <v>14</v>
      </c>
      <c r="B220" s="8">
        <v>2019</v>
      </c>
      <c r="C220" s="8" t="s">
        <v>25</v>
      </c>
      <c r="D220" s="11">
        <v>68100</v>
      </c>
    </row>
    <row r="221" spans="1:4" x14ac:dyDescent="0.2">
      <c r="A221" s="8" t="s">
        <v>15</v>
      </c>
      <c r="B221" s="8">
        <v>2019</v>
      </c>
      <c r="C221" s="8" t="s">
        <v>25</v>
      </c>
      <c r="D221" s="11">
        <v>24300</v>
      </c>
    </row>
    <row r="222" spans="1:4" x14ac:dyDescent="0.2">
      <c r="A222" s="8" t="s">
        <v>16</v>
      </c>
      <c r="B222" s="8">
        <v>2019</v>
      </c>
      <c r="C222" s="8" t="s">
        <v>25</v>
      </c>
      <c r="D222" s="11">
        <v>193900</v>
      </c>
    </row>
    <row r="223" spans="1:4" x14ac:dyDescent="0.2">
      <c r="A223" s="8" t="s">
        <v>17</v>
      </c>
      <c r="B223" s="8">
        <v>2019</v>
      </c>
      <c r="C223" s="8" t="s">
        <v>25</v>
      </c>
      <c r="D223" s="11">
        <v>134300</v>
      </c>
    </row>
    <row r="224" spans="1:4" x14ac:dyDescent="0.2">
      <c r="A224" s="8" t="s">
        <v>18</v>
      </c>
      <c r="B224" s="8">
        <v>2019</v>
      </c>
      <c r="C224" s="8" t="s">
        <v>25</v>
      </c>
      <c r="D224" s="11">
        <v>63600</v>
      </c>
    </row>
    <row r="225" spans="1:4" x14ac:dyDescent="0.2">
      <c r="A225" s="8" t="s">
        <v>19</v>
      </c>
      <c r="B225" s="8">
        <v>2019</v>
      </c>
      <c r="C225" s="8" t="s">
        <v>25</v>
      </c>
      <c r="D225" s="11">
        <v>205700</v>
      </c>
    </row>
    <row r="226" spans="1:4" x14ac:dyDescent="0.2">
      <c r="A226" s="8" t="s">
        <v>20</v>
      </c>
      <c r="B226" s="8">
        <v>2019</v>
      </c>
      <c r="C226" s="8" t="s">
        <v>25</v>
      </c>
      <c r="D226" s="11">
        <v>43000</v>
      </c>
    </row>
    <row r="227" spans="1:4" x14ac:dyDescent="0.2">
      <c r="A227" s="8" t="s">
        <v>21</v>
      </c>
      <c r="B227" s="8">
        <v>2019</v>
      </c>
      <c r="C227" s="8" t="s">
        <v>25</v>
      </c>
      <c r="D227" s="11">
        <v>0</v>
      </c>
    </row>
    <row r="228" spans="1:4" x14ac:dyDescent="0.2">
      <c r="A228" s="8" t="s">
        <v>22</v>
      </c>
      <c r="B228" s="8">
        <v>2019</v>
      </c>
      <c r="C228" s="8" t="s">
        <v>25</v>
      </c>
      <c r="D228" s="11">
        <v>1300</v>
      </c>
    </row>
    <row r="229" spans="1:4" x14ac:dyDescent="0.2">
      <c r="A229" s="8" t="s">
        <v>23</v>
      </c>
      <c r="B229" s="8">
        <v>2019</v>
      </c>
      <c r="C229" s="8" t="s">
        <v>25</v>
      </c>
      <c r="D229" s="11">
        <v>48600</v>
      </c>
    </row>
    <row r="230" spans="1:4" x14ac:dyDescent="0.2">
      <c r="A230" s="8" t="s">
        <v>5</v>
      </c>
      <c r="B230" s="8">
        <v>1999</v>
      </c>
      <c r="C230" s="8" t="s">
        <v>26</v>
      </c>
      <c r="D230" s="11">
        <v>234300</v>
      </c>
    </row>
    <row r="231" spans="1:4" x14ac:dyDescent="0.2">
      <c r="A231" s="8" t="s">
        <v>6</v>
      </c>
      <c r="B231" s="8">
        <v>1999</v>
      </c>
      <c r="C231" s="8" t="s">
        <v>26</v>
      </c>
      <c r="D231" s="11">
        <v>91500</v>
      </c>
    </row>
    <row r="232" spans="1:4" x14ac:dyDescent="0.2">
      <c r="A232" s="8" t="s">
        <v>7</v>
      </c>
      <c r="B232" s="8">
        <v>1999</v>
      </c>
      <c r="C232" s="8" t="s">
        <v>26</v>
      </c>
      <c r="D232" s="11">
        <v>49100</v>
      </c>
    </row>
    <row r="233" spans="1:4" x14ac:dyDescent="0.2">
      <c r="A233" s="8" t="s">
        <v>8</v>
      </c>
      <c r="B233" s="8">
        <v>1999</v>
      </c>
      <c r="C233" s="8" t="s">
        <v>26</v>
      </c>
      <c r="D233" s="11">
        <v>204600</v>
      </c>
    </row>
    <row r="234" spans="1:4" x14ac:dyDescent="0.2">
      <c r="A234" s="8" t="s">
        <v>9</v>
      </c>
      <c r="B234" s="8">
        <v>1999</v>
      </c>
      <c r="C234" s="8" t="s">
        <v>26</v>
      </c>
      <c r="D234" s="11">
        <v>48400</v>
      </c>
    </row>
    <row r="235" spans="1:4" x14ac:dyDescent="0.2">
      <c r="A235" s="8" t="s">
        <v>10</v>
      </c>
      <c r="B235" s="8">
        <v>1999</v>
      </c>
      <c r="C235" s="8" t="s">
        <v>26</v>
      </c>
      <c r="D235" s="11">
        <v>21900</v>
      </c>
    </row>
    <row r="236" spans="1:4" x14ac:dyDescent="0.2">
      <c r="A236" s="8" t="s">
        <v>11</v>
      </c>
      <c r="B236" s="8">
        <v>1999</v>
      </c>
      <c r="C236" s="8" t="s">
        <v>26</v>
      </c>
      <c r="D236" s="11">
        <v>116100</v>
      </c>
    </row>
    <row r="237" spans="1:4" x14ac:dyDescent="0.2">
      <c r="A237" s="8" t="s">
        <v>12</v>
      </c>
      <c r="B237" s="8">
        <v>1999</v>
      </c>
      <c r="C237" s="8" t="s">
        <v>26</v>
      </c>
      <c r="D237" s="11">
        <v>563000</v>
      </c>
    </row>
    <row r="238" spans="1:4" x14ac:dyDescent="0.2">
      <c r="A238" s="8" t="s">
        <v>13</v>
      </c>
      <c r="B238" s="8">
        <v>1999</v>
      </c>
      <c r="C238" s="8" t="s">
        <v>26</v>
      </c>
      <c r="D238" s="11">
        <v>221500</v>
      </c>
    </row>
    <row r="239" spans="1:4" x14ac:dyDescent="0.2">
      <c r="A239" s="8" t="s">
        <v>14</v>
      </c>
      <c r="B239" s="8">
        <v>1999</v>
      </c>
      <c r="C239" s="8" t="s">
        <v>26</v>
      </c>
      <c r="D239" s="11">
        <v>150100</v>
      </c>
    </row>
    <row r="240" spans="1:4" x14ac:dyDescent="0.2">
      <c r="A240" s="8" t="s">
        <v>15</v>
      </c>
      <c r="B240" s="8">
        <v>1999</v>
      </c>
      <c r="C240" s="8" t="s">
        <v>26</v>
      </c>
      <c r="D240" s="11">
        <v>87700</v>
      </c>
    </row>
    <row r="241" spans="1:4" x14ac:dyDescent="0.2">
      <c r="A241" s="8" t="s">
        <v>16</v>
      </c>
      <c r="B241" s="8">
        <v>1999</v>
      </c>
      <c r="C241" s="8" t="s">
        <v>26</v>
      </c>
      <c r="D241" s="11">
        <v>704400</v>
      </c>
    </row>
    <row r="242" spans="1:4" x14ac:dyDescent="0.2">
      <c r="A242" s="8" t="s">
        <v>17</v>
      </c>
      <c r="B242" s="8">
        <v>1999</v>
      </c>
      <c r="C242" s="8" t="s">
        <v>26</v>
      </c>
      <c r="D242" s="11">
        <v>449900</v>
      </c>
    </row>
    <row r="243" spans="1:4" x14ac:dyDescent="0.2">
      <c r="A243" s="8" t="s">
        <v>18</v>
      </c>
      <c r="B243" s="8">
        <v>1999</v>
      </c>
      <c r="C243" s="8" t="s">
        <v>26</v>
      </c>
      <c r="D243" s="11">
        <v>157900</v>
      </c>
    </row>
    <row r="244" spans="1:4" x14ac:dyDescent="0.2">
      <c r="A244" s="8" t="s">
        <v>19</v>
      </c>
      <c r="B244" s="8">
        <v>1999</v>
      </c>
      <c r="C244" s="8" t="s">
        <v>26</v>
      </c>
      <c r="D244" s="11">
        <v>635600</v>
      </c>
    </row>
    <row r="245" spans="1:4" x14ac:dyDescent="0.2">
      <c r="A245" s="8" t="s">
        <v>20</v>
      </c>
      <c r="B245" s="8">
        <v>1999</v>
      </c>
      <c r="C245" s="8" t="s">
        <v>26</v>
      </c>
      <c r="D245" s="11">
        <v>124400</v>
      </c>
    </row>
    <row r="246" spans="1:4" x14ac:dyDescent="0.2">
      <c r="A246" s="8" t="s">
        <v>21</v>
      </c>
      <c r="B246" s="8">
        <v>1999</v>
      </c>
      <c r="C246" s="8" t="s">
        <v>26</v>
      </c>
      <c r="D246" s="11">
        <v>7100</v>
      </c>
    </row>
    <row r="247" spans="1:4" x14ac:dyDescent="0.2">
      <c r="A247" s="8" t="s">
        <v>22</v>
      </c>
      <c r="B247" s="8">
        <v>1999</v>
      </c>
      <c r="C247" s="8" t="s">
        <v>26</v>
      </c>
      <c r="D247" s="11">
        <v>5300</v>
      </c>
    </row>
    <row r="248" spans="1:4" x14ac:dyDescent="0.2">
      <c r="A248" s="8" t="s">
        <v>23</v>
      </c>
      <c r="B248" s="8">
        <v>1999</v>
      </c>
      <c r="C248" s="8" t="s">
        <v>26</v>
      </c>
      <c r="D248" s="11">
        <v>255100</v>
      </c>
    </row>
    <row r="249" spans="1:4" x14ac:dyDescent="0.2">
      <c r="A249" s="8" t="s">
        <v>5</v>
      </c>
      <c r="B249" s="8">
        <v>2011</v>
      </c>
      <c r="C249" s="8" t="s">
        <v>26</v>
      </c>
      <c r="D249" s="11">
        <v>312599.99999999994</v>
      </c>
    </row>
    <row r="250" spans="1:4" x14ac:dyDescent="0.2">
      <c r="A250" s="8" t="s">
        <v>6</v>
      </c>
      <c r="B250" s="8">
        <v>2011</v>
      </c>
      <c r="C250" s="8" t="s">
        <v>26</v>
      </c>
      <c r="D250" s="11">
        <v>126600</v>
      </c>
    </row>
    <row r="251" spans="1:4" x14ac:dyDescent="0.2">
      <c r="A251" s="8" t="s">
        <v>7</v>
      </c>
      <c r="B251" s="8">
        <v>2011</v>
      </c>
      <c r="C251" s="8" t="s">
        <v>26</v>
      </c>
      <c r="D251" s="11">
        <v>77300</v>
      </c>
    </row>
    <row r="252" spans="1:4" x14ac:dyDescent="0.2">
      <c r="A252" s="8" t="s">
        <v>8</v>
      </c>
      <c r="B252" s="8">
        <v>2011</v>
      </c>
      <c r="C252" s="8" t="s">
        <v>26</v>
      </c>
      <c r="D252" s="11">
        <v>257899.99999999997</v>
      </c>
    </row>
    <row r="253" spans="1:4" x14ac:dyDescent="0.2">
      <c r="A253" s="8" t="s">
        <v>9</v>
      </c>
      <c r="B253" s="8">
        <v>2011</v>
      </c>
      <c r="C253" s="8" t="s">
        <v>26</v>
      </c>
      <c r="D253" s="11">
        <v>66900</v>
      </c>
    </row>
    <row r="254" spans="1:4" x14ac:dyDescent="0.2">
      <c r="A254" s="8" t="s">
        <v>10</v>
      </c>
      <c r="B254" s="8">
        <v>2011</v>
      </c>
      <c r="C254" s="8" t="s">
        <v>26</v>
      </c>
      <c r="D254" s="11">
        <v>32000</v>
      </c>
    </row>
    <row r="255" spans="1:4" x14ac:dyDescent="0.2">
      <c r="A255" s="8" t="s">
        <v>11</v>
      </c>
      <c r="B255" s="8">
        <v>2011</v>
      </c>
      <c r="C255" s="8" t="s">
        <v>26</v>
      </c>
      <c r="D255" s="11">
        <v>139200</v>
      </c>
    </row>
    <row r="256" spans="1:4" x14ac:dyDescent="0.2">
      <c r="A256" s="8" t="s">
        <v>12</v>
      </c>
      <c r="B256" s="8">
        <v>2011</v>
      </c>
      <c r="C256" s="8" t="s">
        <v>26</v>
      </c>
      <c r="D256" s="11">
        <v>927200</v>
      </c>
    </row>
    <row r="257" spans="1:4" x14ac:dyDescent="0.2">
      <c r="A257" s="8" t="s">
        <v>13</v>
      </c>
      <c r="B257" s="8">
        <v>2011</v>
      </c>
      <c r="C257" s="8" t="s">
        <v>26</v>
      </c>
      <c r="D257" s="11">
        <v>282300</v>
      </c>
    </row>
    <row r="258" spans="1:4" x14ac:dyDescent="0.2">
      <c r="A258" s="8" t="s">
        <v>14</v>
      </c>
      <c r="B258" s="8">
        <v>2011</v>
      </c>
      <c r="C258" s="8" t="s">
        <v>26</v>
      </c>
      <c r="D258" s="11">
        <v>213400</v>
      </c>
    </row>
    <row r="259" spans="1:4" x14ac:dyDescent="0.2">
      <c r="A259" s="8" t="s">
        <v>15</v>
      </c>
      <c r="B259" s="8">
        <v>2011</v>
      </c>
      <c r="C259" s="8" t="s">
        <v>26</v>
      </c>
      <c r="D259" s="11">
        <v>94899.999999999985</v>
      </c>
    </row>
    <row r="260" spans="1:4" x14ac:dyDescent="0.2">
      <c r="A260" s="8" t="s">
        <v>16</v>
      </c>
      <c r="B260" s="8">
        <v>2011</v>
      </c>
      <c r="C260" s="8" t="s">
        <v>26</v>
      </c>
      <c r="D260" s="11">
        <v>999500</v>
      </c>
    </row>
    <row r="261" spans="1:4" x14ac:dyDescent="0.2">
      <c r="A261" s="8" t="s">
        <v>17</v>
      </c>
      <c r="B261" s="8">
        <v>2011</v>
      </c>
      <c r="C261" s="8" t="s">
        <v>26</v>
      </c>
      <c r="D261" s="11">
        <v>618099.99999999988</v>
      </c>
    </row>
    <row r="262" spans="1:4" x14ac:dyDescent="0.2">
      <c r="A262" s="8" t="s">
        <v>18</v>
      </c>
      <c r="B262" s="8">
        <v>2011</v>
      </c>
      <c r="C262" s="8" t="s">
        <v>26</v>
      </c>
      <c r="D262" s="11">
        <v>192800</v>
      </c>
    </row>
    <row r="263" spans="1:4" x14ac:dyDescent="0.2">
      <c r="A263" s="8" t="s">
        <v>19</v>
      </c>
      <c r="B263" s="8">
        <v>2011</v>
      </c>
      <c r="C263" s="8" t="s">
        <v>26</v>
      </c>
      <c r="D263" s="11">
        <v>894900</v>
      </c>
    </row>
    <row r="264" spans="1:4" x14ac:dyDescent="0.2">
      <c r="A264" s="8" t="s">
        <v>20</v>
      </c>
      <c r="B264" s="8">
        <v>2011</v>
      </c>
      <c r="C264" s="8" t="s">
        <v>26</v>
      </c>
      <c r="D264" s="11">
        <v>158200.00000000003</v>
      </c>
    </row>
    <row r="265" spans="1:4" x14ac:dyDescent="0.2">
      <c r="A265" s="8" t="s">
        <v>21</v>
      </c>
      <c r="B265" s="8">
        <v>2011</v>
      </c>
      <c r="C265" s="8" t="s">
        <v>26</v>
      </c>
      <c r="D265" s="11">
        <v>6200</v>
      </c>
    </row>
    <row r="266" spans="1:4" x14ac:dyDescent="0.2">
      <c r="A266" s="8" t="s">
        <v>22</v>
      </c>
      <c r="B266" s="8">
        <v>2011</v>
      </c>
      <c r="C266" s="8" t="s">
        <v>26</v>
      </c>
      <c r="D266" s="11">
        <v>7500</v>
      </c>
    </row>
    <row r="267" spans="1:4" x14ac:dyDescent="0.2">
      <c r="A267" s="8" t="s">
        <v>23</v>
      </c>
      <c r="B267" s="8">
        <v>2011</v>
      </c>
      <c r="C267" s="8" t="s">
        <v>26</v>
      </c>
      <c r="D267" s="11">
        <v>342100</v>
      </c>
    </row>
    <row r="268" spans="1:4" x14ac:dyDescent="0.2">
      <c r="A268" s="8" t="s">
        <v>5</v>
      </c>
      <c r="B268" s="8">
        <v>2012</v>
      </c>
      <c r="C268" s="8" t="s">
        <v>26</v>
      </c>
      <c r="D268" s="11">
        <v>306900</v>
      </c>
    </row>
    <row r="269" spans="1:4" x14ac:dyDescent="0.2">
      <c r="A269" s="8" t="s">
        <v>6</v>
      </c>
      <c r="B269" s="8">
        <v>2012</v>
      </c>
      <c r="C269" s="8" t="s">
        <v>26</v>
      </c>
      <c r="D269" s="11">
        <v>115100.00000000001</v>
      </c>
    </row>
    <row r="270" spans="1:4" x14ac:dyDescent="0.2">
      <c r="A270" s="8" t="s">
        <v>7</v>
      </c>
      <c r="B270" s="8">
        <v>2012</v>
      </c>
      <c r="C270" s="8" t="s">
        <v>26</v>
      </c>
      <c r="D270" s="11">
        <v>71400</v>
      </c>
    </row>
    <row r="271" spans="1:4" x14ac:dyDescent="0.2">
      <c r="A271" s="8" t="s">
        <v>8</v>
      </c>
      <c r="B271" s="8">
        <v>2012</v>
      </c>
      <c r="C271" s="8" t="s">
        <v>26</v>
      </c>
      <c r="D271" s="11">
        <v>242100</v>
      </c>
    </row>
    <row r="272" spans="1:4" x14ac:dyDescent="0.2">
      <c r="A272" s="8" t="s">
        <v>9</v>
      </c>
      <c r="B272" s="8">
        <v>2012</v>
      </c>
      <c r="C272" s="8" t="s">
        <v>26</v>
      </c>
      <c r="D272" s="11">
        <v>65600</v>
      </c>
    </row>
    <row r="273" spans="1:4" x14ac:dyDescent="0.2">
      <c r="A273" s="8" t="s">
        <v>10</v>
      </c>
      <c r="B273" s="8">
        <v>2012</v>
      </c>
      <c r="C273" s="8" t="s">
        <v>26</v>
      </c>
      <c r="D273" s="11">
        <v>29900.000000000004</v>
      </c>
    </row>
    <row r="274" spans="1:4" x14ac:dyDescent="0.2">
      <c r="A274" s="8" t="s">
        <v>11</v>
      </c>
      <c r="B274" s="8">
        <v>2012</v>
      </c>
      <c r="C274" s="8" t="s">
        <v>26</v>
      </c>
      <c r="D274" s="11">
        <v>150700</v>
      </c>
    </row>
    <row r="275" spans="1:4" x14ac:dyDescent="0.2">
      <c r="A275" s="8" t="s">
        <v>12</v>
      </c>
      <c r="B275" s="8">
        <v>2012</v>
      </c>
      <c r="C275" s="8" t="s">
        <v>26</v>
      </c>
      <c r="D275" s="11">
        <v>899300</v>
      </c>
    </row>
    <row r="276" spans="1:4" x14ac:dyDescent="0.2">
      <c r="A276" s="8" t="s">
        <v>13</v>
      </c>
      <c r="B276" s="8">
        <v>2012</v>
      </c>
      <c r="C276" s="8" t="s">
        <v>26</v>
      </c>
      <c r="D276" s="11">
        <v>269200</v>
      </c>
    </row>
    <row r="277" spans="1:4" x14ac:dyDescent="0.2">
      <c r="A277" s="8" t="s">
        <v>14</v>
      </c>
      <c r="B277" s="8">
        <v>2012</v>
      </c>
      <c r="C277" s="8" t="s">
        <v>26</v>
      </c>
      <c r="D277" s="11">
        <v>206500</v>
      </c>
    </row>
    <row r="278" spans="1:4" x14ac:dyDescent="0.2">
      <c r="A278" s="8" t="s">
        <v>15</v>
      </c>
      <c r="B278" s="8">
        <v>2012</v>
      </c>
      <c r="C278" s="8" t="s">
        <v>26</v>
      </c>
      <c r="D278" s="11">
        <v>85500</v>
      </c>
    </row>
    <row r="279" spans="1:4" x14ac:dyDescent="0.2">
      <c r="A279" s="8" t="s">
        <v>16</v>
      </c>
      <c r="B279" s="8">
        <v>2012</v>
      </c>
      <c r="C279" s="8" t="s">
        <v>26</v>
      </c>
      <c r="D279" s="11">
        <v>938900.00000000012</v>
      </c>
    </row>
    <row r="280" spans="1:4" x14ac:dyDescent="0.2">
      <c r="A280" s="8" t="s">
        <v>17</v>
      </c>
      <c r="B280" s="8">
        <v>2012</v>
      </c>
      <c r="C280" s="8" t="s">
        <v>26</v>
      </c>
      <c r="D280" s="11">
        <v>589800</v>
      </c>
    </row>
    <row r="281" spans="1:4" x14ac:dyDescent="0.2">
      <c r="A281" s="8" t="s">
        <v>18</v>
      </c>
      <c r="B281" s="8">
        <v>2012</v>
      </c>
      <c r="C281" s="8" t="s">
        <v>26</v>
      </c>
      <c r="D281" s="11">
        <v>196799.99999999997</v>
      </c>
    </row>
    <row r="282" spans="1:4" x14ac:dyDescent="0.2">
      <c r="A282" s="8" t="s">
        <v>19</v>
      </c>
      <c r="B282" s="8">
        <v>2012</v>
      </c>
      <c r="C282" s="8" t="s">
        <v>26</v>
      </c>
      <c r="D282" s="11">
        <v>876000</v>
      </c>
    </row>
    <row r="283" spans="1:4" x14ac:dyDescent="0.2">
      <c r="A283" s="8" t="s">
        <v>20</v>
      </c>
      <c r="B283" s="8">
        <v>2012</v>
      </c>
      <c r="C283" s="8" t="s">
        <v>26</v>
      </c>
      <c r="D283" s="11">
        <v>153300</v>
      </c>
    </row>
    <row r="284" spans="1:4" x14ac:dyDescent="0.2">
      <c r="A284" s="8" t="s">
        <v>21</v>
      </c>
      <c r="B284" s="8">
        <v>2012</v>
      </c>
      <c r="C284" s="8" t="s">
        <v>26</v>
      </c>
      <c r="D284" s="11">
        <v>7300</v>
      </c>
    </row>
    <row r="285" spans="1:4" x14ac:dyDescent="0.2">
      <c r="A285" s="8" t="s">
        <v>22</v>
      </c>
      <c r="B285" s="8">
        <v>2012</v>
      </c>
      <c r="C285" s="8" t="s">
        <v>26</v>
      </c>
      <c r="D285" s="11">
        <v>5800</v>
      </c>
    </row>
    <row r="286" spans="1:4" x14ac:dyDescent="0.2">
      <c r="A286" s="8" t="s">
        <v>23</v>
      </c>
      <c r="B286" s="8">
        <v>2012</v>
      </c>
      <c r="C286" s="8" t="s">
        <v>26</v>
      </c>
      <c r="D286" s="11">
        <v>329300</v>
      </c>
    </row>
    <row r="287" spans="1:4" x14ac:dyDescent="0.2">
      <c r="A287" s="8" t="s">
        <v>23</v>
      </c>
      <c r="B287" s="8">
        <v>2012</v>
      </c>
      <c r="C287" s="8" t="s">
        <v>26</v>
      </c>
      <c r="D287" s="11">
        <v>320500</v>
      </c>
    </row>
    <row r="288" spans="1:4" x14ac:dyDescent="0.2">
      <c r="A288" s="8" t="s">
        <v>5</v>
      </c>
      <c r="B288" s="8">
        <v>2019</v>
      </c>
      <c r="C288" s="8" t="s">
        <v>26</v>
      </c>
      <c r="D288" s="11">
        <v>324200</v>
      </c>
    </row>
    <row r="289" spans="1:4" x14ac:dyDescent="0.2">
      <c r="A289" s="8" t="s">
        <v>6</v>
      </c>
      <c r="B289" s="8">
        <v>2019</v>
      </c>
      <c r="C289" s="8" t="s">
        <v>26</v>
      </c>
      <c r="D289" s="11">
        <v>120500</v>
      </c>
    </row>
    <row r="290" spans="1:4" x14ac:dyDescent="0.2">
      <c r="A290" s="8" t="s">
        <v>7</v>
      </c>
      <c r="B290" s="8">
        <v>2019</v>
      </c>
      <c r="C290" s="8" t="s">
        <v>26</v>
      </c>
      <c r="D290" s="11">
        <v>73800.000000000015</v>
      </c>
    </row>
    <row r="291" spans="1:4" x14ac:dyDescent="0.2">
      <c r="A291" s="8" t="s">
        <v>8</v>
      </c>
      <c r="B291" s="8">
        <v>2019</v>
      </c>
      <c r="C291" s="8" t="s">
        <v>26</v>
      </c>
      <c r="D291" s="11">
        <v>257800</v>
      </c>
    </row>
    <row r="292" spans="1:4" x14ac:dyDescent="0.2">
      <c r="A292" s="8" t="s">
        <v>9</v>
      </c>
      <c r="B292" s="8">
        <v>2019</v>
      </c>
      <c r="C292" s="8" t="s">
        <v>26</v>
      </c>
      <c r="D292" s="11">
        <v>70100</v>
      </c>
    </row>
    <row r="293" spans="1:4" x14ac:dyDescent="0.2">
      <c r="A293" s="8" t="s">
        <v>10</v>
      </c>
      <c r="B293" s="8">
        <v>2019</v>
      </c>
      <c r="C293" s="8" t="s">
        <v>26</v>
      </c>
      <c r="D293" s="11">
        <v>36199.999999999993</v>
      </c>
    </row>
    <row r="294" spans="1:4" x14ac:dyDescent="0.2">
      <c r="A294" s="8" t="s">
        <v>11</v>
      </c>
      <c r="B294" s="8">
        <v>2019</v>
      </c>
      <c r="C294" s="8" t="s">
        <v>26</v>
      </c>
      <c r="D294" s="11">
        <v>161600</v>
      </c>
    </row>
    <row r="295" spans="1:4" x14ac:dyDescent="0.2">
      <c r="A295" s="8" t="s">
        <v>12</v>
      </c>
      <c r="B295" s="8">
        <v>2019</v>
      </c>
      <c r="C295" s="8" t="s">
        <v>26</v>
      </c>
      <c r="D295" s="11">
        <v>1023900</v>
      </c>
    </row>
    <row r="296" spans="1:4" x14ac:dyDescent="0.2">
      <c r="A296" s="8" t="s">
        <v>13</v>
      </c>
      <c r="B296" s="8">
        <v>2019</v>
      </c>
      <c r="C296" s="8" t="s">
        <v>26</v>
      </c>
      <c r="D296" s="11">
        <v>264900</v>
      </c>
    </row>
    <row r="297" spans="1:4" x14ac:dyDescent="0.2">
      <c r="A297" s="8" t="s">
        <v>14</v>
      </c>
      <c r="B297" s="8">
        <v>2019</v>
      </c>
      <c r="C297" s="8" t="s">
        <v>26</v>
      </c>
      <c r="D297" s="11">
        <v>232300</v>
      </c>
    </row>
    <row r="298" spans="1:4" x14ac:dyDescent="0.2">
      <c r="A298" s="8" t="s">
        <v>15</v>
      </c>
      <c r="B298" s="8">
        <v>2019</v>
      </c>
      <c r="C298" s="8" t="s">
        <v>26</v>
      </c>
      <c r="D298" s="11">
        <v>108000</v>
      </c>
    </row>
    <row r="299" spans="1:4" x14ac:dyDescent="0.2">
      <c r="A299" s="8" t="s">
        <v>16</v>
      </c>
      <c r="B299" s="8">
        <v>2019</v>
      </c>
      <c r="C299" s="8" t="s">
        <v>26</v>
      </c>
      <c r="D299" s="11">
        <v>1080500</v>
      </c>
    </row>
    <row r="300" spans="1:4" x14ac:dyDescent="0.2">
      <c r="A300" s="8" t="s">
        <v>17</v>
      </c>
      <c r="B300" s="8">
        <v>2019</v>
      </c>
      <c r="C300" s="8" t="s">
        <v>26</v>
      </c>
      <c r="D300" s="11">
        <v>727200</v>
      </c>
    </row>
    <row r="301" spans="1:4" x14ac:dyDescent="0.2">
      <c r="A301" s="8" t="s">
        <v>18</v>
      </c>
      <c r="B301" s="8">
        <v>2019</v>
      </c>
      <c r="C301" s="8" t="s">
        <v>26</v>
      </c>
      <c r="D301" s="11">
        <v>227900</v>
      </c>
    </row>
    <row r="302" spans="1:4" x14ac:dyDescent="0.2">
      <c r="A302" s="8" t="s">
        <v>19</v>
      </c>
      <c r="B302" s="8">
        <v>2019</v>
      </c>
      <c r="C302" s="8" t="s">
        <v>26</v>
      </c>
      <c r="D302" s="11">
        <v>1034800</v>
      </c>
    </row>
    <row r="303" spans="1:4" x14ac:dyDescent="0.2">
      <c r="A303" s="8" t="s">
        <v>20</v>
      </c>
      <c r="B303" s="8">
        <v>2019</v>
      </c>
      <c r="C303" s="8" t="s">
        <v>26</v>
      </c>
      <c r="D303" s="11">
        <v>182400</v>
      </c>
    </row>
    <row r="304" spans="1:4" x14ac:dyDescent="0.2">
      <c r="A304" s="8" t="s">
        <v>21</v>
      </c>
      <c r="B304" s="8">
        <v>2019</v>
      </c>
      <c r="C304" s="8" t="s">
        <v>26</v>
      </c>
      <c r="D304" s="11">
        <v>7300</v>
      </c>
    </row>
    <row r="305" spans="1:4" x14ac:dyDescent="0.2">
      <c r="A305" s="8" t="s">
        <v>22</v>
      </c>
      <c r="B305" s="8">
        <v>2019</v>
      </c>
      <c r="C305" s="8" t="s">
        <v>26</v>
      </c>
      <c r="D305" s="11">
        <v>7400</v>
      </c>
    </row>
    <row r="306" spans="1:4" x14ac:dyDescent="0.2">
      <c r="A306" s="8" t="s">
        <v>23</v>
      </c>
      <c r="B306" s="8">
        <v>2019</v>
      </c>
      <c r="C306" s="8" t="s">
        <v>26</v>
      </c>
      <c r="D306" s="11">
        <v>416400.00000000006</v>
      </c>
    </row>
    <row r="307" spans="1:4" x14ac:dyDescent="0.2">
      <c r="A307" s="8" t="s">
        <v>5</v>
      </c>
      <c r="B307" s="8">
        <v>1999</v>
      </c>
      <c r="C307" s="8" t="s">
        <v>27</v>
      </c>
      <c r="D307" s="11">
        <v>60600</v>
      </c>
    </row>
    <row r="308" spans="1:4" x14ac:dyDescent="0.2">
      <c r="A308" s="8" t="s">
        <v>6</v>
      </c>
      <c r="B308" s="8">
        <v>1999</v>
      </c>
      <c r="C308" s="8" t="s">
        <v>27</v>
      </c>
      <c r="D308" s="11">
        <v>23600</v>
      </c>
    </row>
    <row r="309" spans="1:4" x14ac:dyDescent="0.2">
      <c r="A309" s="8" t="s">
        <v>7</v>
      </c>
      <c r="B309" s="8">
        <v>1999</v>
      </c>
      <c r="C309" s="8" t="s">
        <v>27</v>
      </c>
      <c r="D309" s="11">
        <v>11200</v>
      </c>
    </row>
    <row r="310" spans="1:4" x14ac:dyDescent="0.2">
      <c r="A310" s="8" t="s">
        <v>8</v>
      </c>
      <c r="B310" s="8">
        <v>1999</v>
      </c>
      <c r="C310" s="8" t="s">
        <v>27</v>
      </c>
      <c r="D310" s="11">
        <v>77900</v>
      </c>
    </row>
    <row r="311" spans="1:4" x14ac:dyDescent="0.2">
      <c r="A311" s="8" t="s">
        <v>9</v>
      </c>
      <c r="B311" s="8">
        <v>1999</v>
      </c>
      <c r="C311" s="8" t="s">
        <v>27</v>
      </c>
      <c r="D311" s="11">
        <v>17700</v>
      </c>
    </row>
    <row r="312" spans="1:4" x14ac:dyDescent="0.2">
      <c r="A312" s="8" t="s">
        <v>10</v>
      </c>
      <c r="B312" s="8">
        <v>1999</v>
      </c>
      <c r="C312" s="8" t="s">
        <v>27</v>
      </c>
      <c r="D312" s="11">
        <v>8100</v>
      </c>
    </row>
    <row r="313" spans="1:4" x14ac:dyDescent="0.2">
      <c r="A313" s="8" t="s">
        <v>11</v>
      </c>
      <c r="B313" s="8">
        <v>1999</v>
      </c>
      <c r="C313" s="8" t="s">
        <v>27</v>
      </c>
      <c r="D313" s="11">
        <v>39700</v>
      </c>
    </row>
    <row r="314" spans="1:4" x14ac:dyDescent="0.2">
      <c r="A314" s="8" t="s">
        <v>12</v>
      </c>
      <c r="B314" s="8">
        <v>1999</v>
      </c>
      <c r="C314" s="8" t="s">
        <v>27</v>
      </c>
      <c r="D314" s="11">
        <v>352600</v>
      </c>
    </row>
    <row r="315" spans="1:4" x14ac:dyDescent="0.2">
      <c r="A315" s="8" t="s">
        <v>13</v>
      </c>
      <c r="B315" s="8">
        <v>1999</v>
      </c>
      <c r="C315" s="8" t="s">
        <v>27</v>
      </c>
      <c r="D315" s="11">
        <v>64300</v>
      </c>
    </row>
    <row r="316" spans="1:4" x14ac:dyDescent="0.2">
      <c r="A316" s="8" t="s">
        <v>14</v>
      </c>
      <c r="B316" s="8">
        <v>1999</v>
      </c>
      <c r="C316" s="8" t="s">
        <v>27</v>
      </c>
      <c r="D316" s="11">
        <v>32100</v>
      </c>
    </row>
    <row r="317" spans="1:4" x14ac:dyDescent="0.2">
      <c r="A317" s="8" t="s">
        <v>15</v>
      </c>
      <c r="B317" s="8">
        <v>1999</v>
      </c>
      <c r="C317" s="8" t="s">
        <v>27</v>
      </c>
      <c r="D317" s="11">
        <v>17200</v>
      </c>
    </row>
    <row r="318" spans="1:4" x14ac:dyDescent="0.2">
      <c r="A318" s="8" t="s">
        <v>16</v>
      </c>
      <c r="B318" s="8">
        <v>1999</v>
      </c>
      <c r="C318" s="8" t="s">
        <v>27</v>
      </c>
      <c r="D318" s="11">
        <v>271700</v>
      </c>
    </row>
    <row r="319" spans="1:4" x14ac:dyDescent="0.2">
      <c r="A319" s="8" t="s">
        <v>17</v>
      </c>
      <c r="B319" s="8">
        <v>1999</v>
      </c>
      <c r="C319" s="8" t="s">
        <v>27</v>
      </c>
      <c r="D319" s="11">
        <v>136700</v>
      </c>
    </row>
    <row r="320" spans="1:4" x14ac:dyDescent="0.2">
      <c r="A320" s="8" t="s">
        <v>18</v>
      </c>
      <c r="B320" s="8">
        <v>1999</v>
      </c>
      <c r="C320" s="8" t="s">
        <v>27</v>
      </c>
      <c r="D320" s="11">
        <v>27000</v>
      </c>
    </row>
    <row r="321" spans="1:4" x14ac:dyDescent="0.2">
      <c r="A321" s="8" t="s">
        <v>19</v>
      </c>
      <c r="B321" s="8">
        <v>1999</v>
      </c>
      <c r="C321" s="8" t="s">
        <v>27</v>
      </c>
      <c r="D321" s="11">
        <v>169900</v>
      </c>
    </row>
    <row r="322" spans="1:4" x14ac:dyDescent="0.2">
      <c r="A322" s="8" t="s">
        <v>20</v>
      </c>
      <c r="B322" s="8">
        <v>1999</v>
      </c>
      <c r="C322" s="8" t="s">
        <v>27</v>
      </c>
      <c r="D322" s="11">
        <v>26300</v>
      </c>
    </row>
    <row r="323" spans="1:4" x14ac:dyDescent="0.2">
      <c r="A323" s="8" t="s">
        <v>21</v>
      </c>
      <c r="B323" s="8">
        <v>1999</v>
      </c>
      <c r="C323" s="8" t="s">
        <v>27</v>
      </c>
      <c r="D323" s="11">
        <v>0</v>
      </c>
    </row>
    <row r="324" spans="1:4" x14ac:dyDescent="0.2">
      <c r="A324" s="8" t="s">
        <v>22</v>
      </c>
      <c r="B324" s="8">
        <v>1999</v>
      </c>
      <c r="C324" s="8" t="s">
        <v>27</v>
      </c>
      <c r="D324" s="11">
        <v>0</v>
      </c>
    </row>
    <row r="325" spans="1:4" x14ac:dyDescent="0.2">
      <c r="A325" s="8" t="s">
        <v>23</v>
      </c>
      <c r="B325" s="8">
        <v>1999</v>
      </c>
      <c r="C325" s="8" t="s">
        <v>27</v>
      </c>
      <c r="D325" s="11">
        <v>48500</v>
      </c>
    </row>
    <row r="326" spans="1:4" x14ac:dyDescent="0.2">
      <c r="A326" s="8" t="s">
        <v>5</v>
      </c>
      <c r="B326" s="8">
        <v>2011</v>
      </c>
      <c r="C326" s="8" t="s">
        <v>27</v>
      </c>
      <c r="D326" s="11">
        <v>109900</v>
      </c>
    </row>
    <row r="327" spans="1:4" x14ac:dyDescent="0.2">
      <c r="A327" s="8" t="s">
        <v>6</v>
      </c>
      <c r="B327" s="8">
        <v>2011</v>
      </c>
      <c r="C327" s="8" t="s">
        <v>27</v>
      </c>
      <c r="D327" s="11">
        <v>43300</v>
      </c>
    </row>
    <row r="328" spans="1:4" x14ac:dyDescent="0.2">
      <c r="A328" s="8" t="s">
        <v>7</v>
      </c>
      <c r="B328" s="8">
        <v>2011</v>
      </c>
      <c r="C328" s="8" t="s">
        <v>27</v>
      </c>
      <c r="D328" s="11">
        <v>27000</v>
      </c>
    </row>
    <row r="329" spans="1:4" x14ac:dyDescent="0.2">
      <c r="A329" s="8" t="s">
        <v>8</v>
      </c>
      <c r="B329" s="8">
        <v>2011</v>
      </c>
      <c r="C329" s="8" t="s">
        <v>27</v>
      </c>
      <c r="D329" s="11">
        <v>124899.99999999999</v>
      </c>
    </row>
    <row r="330" spans="1:4" x14ac:dyDescent="0.2">
      <c r="A330" s="8" t="s">
        <v>9</v>
      </c>
      <c r="B330" s="8">
        <v>2011</v>
      </c>
      <c r="C330" s="8" t="s">
        <v>27</v>
      </c>
      <c r="D330" s="11">
        <v>30900</v>
      </c>
    </row>
    <row r="331" spans="1:4" x14ac:dyDescent="0.2">
      <c r="A331" s="8" t="s">
        <v>10</v>
      </c>
      <c r="B331" s="8">
        <v>2011</v>
      </c>
      <c r="C331" s="8" t="s">
        <v>27</v>
      </c>
      <c r="D331" s="11">
        <v>13100.000000000002</v>
      </c>
    </row>
    <row r="332" spans="1:4" x14ac:dyDescent="0.2">
      <c r="A332" s="8" t="s">
        <v>11</v>
      </c>
      <c r="B332" s="8">
        <v>2011</v>
      </c>
      <c r="C332" s="8" t="s">
        <v>27</v>
      </c>
      <c r="D332" s="11">
        <v>62600</v>
      </c>
    </row>
    <row r="333" spans="1:4" x14ac:dyDescent="0.2">
      <c r="A333" s="8" t="s">
        <v>12</v>
      </c>
      <c r="B333" s="8">
        <v>2011</v>
      </c>
      <c r="C333" s="8" t="s">
        <v>27</v>
      </c>
      <c r="D333" s="11">
        <v>545000</v>
      </c>
    </row>
    <row r="334" spans="1:4" x14ac:dyDescent="0.2">
      <c r="A334" s="8" t="s">
        <v>13</v>
      </c>
      <c r="B334" s="8">
        <v>2011</v>
      </c>
      <c r="C334" s="8" t="s">
        <v>27</v>
      </c>
      <c r="D334" s="11">
        <v>93300</v>
      </c>
    </row>
    <row r="335" spans="1:4" x14ac:dyDescent="0.2">
      <c r="A335" s="8" t="s">
        <v>14</v>
      </c>
      <c r="B335" s="8">
        <v>2011</v>
      </c>
      <c r="C335" s="8" t="s">
        <v>27</v>
      </c>
      <c r="D335" s="11">
        <v>68500</v>
      </c>
    </row>
    <row r="336" spans="1:4" x14ac:dyDescent="0.2">
      <c r="A336" s="8" t="s">
        <v>15</v>
      </c>
      <c r="B336" s="8">
        <v>2011</v>
      </c>
      <c r="C336" s="8" t="s">
        <v>27</v>
      </c>
      <c r="D336" s="11">
        <v>33500</v>
      </c>
    </row>
    <row r="337" spans="1:4" x14ac:dyDescent="0.2">
      <c r="A337" s="8" t="s">
        <v>16</v>
      </c>
      <c r="B337" s="8">
        <v>2011</v>
      </c>
      <c r="C337" s="8" t="s">
        <v>27</v>
      </c>
      <c r="D337" s="11">
        <v>425100</v>
      </c>
    </row>
    <row r="338" spans="1:4" x14ac:dyDescent="0.2">
      <c r="A338" s="8" t="s">
        <v>17</v>
      </c>
      <c r="B338" s="8">
        <v>2011</v>
      </c>
      <c r="C338" s="8" t="s">
        <v>27</v>
      </c>
      <c r="D338" s="11">
        <v>227000</v>
      </c>
    </row>
    <row r="339" spans="1:4" x14ac:dyDescent="0.2">
      <c r="A339" s="8" t="s">
        <v>18</v>
      </c>
      <c r="B339" s="8">
        <v>2011</v>
      </c>
      <c r="C339" s="8" t="s">
        <v>27</v>
      </c>
      <c r="D339" s="11">
        <v>57699.999999999993</v>
      </c>
    </row>
    <row r="340" spans="1:4" x14ac:dyDescent="0.2">
      <c r="A340" s="8" t="s">
        <v>19</v>
      </c>
      <c r="B340" s="8">
        <v>2011</v>
      </c>
      <c r="C340" s="8" t="s">
        <v>27</v>
      </c>
      <c r="D340" s="11">
        <v>303700</v>
      </c>
    </row>
    <row r="341" spans="1:4" x14ac:dyDescent="0.2">
      <c r="A341" s="8" t="s">
        <v>20</v>
      </c>
      <c r="B341" s="8">
        <v>2011</v>
      </c>
      <c r="C341" s="8" t="s">
        <v>27</v>
      </c>
      <c r="D341" s="11">
        <v>57100</v>
      </c>
    </row>
    <row r="342" spans="1:4" x14ac:dyDescent="0.2">
      <c r="A342" s="8" t="s">
        <v>21</v>
      </c>
      <c r="B342" s="8">
        <v>2011</v>
      </c>
      <c r="C342" s="8" t="s">
        <v>27</v>
      </c>
      <c r="D342" s="11">
        <v>2000</v>
      </c>
    </row>
    <row r="343" spans="1:4" x14ac:dyDescent="0.2">
      <c r="A343" s="8" t="s">
        <v>22</v>
      </c>
      <c r="B343" s="8">
        <v>2011</v>
      </c>
      <c r="C343" s="8" t="s">
        <v>27</v>
      </c>
      <c r="D343" s="11">
        <v>2200</v>
      </c>
    </row>
    <row r="344" spans="1:4" x14ac:dyDescent="0.2">
      <c r="A344" s="8" t="s">
        <v>23</v>
      </c>
      <c r="B344" s="8">
        <v>2011</v>
      </c>
      <c r="C344" s="8" t="s">
        <v>27</v>
      </c>
      <c r="D344" s="11">
        <v>79100</v>
      </c>
    </row>
    <row r="345" spans="1:4" x14ac:dyDescent="0.2">
      <c r="A345" s="8" t="s">
        <v>5</v>
      </c>
      <c r="B345" s="8">
        <v>2012</v>
      </c>
      <c r="C345" s="8" t="s">
        <v>27</v>
      </c>
      <c r="D345" s="11">
        <v>104100.00000000001</v>
      </c>
    </row>
    <row r="346" spans="1:4" x14ac:dyDescent="0.2">
      <c r="A346" s="8" t="s">
        <v>6</v>
      </c>
      <c r="B346" s="8">
        <v>2012</v>
      </c>
      <c r="C346" s="8" t="s">
        <v>27</v>
      </c>
      <c r="D346" s="11">
        <v>42600</v>
      </c>
    </row>
    <row r="347" spans="1:4" x14ac:dyDescent="0.2">
      <c r="A347" s="8" t="s">
        <v>7</v>
      </c>
      <c r="B347" s="8">
        <v>2012</v>
      </c>
      <c r="C347" s="8" t="s">
        <v>27</v>
      </c>
      <c r="D347" s="11">
        <v>27500</v>
      </c>
    </row>
    <row r="348" spans="1:4" x14ac:dyDescent="0.2">
      <c r="A348" s="8" t="s">
        <v>8</v>
      </c>
      <c r="B348" s="8">
        <v>2012</v>
      </c>
      <c r="C348" s="8" t="s">
        <v>27</v>
      </c>
      <c r="D348" s="11">
        <v>124700</v>
      </c>
    </row>
    <row r="349" spans="1:4" x14ac:dyDescent="0.2">
      <c r="A349" s="8" t="s">
        <v>9</v>
      </c>
      <c r="B349" s="8">
        <v>2012</v>
      </c>
      <c r="C349" s="8" t="s">
        <v>27</v>
      </c>
      <c r="D349" s="11">
        <v>28099.999999999996</v>
      </c>
    </row>
    <row r="350" spans="1:4" x14ac:dyDescent="0.2">
      <c r="A350" s="8" t="s">
        <v>10</v>
      </c>
      <c r="B350" s="8">
        <v>2012</v>
      </c>
      <c r="C350" s="8" t="s">
        <v>27</v>
      </c>
      <c r="D350" s="11">
        <v>11800</v>
      </c>
    </row>
    <row r="351" spans="1:4" x14ac:dyDescent="0.2">
      <c r="A351" s="8" t="s">
        <v>11</v>
      </c>
      <c r="B351" s="8">
        <v>2012</v>
      </c>
      <c r="C351" s="8" t="s">
        <v>27</v>
      </c>
      <c r="D351" s="11">
        <v>59599.999999999993</v>
      </c>
    </row>
    <row r="352" spans="1:4" x14ac:dyDescent="0.2">
      <c r="A352" s="8" t="s">
        <v>12</v>
      </c>
      <c r="B352" s="8">
        <v>2012</v>
      </c>
      <c r="C352" s="8" t="s">
        <v>27</v>
      </c>
      <c r="D352" s="11">
        <v>557500</v>
      </c>
    </row>
    <row r="353" spans="1:4" x14ac:dyDescent="0.2">
      <c r="A353" s="8" t="s">
        <v>13</v>
      </c>
      <c r="B353" s="8">
        <v>2012</v>
      </c>
      <c r="C353" s="8" t="s">
        <v>27</v>
      </c>
      <c r="D353" s="11">
        <v>88800</v>
      </c>
    </row>
    <row r="354" spans="1:4" x14ac:dyDescent="0.2">
      <c r="A354" s="8" t="s">
        <v>14</v>
      </c>
      <c r="B354" s="8">
        <v>2012</v>
      </c>
      <c r="C354" s="8" t="s">
        <v>27</v>
      </c>
      <c r="D354" s="11">
        <v>66700</v>
      </c>
    </row>
    <row r="355" spans="1:4" x14ac:dyDescent="0.2">
      <c r="A355" s="8" t="s">
        <v>15</v>
      </c>
      <c r="B355" s="8">
        <v>2012</v>
      </c>
      <c r="C355" s="8" t="s">
        <v>27</v>
      </c>
      <c r="D355" s="11">
        <v>24800</v>
      </c>
    </row>
    <row r="356" spans="1:4" x14ac:dyDescent="0.2">
      <c r="A356" s="8" t="s">
        <v>16</v>
      </c>
      <c r="B356" s="8">
        <v>2012</v>
      </c>
      <c r="C356" s="8" t="s">
        <v>27</v>
      </c>
      <c r="D356" s="11">
        <v>410299.99999999994</v>
      </c>
    </row>
    <row r="357" spans="1:4" x14ac:dyDescent="0.2">
      <c r="A357" s="8" t="s">
        <v>17</v>
      </c>
      <c r="B357" s="8">
        <v>2012</v>
      </c>
      <c r="C357" s="8" t="s">
        <v>27</v>
      </c>
      <c r="D357" s="11">
        <v>204900</v>
      </c>
    </row>
    <row r="358" spans="1:4" x14ac:dyDescent="0.2">
      <c r="A358" s="8" t="s">
        <v>18</v>
      </c>
      <c r="B358" s="8">
        <v>2012</v>
      </c>
      <c r="C358" s="8" t="s">
        <v>27</v>
      </c>
      <c r="D358" s="11">
        <v>60900</v>
      </c>
    </row>
    <row r="359" spans="1:4" x14ac:dyDescent="0.2">
      <c r="A359" s="8" t="s">
        <v>19</v>
      </c>
      <c r="B359" s="8">
        <v>2012</v>
      </c>
      <c r="C359" s="8" t="s">
        <v>27</v>
      </c>
      <c r="D359" s="11">
        <v>299500</v>
      </c>
    </row>
    <row r="360" spans="1:4" x14ac:dyDescent="0.2">
      <c r="A360" s="8" t="s">
        <v>20</v>
      </c>
      <c r="B360" s="8">
        <v>2012</v>
      </c>
      <c r="C360" s="8" t="s">
        <v>27</v>
      </c>
      <c r="D360" s="11">
        <v>61200</v>
      </c>
    </row>
    <row r="361" spans="1:4" x14ac:dyDescent="0.2">
      <c r="A361" s="8" t="s">
        <v>21</v>
      </c>
      <c r="B361" s="8">
        <v>2012</v>
      </c>
      <c r="C361" s="8" t="s">
        <v>27</v>
      </c>
      <c r="D361" s="11">
        <v>1900</v>
      </c>
    </row>
    <row r="362" spans="1:4" x14ac:dyDescent="0.2">
      <c r="A362" s="8" t="s">
        <v>22</v>
      </c>
      <c r="B362" s="8">
        <v>2012</v>
      </c>
      <c r="C362" s="8" t="s">
        <v>27</v>
      </c>
      <c r="D362" s="11">
        <v>2900</v>
      </c>
    </row>
    <row r="363" spans="1:4" x14ac:dyDescent="0.2">
      <c r="A363" s="8" t="s">
        <v>23</v>
      </c>
      <c r="B363" s="8">
        <v>2012</v>
      </c>
      <c r="C363" s="8" t="s">
        <v>27</v>
      </c>
      <c r="D363" s="11">
        <v>86100.000000000015</v>
      </c>
    </row>
    <row r="364" spans="1:4" x14ac:dyDescent="0.2">
      <c r="A364" s="8" t="s">
        <v>5</v>
      </c>
      <c r="B364" s="8">
        <v>2019</v>
      </c>
      <c r="C364" s="8" t="s">
        <v>27</v>
      </c>
      <c r="D364" s="11">
        <v>121700</v>
      </c>
    </row>
    <row r="365" spans="1:4" x14ac:dyDescent="0.2">
      <c r="A365" s="8" t="s">
        <v>6</v>
      </c>
      <c r="B365" s="8">
        <v>2019</v>
      </c>
      <c r="C365" s="8" t="s">
        <v>27</v>
      </c>
      <c r="D365" s="11">
        <v>43300.000000000007</v>
      </c>
    </row>
    <row r="366" spans="1:4" x14ac:dyDescent="0.2">
      <c r="A366" s="8" t="s">
        <v>7</v>
      </c>
      <c r="B366" s="8">
        <v>2019</v>
      </c>
      <c r="C366" s="8" t="s">
        <v>27</v>
      </c>
      <c r="D366" s="11">
        <v>25800</v>
      </c>
    </row>
    <row r="367" spans="1:4" x14ac:dyDescent="0.2">
      <c r="A367" s="8" t="s">
        <v>8</v>
      </c>
      <c r="B367" s="8">
        <v>2019</v>
      </c>
      <c r="C367" s="8" t="s">
        <v>27</v>
      </c>
      <c r="D367" s="11">
        <v>119900</v>
      </c>
    </row>
    <row r="368" spans="1:4" x14ac:dyDescent="0.2">
      <c r="A368" s="8" t="s">
        <v>9</v>
      </c>
      <c r="B368" s="8">
        <v>2019</v>
      </c>
      <c r="C368" s="8" t="s">
        <v>27</v>
      </c>
      <c r="D368" s="11">
        <v>28200</v>
      </c>
    </row>
    <row r="369" spans="1:4" x14ac:dyDescent="0.2">
      <c r="A369" s="8" t="s">
        <v>10</v>
      </c>
      <c r="B369" s="8">
        <v>2019</v>
      </c>
      <c r="C369" s="8" t="s">
        <v>27</v>
      </c>
      <c r="D369" s="11">
        <v>12300</v>
      </c>
    </row>
    <row r="370" spans="1:4" x14ac:dyDescent="0.2">
      <c r="A370" s="8" t="s">
        <v>11</v>
      </c>
      <c r="B370" s="8">
        <v>2019</v>
      </c>
      <c r="C370" s="8" t="s">
        <v>27</v>
      </c>
      <c r="D370" s="11">
        <v>55099.999999999993</v>
      </c>
    </row>
    <row r="371" spans="1:4" x14ac:dyDescent="0.2">
      <c r="A371" s="8" t="s">
        <v>12</v>
      </c>
      <c r="B371" s="8">
        <v>2019</v>
      </c>
      <c r="C371" s="8" t="s">
        <v>27</v>
      </c>
      <c r="D371" s="11">
        <v>607700</v>
      </c>
    </row>
    <row r="372" spans="1:4" x14ac:dyDescent="0.2">
      <c r="A372" s="8" t="s">
        <v>13</v>
      </c>
      <c r="B372" s="8">
        <v>2019</v>
      </c>
      <c r="C372" s="8" t="s">
        <v>27</v>
      </c>
      <c r="D372" s="11">
        <v>104400</v>
      </c>
    </row>
    <row r="373" spans="1:4" x14ac:dyDescent="0.2">
      <c r="A373" s="8" t="s">
        <v>14</v>
      </c>
      <c r="B373" s="8">
        <v>2019</v>
      </c>
      <c r="C373" s="8" t="s">
        <v>27</v>
      </c>
      <c r="D373" s="11">
        <v>80100</v>
      </c>
    </row>
    <row r="374" spans="1:4" x14ac:dyDescent="0.2">
      <c r="A374" s="8" t="s">
        <v>15</v>
      </c>
      <c r="B374" s="8">
        <v>2019</v>
      </c>
      <c r="C374" s="8" t="s">
        <v>27</v>
      </c>
      <c r="D374" s="11">
        <v>31700</v>
      </c>
    </row>
    <row r="375" spans="1:4" x14ac:dyDescent="0.2">
      <c r="A375" s="8" t="s">
        <v>16</v>
      </c>
      <c r="B375" s="8">
        <v>2019</v>
      </c>
      <c r="C375" s="8" t="s">
        <v>27</v>
      </c>
      <c r="D375" s="11">
        <v>512000</v>
      </c>
    </row>
    <row r="376" spans="1:4" x14ac:dyDescent="0.2">
      <c r="A376" s="8" t="s">
        <v>17</v>
      </c>
      <c r="B376" s="8">
        <v>2019</v>
      </c>
      <c r="C376" s="8" t="s">
        <v>27</v>
      </c>
      <c r="D376" s="11">
        <v>243800</v>
      </c>
    </row>
    <row r="377" spans="1:4" x14ac:dyDescent="0.2">
      <c r="A377" s="8" t="s">
        <v>18</v>
      </c>
      <c r="B377" s="8">
        <v>2019</v>
      </c>
      <c r="C377" s="8" t="s">
        <v>27</v>
      </c>
      <c r="D377" s="11">
        <v>75400</v>
      </c>
    </row>
    <row r="378" spans="1:4" x14ac:dyDescent="0.2">
      <c r="A378" s="8" t="s">
        <v>19</v>
      </c>
      <c r="B378" s="8">
        <v>2019</v>
      </c>
      <c r="C378" s="8" t="s">
        <v>27</v>
      </c>
      <c r="D378" s="11">
        <v>365400</v>
      </c>
    </row>
    <row r="379" spans="1:4" x14ac:dyDescent="0.2">
      <c r="A379" s="8" t="s">
        <v>20</v>
      </c>
      <c r="B379" s="8">
        <v>2019</v>
      </c>
      <c r="C379" s="8" t="s">
        <v>27</v>
      </c>
      <c r="D379" s="11">
        <v>57600</v>
      </c>
    </row>
    <row r="380" spans="1:4" x14ac:dyDescent="0.2">
      <c r="A380" s="8" t="s">
        <v>21</v>
      </c>
      <c r="B380" s="8">
        <v>2019</v>
      </c>
      <c r="C380" s="8" t="s">
        <v>27</v>
      </c>
      <c r="D380" s="11">
        <v>3300</v>
      </c>
    </row>
    <row r="381" spans="1:4" x14ac:dyDescent="0.2">
      <c r="A381" s="8" t="s">
        <v>22</v>
      </c>
      <c r="B381" s="8">
        <v>2019</v>
      </c>
      <c r="C381" s="8" t="s">
        <v>27</v>
      </c>
      <c r="D381" s="11">
        <v>3600</v>
      </c>
    </row>
    <row r="382" spans="1:4" x14ac:dyDescent="0.2">
      <c r="A382" s="8" t="s">
        <v>23</v>
      </c>
      <c r="B382" s="8">
        <v>2019</v>
      </c>
      <c r="C382" s="8" t="s">
        <v>27</v>
      </c>
      <c r="D382" s="11">
        <v>104300.00000000001</v>
      </c>
    </row>
    <row r="383" spans="1:4" x14ac:dyDescent="0.2">
      <c r="A383" s="8" t="s">
        <v>5</v>
      </c>
      <c r="B383" s="8">
        <v>1999</v>
      </c>
      <c r="C383" s="8" t="s">
        <v>28</v>
      </c>
      <c r="D383" s="11">
        <v>205600</v>
      </c>
    </row>
    <row r="384" spans="1:4" x14ac:dyDescent="0.2">
      <c r="A384" s="8" t="s">
        <v>6</v>
      </c>
      <c r="B384" s="8">
        <v>1999</v>
      </c>
      <c r="C384" s="8" t="s">
        <v>28</v>
      </c>
      <c r="D384" s="11">
        <v>84400</v>
      </c>
    </row>
    <row r="385" spans="1:4" x14ac:dyDescent="0.2">
      <c r="A385" s="8" t="s">
        <v>7</v>
      </c>
      <c r="B385" s="8">
        <v>1999</v>
      </c>
      <c r="C385" s="8" t="s">
        <v>28</v>
      </c>
      <c r="D385" s="11">
        <v>39400</v>
      </c>
    </row>
    <row r="386" spans="1:4" x14ac:dyDescent="0.2">
      <c r="A386" s="8" t="s">
        <v>8</v>
      </c>
      <c r="B386" s="8">
        <v>1999</v>
      </c>
      <c r="C386" s="8" t="s">
        <v>28</v>
      </c>
      <c r="D386" s="11">
        <v>193500</v>
      </c>
    </row>
    <row r="387" spans="1:4" x14ac:dyDescent="0.2">
      <c r="A387" s="8" t="s">
        <v>9</v>
      </c>
      <c r="B387" s="8">
        <v>1999</v>
      </c>
      <c r="C387" s="8" t="s">
        <v>28</v>
      </c>
      <c r="D387" s="11">
        <v>52200</v>
      </c>
    </row>
    <row r="388" spans="1:4" x14ac:dyDescent="0.2">
      <c r="A388" s="8" t="s">
        <v>10</v>
      </c>
      <c r="B388" s="8">
        <v>1999</v>
      </c>
      <c r="C388" s="8" t="s">
        <v>28</v>
      </c>
      <c r="D388" s="11">
        <v>17700</v>
      </c>
    </row>
    <row r="389" spans="1:4" x14ac:dyDescent="0.2">
      <c r="A389" s="8" t="s">
        <v>11</v>
      </c>
      <c r="B389" s="8">
        <v>1999</v>
      </c>
      <c r="C389" s="8" t="s">
        <v>28</v>
      </c>
      <c r="D389" s="11">
        <v>107600</v>
      </c>
    </row>
    <row r="390" spans="1:4" x14ac:dyDescent="0.2">
      <c r="A390" s="8" t="s">
        <v>12</v>
      </c>
      <c r="B390" s="8">
        <v>1999</v>
      </c>
      <c r="C390" s="8" t="s">
        <v>28</v>
      </c>
      <c r="D390" s="11">
        <v>591300</v>
      </c>
    </row>
    <row r="391" spans="1:4" x14ac:dyDescent="0.2">
      <c r="A391" s="8" t="s">
        <v>13</v>
      </c>
      <c r="B391" s="8">
        <v>1999</v>
      </c>
      <c r="C391" s="8" t="s">
        <v>28</v>
      </c>
      <c r="D391" s="11">
        <v>221200</v>
      </c>
    </row>
    <row r="392" spans="1:4" x14ac:dyDescent="0.2">
      <c r="A392" s="8" t="s">
        <v>14</v>
      </c>
      <c r="B392" s="8">
        <v>1999</v>
      </c>
      <c r="C392" s="8" t="s">
        <v>28</v>
      </c>
      <c r="D392" s="11">
        <v>130800.00000000001</v>
      </c>
    </row>
    <row r="393" spans="1:4" x14ac:dyDescent="0.2">
      <c r="A393" s="8" t="s">
        <v>15</v>
      </c>
      <c r="B393" s="8">
        <v>1999</v>
      </c>
      <c r="C393" s="8" t="s">
        <v>28</v>
      </c>
      <c r="D393" s="11">
        <v>79800</v>
      </c>
    </row>
    <row r="394" spans="1:4" x14ac:dyDescent="0.2">
      <c r="A394" s="8" t="s">
        <v>16</v>
      </c>
      <c r="B394" s="8">
        <v>1999</v>
      </c>
      <c r="C394" s="8" t="s">
        <v>28</v>
      </c>
      <c r="D394" s="11">
        <v>573100</v>
      </c>
    </row>
    <row r="395" spans="1:4" x14ac:dyDescent="0.2">
      <c r="A395" s="8" t="s">
        <v>17</v>
      </c>
      <c r="B395" s="8">
        <v>1999</v>
      </c>
      <c r="C395" s="8" t="s">
        <v>28</v>
      </c>
      <c r="D395" s="11">
        <v>313800</v>
      </c>
    </row>
    <row r="396" spans="1:4" x14ac:dyDescent="0.2">
      <c r="A396" s="8" t="s">
        <v>18</v>
      </c>
      <c r="B396" s="8">
        <v>1999</v>
      </c>
      <c r="C396" s="8" t="s">
        <v>28</v>
      </c>
      <c r="D396" s="11">
        <v>69200</v>
      </c>
    </row>
    <row r="397" spans="1:4" x14ac:dyDescent="0.2">
      <c r="A397" s="8" t="s">
        <v>19</v>
      </c>
      <c r="B397" s="8">
        <v>1999</v>
      </c>
      <c r="C397" s="8" t="s">
        <v>28</v>
      </c>
      <c r="D397" s="11">
        <v>556700</v>
      </c>
    </row>
    <row r="398" spans="1:4" x14ac:dyDescent="0.2">
      <c r="A398" s="8" t="s">
        <v>20</v>
      </c>
      <c r="B398" s="8">
        <v>1999</v>
      </c>
      <c r="C398" s="8" t="s">
        <v>28</v>
      </c>
      <c r="D398" s="11">
        <v>82100</v>
      </c>
    </row>
    <row r="399" spans="1:4" x14ac:dyDescent="0.2">
      <c r="A399" s="8" t="s">
        <v>21</v>
      </c>
      <c r="B399" s="8">
        <v>1999</v>
      </c>
      <c r="C399" s="8" t="s">
        <v>28</v>
      </c>
      <c r="D399" s="11">
        <v>10600</v>
      </c>
    </row>
    <row r="400" spans="1:4" x14ac:dyDescent="0.2">
      <c r="A400" s="8" t="s">
        <v>22</v>
      </c>
      <c r="B400" s="8">
        <v>1999</v>
      </c>
      <c r="C400" s="8" t="s">
        <v>28</v>
      </c>
      <c r="D400" s="11">
        <v>10500</v>
      </c>
    </row>
    <row r="401" spans="1:4" x14ac:dyDescent="0.2">
      <c r="A401" s="8" t="s">
        <v>23</v>
      </c>
      <c r="B401" s="8">
        <v>1999</v>
      </c>
      <c r="C401" s="8" t="s">
        <v>28</v>
      </c>
      <c r="D401" s="11">
        <v>156500</v>
      </c>
    </row>
    <row r="402" spans="1:4" x14ac:dyDescent="0.2">
      <c r="A402" s="8" t="s">
        <v>5</v>
      </c>
      <c r="B402" s="8">
        <v>2011</v>
      </c>
      <c r="C402" s="8" t="s">
        <v>28</v>
      </c>
      <c r="D402" s="11">
        <v>307900</v>
      </c>
    </row>
    <row r="403" spans="1:4" x14ac:dyDescent="0.2">
      <c r="A403" s="8" t="s">
        <v>6</v>
      </c>
      <c r="B403" s="8">
        <v>2011</v>
      </c>
      <c r="C403" s="8" t="s">
        <v>28</v>
      </c>
      <c r="D403" s="11">
        <v>120199.99999999999</v>
      </c>
    </row>
    <row r="404" spans="1:4" x14ac:dyDescent="0.2">
      <c r="A404" s="8" t="s">
        <v>7</v>
      </c>
      <c r="B404" s="8">
        <v>2011</v>
      </c>
      <c r="C404" s="8" t="s">
        <v>28</v>
      </c>
      <c r="D404" s="11">
        <v>67100</v>
      </c>
    </row>
    <row r="405" spans="1:4" x14ac:dyDescent="0.2">
      <c r="A405" s="8" t="s">
        <v>8</v>
      </c>
      <c r="B405" s="8">
        <v>2011</v>
      </c>
      <c r="C405" s="8" t="s">
        <v>28</v>
      </c>
      <c r="D405" s="11">
        <v>281700</v>
      </c>
    </row>
    <row r="406" spans="1:4" x14ac:dyDescent="0.2">
      <c r="A406" s="8" t="s">
        <v>9</v>
      </c>
      <c r="B406" s="8">
        <v>2011</v>
      </c>
      <c r="C406" s="8" t="s">
        <v>28</v>
      </c>
      <c r="D406" s="11">
        <v>78400</v>
      </c>
    </row>
    <row r="407" spans="1:4" x14ac:dyDescent="0.2">
      <c r="A407" s="8" t="s">
        <v>10</v>
      </c>
      <c r="B407" s="8">
        <v>2011</v>
      </c>
      <c r="C407" s="8" t="s">
        <v>28</v>
      </c>
      <c r="D407" s="11">
        <v>35300</v>
      </c>
    </row>
    <row r="408" spans="1:4" x14ac:dyDescent="0.2">
      <c r="A408" s="8" t="s">
        <v>11</v>
      </c>
      <c r="B408" s="8">
        <v>2011</v>
      </c>
      <c r="C408" s="8" t="s">
        <v>28</v>
      </c>
      <c r="D408" s="11">
        <v>164500</v>
      </c>
    </row>
    <row r="409" spans="1:4" x14ac:dyDescent="0.2">
      <c r="A409" s="8" t="s">
        <v>12</v>
      </c>
      <c r="B409" s="8">
        <v>2011</v>
      </c>
      <c r="C409" s="8" t="s">
        <v>28</v>
      </c>
      <c r="D409" s="11">
        <v>941000</v>
      </c>
    </row>
    <row r="410" spans="1:4" x14ac:dyDescent="0.2">
      <c r="A410" s="8" t="s">
        <v>13</v>
      </c>
      <c r="B410" s="8">
        <v>2011</v>
      </c>
      <c r="C410" s="8" t="s">
        <v>28</v>
      </c>
      <c r="D410" s="11">
        <v>312500</v>
      </c>
    </row>
    <row r="411" spans="1:4" x14ac:dyDescent="0.2">
      <c r="A411" s="8" t="s">
        <v>14</v>
      </c>
      <c r="B411" s="8">
        <v>2011</v>
      </c>
      <c r="C411" s="8" t="s">
        <v>28</v>
      </c>
      <c r="D411" s="11">
        <v>242700.00000000003</v>
      </c>
    </row>
    <row r="412" spans="1:4" x14ac:dyDescent="0.2">
      <c r="A412" s="8" t="s">
        <v>15</v>
      </c>
      <c r="B412" s="8">
        <v>2011</v>
      </c>
      <c r="C412" s="8" t="s">
        <v>28</v>
      </c>
      <c r="D412" s="11">
        <v>130900</v>
      </c>
    </row>
    <row r="413" spans="1:4" x14ac:dyDescent="0.2">
      <c r="A413" s="8" t="s">
        <v>16</v>
      </c>
      <c r="B413" s="8">
        <v>2011</v>
      </c>
      <c r="C413" s="8" t="s">
        <v>28</v>
      </c>
      <c r="D413" s="11">
        <v>859099.99999999988</v>
      </c>
    </row>
    <row r="414" spans="1:4" x14ac:dyDescent="0.2">
      <c r="A414" s="8" t="s">
        <v>17</v>
      </c>
      <c r="B414" s="8">
        <v>2011</v>
      </c>
      <c r="C414" s="8" t="s">
        <v>28</v>
      </c>
      <c r="D414" s="11">
        <v>505700</v>
      </c>
    </row>
    <row r="415" spans="1:4" x14ac:dyDescent="0.2">
      <c r="A415" s="8" t="s">
        <v>18</v>
      </c>
      <c r="B415" s="8">
        <v>2011</v>
      </c>
      <c r="C415" s="8" t="s">
        <v>28</v>
      </c>
      <c r="D415" s="11">
        <v>123900</v>
      </c>
    </row>
    <row r="416" spans="1:4" x14ac:dyDescent="0.2">
      <c r="A416" s="8" t="s">
        <v>19</v>
      </c>
      <c r="B416" s="8">
        <v>2011</v>
      </c>
      <c r="C416" s="8" t="s">
        <v>28</v>
      </c>
      <c r="D416" s="11">
        <v>902200</v>
      </c>
    </row>
    <row r="417" spans="1:4" x14ac:dyDescent="0.2">
      <c r="A417" s="8" t="s">
        <v>20</v>
      </c>
      <c r="B417" s="8">
        <v>2011</v>
      </c>
      <c r="C417" s="8" t="s">
        <v>28</v>
      </c>
      <c r="D417" s="11">
        <v>145400</v>
      </c>
    </row>
    <row r="418" spans="1:4" x14ac:dyDescent="0.2">
      <c r="A418" s="8" t="s">
        <v>21</v>
      </c>
      <c r="B418" s="8">
        <v>2011</v>
      </c>
      <c r="C418" s="8" t="s">
        <v>28</v>
      </c>
      <c r="D418" s="11">
        <v>15500</v>
      </c>
    </row>
    <row r="419" spans="1:4" x14ac:dyDescent="0.2">
      <c r="A419" s="8" t="s">
        <v>22</v>
      </c>
      <c r="B419" s="8">
        <v>2011</v>
      </c>
      <c r="C419" s="8" t="s">
        <v>28</v>
      </c>
      <c r="D419" s="11">
        <v>14300</v>
      </c>
    </row>
    <row r="420" spans="1:4" x14ac:dyDescent="0.2">
      <c r="A420" s="8" t="s">
        <v>23</v>
      </c>
      <c r="B420" s="8">
        <v>2011</v>
      </c>
      <c r="C420" s="8" t="s">
        <v>28</v>
      </c>
      <c r="D420" s="11">
        <v>228400</v>
      </c>
    </row>
    <row r="421" spans="1:4" x14ac:dyDescent="0.2">
      <c r="A421" s="8" t="s">
        <v>5</v>
      </c>
      <c r="B421" s="8">
        <v>2012</v>
      </c>
      <c r="C421" s="8" t="s">
        <v>28</v>
      </c>
      <c r="D421" s="11">
        <v>304000</v>
      </c>
    </row>
    <row r="422" spans="1:4" x14ac:dyDescent="0.2">
      <c r="A422" s="8" t="s">
        <v>6</v>
      </c>
      <c r="B422" s="8">
        <v>2012</v>
      </c>
      <c r="C422" s="8" t="s">
        <v>28</v>
      </c>
      <c r="D422" s="11">
        <v>118199.99999999999</v>
      </c>
    </row>
    <row r="423" spans="1:4" x14ac:dyDescent="0.2">
      <c r="A423" s="8" t="s">
        <v>7</v>
      </c>
      <c r="B423" s="8">
        <v>2012</v>
      </c>
      <c r="C423" s="8" t="s">
        <v>28</v>
      </c>
      <c r="D423" s="11">
        <v>70200</v>
      </c>
    </row>
    <row r="424" spans="1:4" x14ac:dyDescent="0.2">
      <c r="A424" s="8" t="s">
        <v>8</v>
      </c>
      <c r="B424" s="8">
        <v>2012</v>
      </c>
      <c r="C424" s="8" t="s">
        <v>28</v>
      </c>
      <c r="D424" s="11">
        <v>278000</v>
      </c>
    </row>
    <row r="425" spans="1:4" x14ac:dyDescent="0.2">
      <c r="A425" s="8" t="s">
        <v>9</v>
      </c>
      <c r="B425" s="8">
        <v>2012</v>
      </c>
      <c r="C425" s="8" t="s">
        <v>28</v>
      </c>
      <c r="D425" s="11">
        <v>75800.000000000015</v>
      </c>
    </row>
    <row r="426" spans="1:4" x14ac:dyDescent="0.2">
      <c r="A426" s="8" t="s">
        <v>10</v>
      </c>
      <c r="B426" s="8">
        <v>2012</v>
      </c>
      <c r="C426" s="8" t="s">
        <v>28</v>
      </c>
      <c r="D426" s="11">
        <v>34800</v>
      </c>
    </row>
    <row r="427" spans="1:4" x14ac:dyDescent="0.2">
      <c r="A427" s="8" t="s">
        <v>11</v>
      </c>
      <c r="B427" s="8">
        <v>2012</v>
      </c>
      <c r="C427" s="8" t="s">
        <v>28</v>
      </c>
      <c r="D427" s="11">
        <v>164200</v>
      </c>
    </row>
    <row r="428" spans="1:4" x14ac:dyDescent="0.2">
      <c r="A428" s="8" t="s">
        <v>12</v>
      </c>
      <c r="B428" s="8">
        <v>2012</v>
      </c>
      <c r="C428" s="8" t="s">
        <v>28</v>
      </c>
      <c r="D428" s="11">
        <v>914099.99999999988</v>
      </c>
    </row>
    <row r="429" spans="1:4" x14ac:dyDescent="0.2">
      <c r="A429" s="8" t="s">
        <v>13</v>
      </c>
      <c r="B429" s="8">
        <v>2012</v>
      </c>
      <c r="C429" s="8" t="s">
        <v>28</v>
      </c>
      <c r="D429" s="11">
        <v>292400</v>
      </c>
    </row>
    <row r="430" spans="1:4" x14ac:dyDescent="0.2">
      <c r="A430" s="8" t="s">
        <v>14</v>
      </c>
      <c r="B430" s="8">
        <v>2012</v>
      </c>
      <c r="C430" s="8" t="s">
        <v>28</v>
      </c>
      <c r="D430" s="11">
        <v>215200</v>
      </c>
    </row>
    <row r="431" spans="1:4" x14ac:dyDescent="0.2">
      <c r="A431" s="8" t="s">
        <v>15</v>
      </c>
      <c r="B431" s="8">
        <v>2012</v>
      </c>
      <c r="C431" s="8" t="s">
        <v>28</v>
      </c>
      <c r="D431" s="11">
        <v>122500</v>
      </c>
    </row>
    <row r="432" spans="1:4" x14ac:dyDescent="0.2">
      <c r="A432" s="8" t="s">
        <v>16</v>
      </c>
      <c r="B432" s="8">
        <v>2012</v>
      </c>
      <c r="C432" s="8" t="s">
        <v>28</v>
      </c>
      <c r="D432" s="11">
        <v>840200</v>
      </c>
    </row>
    <row r="433" spans="1:4" x14ac:dyDescent="0.2">
      <c r="A433" s="8" t="s">
        <v>17</v>
      </c>
      <c r="B433" s="8">
        <v>2012</v>
      </c>
      <c r="C433" s="8" t="s">
        <v>28</v>
      </c>
      <c r="D433" s="11">
        <v>502400.00000000006</v>
      </c>
    </row>
    <row r="434" spans="1:4" x14ac:dyDescent="0.2">
      <c r="A434" s="8" t="s">
        <v>18</v>
      </c>
      <c r="B434" s="8">
        <v>2012</v>
      </c>
      <c r="C434" s="8" t="s">
        <v>28</v>
      </c>
      <c r="D434" s="11">
        <v>126100</v>
      </c>
    </row>
    <row r="435" spans="1:4" x14ac:dyDescent="0.2">
      <c r="A435" s="8" t="s">
        <v>19</v>
      </c>
      <c r="B435" s="8">
        <v>2012</v>
      </c>
      <c r="C435" s="8" t="s">
        <v>28</v>
      </c>
      <c r="D435" s="11">
        <v>873100</v>
      </c>
    </row>
    <row r="436" spans="1:4" x14ac:dyDescent="0.2">
      <c r="A436" s="8" t="s">
        <v>20</v>
      </c>
      <c r="B436" s="8">
        <v>2012</v>
      </c>
      <c r="C436" s="8" t="s">
        <v>28</v>
      </c>
      <c r="D436" s="11">
        <v>141000</v>
      </c>
    </row>
    <row r="437" spans="1:4" x14ac:dyDescent="0.2">
      <c r="A437" s="8" t="s">
        <v>21</v>
      </c>
      <c r="B437" s="8">
        <v>2012</v>
      </c>
      <c r="C437" s="8" t="s">
        <v>28</v>
      </c>
      <c r="D437" s="11">
        <v>12800</v>
      </c>
    </row>
    <row r="438" spans="1:4" x14ac:dyDescent="0.2">
      <c r="A438" s="8" t="s">
        <v>22</v>
      </c>
      <c r="B438" s="8">
        <v>2012</v>
      </c>
      <c r="C438" s="8" t="s">
        <v>28</v>
      </c>
      <c r="D438" s="11">
        <v>14200.000000000002</v>
      </c>
    </row>
    <row r="439" spans="1:4" x14ac:dyDescent="0.2">
      <c r="A439" s="8" t="s">
        <v>23</v>
      </c>
      <c r="B439" s="8">
        <v>2012</v>
      </c>
      <c r="C439" s="8" t="s">
        <v>28</v>
      </c>
      <c r="D439" s="11">
        <v>218299.99999999997</v>
      </c>
    </row>
    <row r="440" spans="1:4" x14ac:dyDescent="0.2">
      <c r="A440" s="8" t="s">
        <v>5</v>
      </c>
      <c r="B440" s="8">
        <v>2019</v>
      </c>
      <c r="C440" s="8" t="s">
        <v>28</v>
      </c>
      <c r="D440" s="11">
        <v>321100</v>
      </c>
    </row>
    <row r="441" spans="1:4" x14ac:dyDescent="0.2">
      <c r="A441" s="8" t="s">
        <v>6</v>
      </c>
      <c r="B441" s="8">
        <v>2019</v>
      </c>
      <c r="C441" s="8" t="s">
        <v>28</v>
      </c>
      <c r="D441" s="11">
        <v>124600</v>
      </c>
    </row>
    <row r="442" spans="1:4" x14ac:dyDescent="0.2">
      <c r="A442" s="8" t="s">
        <v>7</v>
      </c>
      <c r="B442" s="8">
        <v>2019</v>
      </c>
      <c r="C442" s="8" t="s">
        <v>28</v>
      </c>
      <c r="D442" s="11">
        <v>78500</v>
      </c>
    </row>
    <row r="443" spans="1:4" x14ac:dyDescent="0.2">
      <c r="A443" s="8" t="s">
        <v>8</v>
      </c>
      <c r="B443" s="8">
        <v>2019</v>
      </c>
      <c r="C443" s="8" t="s">
        <v>28</v>
      </c>
      <c r="D443" s="11">
        <v>298900</v>
      </c>
    </row>
    <row r="444" spans="1:4" x14ac:dyDescent="0.2">
      <c r="A444" s="8" t="s">
        <v>9</v>
      </c>
      <c r="B444" s="8">
        <v>2019</v>
      </c>
      <c r="C444" s="8" t="s">
        <v>28</v>
      </c>
      <c r="D444" s="11">
        <v>87200</v>
      </c>
    </row>
    <row r="445" spans="1:4" x14ac:dyDescent="0.2">
      <c r="A445" s="8" t="s">
        <v>10</v>
      </c>
      <c r="B445" s="8">
        <v>2019</v>
      </c>
      <c r="C445" s="8" t="s">
        <v>28</v>
      </c>
      <c r="D445" s="11">
        <v>40600</v>
      </c>
    </row>
    <row r="446" spans="1:4" x14ac:dyDescent="0.2">
      <c r="A446" s="8" t="s">
        <v>11</v>
      </c>
      <c r="B446" s="8">
        <v>2019</v>
      </c>
      <c r="C446" s="8" t="s">
        <v>28</v>
      </c>
      <c r="D446" s="11">
        <v>178500</v>
      </c>
    </row>
    <row r="447" spans="1:4" x14ac:dyDescent="0.2">
      <c r="A447" s="8" t="s">
        <v>12</v>
      </c>
      <c r="B447" s="8">
        <v>2019</v>
      </c>
      <c r="C447" s="8" t="s">
        <v>28</v>
      </c>
      <c r="D447" s="11">
        <v>955800.00000000012</v>
      </c>
    </row>
    <row r="448" spans="1:4" x14ac:dyDescent="0.2">
      <c r="A448" s="8" t="s">
        <v>13</v>
      </c>
      <c r="B448" s="8">
        <v>2019</v>
      </c>
      <c r="C448" s="8" t="s">
        <v>28</v>
      </c>
      <c r="D448" s="11">
        <v>309400</v>
      </c>
    </row>
    <row r="449" spans="1:4" x14ac:dyDescent="0.2">
      <c r="A449" s="8" t="s">
        <v>14</v>
      </c>
      <c r="B449" s="8">
        <v>2019</v>
      </c>
      <c r="C449" s="8" t="s">
        <v>28</v>
      </c>
      <c r="D449" s="11">
        <v>250299.99999999997</v>
      </c>
    </row>
    <row r="450" spans="1:4" x14ac:dyDescent="0.2">
      <c r="A450" s="8" t="s">
        <v>15</v>
      </c>
      <c r="B450" s="8">
        <v>2019</v>
      </c>
      <c r="C450" s="8" t="s">
        <v>28</v>
      </c>
      <c r="D450" s="11">
        <v>132800</v>
      </c>
    </row>
    <row r="451" spans="1:4" x14ac:dyDescent="0.2">
      <c r="A451" s="8" t="s">
        <v>16</v>
      </c>
      <c r="B451" s="8">
        <v>2019</v>
      </c>
      <c r="C451" s="8" t="s">
        <v>28</v>
      </c>
      <c r="D451" s="11">
        <v>947800.00000000012</v>
      </c>
    </row>
    <row r="452" spans="1:4" x14ac:dyDescent="0.2">
      <c r="A452" s="8" t="s">
        <v>17</v>
      </c>
      <c r="B452" s="8">
        <v>2019</v>
      </c>
      <c r="C452" s="8" t="s">
        <v>28</v>
      </c>
      <c r="D452" s="11">
        <v>532400</v>
      </c>
    </row>
    <row r="453" spans="1:4" x14ac:dyDescent="0.2">
      <c r="A453" s="8" t="s">
        <v>18</v>
      </c>
      <c r="B453" s="8">
        <v>2019</v>
      </c>
      <c r="C453" s="8" t="s">
        <v>28</v>
      </c>
      <c r="D453" s="11">
        <v>153700</v>
      </c>
    </row>
    <row r="454" spans="1:4" x14ac:dyDescent="0.2">
      <c r="A454" s="8" t="s">
        <v>19</v>
      </c>
      <c r="B454" s="8">
        <v>2019</v>
      </c>
      <c r="C454" s="8" t="s">
        <v>28</v>
      </c>
      <c r="D454" s="11">
        <v>943099.99999999988</v>
      </c>
    </row>
    <row r="455" spans="1:4" x14ac:dyDescent="0.2">
      <c r="A455" s="8" t="s">
        <v>20</v>
      </c>
      <c r="B455" s="8">
        <v>2019</v>
      </c>
      <c r="C455" s="8" t="s">
        <v>28</v>
      </c>
      <c r="D455" s="11">
        <v>167500</v>
      </c>
    </row>
    <row r="456" spans="1:4" x14ac:dyDescent="0.2">
      <c r="A456" s="8" t="s">
        <v>21</v>
      </c>
      <c r="B456" s="8">
        <v>2019</v>
      </c>
      <c r="C456" s="8" t="s">
        <v>28</v>
      </c>
      <c r="D456" s="11">
        <v>15000</v>
      </c>
    </row>
    <row r="457" spans="1:4" x14ac:dyDescent="0.2">
      <c r="A457" s="8" t="s">
        <v>22</v>
      </c>
      <c r="B457" s="8">
        <v>2019</v>
      </c>
      <c r="C457" s="8" t="s">
        <v>28</v>
      </c>
      <c r="D457" s="11">
        <v>14200</v>
      </c>
    </row>
    <row r="458" spans="1:4" x14ac:dyDescent="0.2">
      <c r="A458" s="8" t="s">
        <v>23</v>
      </c>
      <c r="B458" s="8">
        <v>2019</v>
      </c>
      <c r="C458" s="8" t="s">
        <v>28</v>
      </c>
      <c r="D458" s="11">
        <v>260399.99999999997</v>
      </c>
    </row>
    <row r="459" spans="1:4" x14ac:dyDescent="0.2">
      <c r="D459" s="8"/>
    </row>
    <row r="460" spans="1:4" x14ac:dyDescent="0.2">
      <c r="D460" s="8"/>
    </row>
    <row r="461" spans="1:4" x14ac:dyDescent="0.2">
      <c r="D461" s="8"/>
    </row>
    <row r="462" spans="1:4" x14ac:dyDescent="0.2">
      <c r="D462" s="8"/>
    </row>
    <row r="463" spans="1:4" x14ac:dyDescent="0.2">
      <c r="D463" s="8"/>
    </row>
    <row r="464" spans="1:4" x14ac:dyDescent="0.2">
      <c r="D464" s="8"/>
    </row>
    <row r="465" spans="4:4" x14ac:dyDescent="0.2">
      <c r="D465" s="8"/>
    </row>
    <row r="466" spans="4:4" x14ac:dyDescent="0.2">
      <c r="D466" s="8"/>
    </row>
    <row r="467" spans="4:4" x14ac:dyDescent="0.2">
      <c r="D467" s="8"/>
    </row>
    <row r="468" spans="4:4" x14ac:dyDescent="0.2">
      <c r="D468" s="8"/>
    </row>
    <row r="469" spans="4:4" x14ac:dyDescent="0.2">
      <c r="D469" s="8"/>
    </row>
    <row r="470" spans="4:4" x14ac:dyDescent="0.2">
      <c r="D470" s="8"/>
    </row>
    <row r="471" spans="4:4" x14ac:dyDescent="0.2">
      <c r="D471" s="8"/>
    </row>
    <row r="472" spans="4:4" x14ac:dyDescent="0.2">
      <c r="D472" s="8"/>
    </row>
    <row r="473" spans="4:4" x14ac:dyDescent="0.2">
      <c r="D473" s="8"/>
    </row>
    <row r="474" spans="4:4" x14ac:dyDescent="0.2">
      <c r="D474" s="8"/>
    </row>
    <row r="475" spans="4:4" x14ac:dyDescent="0.2">
      <c r="D475" s="8"/>
    </row>
    <row r="476" spans="4:4" x14ac:dyDescent="0.2">
      <c r="D476" s="8"/>
    </row>
    <row r="477" spans="4:4" x14ac:dyDescent="0.2">
      <c r="D477" s="8"/>
    </row>
    <row r="478" spans="4:4" x14ac:dyDescent="0.2">
      <c r="D478" s="8"/>
    </row>
    <row r="479" spans="4:4" x14ac:dyDescent="0.2">
      <c r="D479" s="8"/>
    </row>
    <row r="480" spans="4:4" x14ac:dyDescent="0.2">
      <c r="D480" s="8"/>
    </row>
    <row r="481" spans="4:4" x14ac:dyDescent="0.2">
      <c r="D481" s="8"/>
    </row>
    <row r="482" spans="4:4" x14ac:dyDescent="0.2">
      <c r="D482" s="8"/>
    </row>
    <row r="483" spans="4:4" x14ac:dyDescent="0.2">
      <c r="D483" s="8"/>
    </row>
    <row r="484" spans="4:4" x14ac:dyDescent="0.2">
      <c r="D484" s="8"/>
    </row>
    <row r="485" spans="4:4" x14ac:dyDescent="0.2">
      <c r="D485" s="8"/>
    </row>
    <row r="486" spans="4:4" x14ac:dyDescent="0.2">
      <c r="D486" s="8"/>
    </row>
    <row r="487" spans="4:4" x14ac:dyDescent="0.2">
      <c r="D487" s="8"/>
    </row>
    <row r="488" spans="4:4" x14ac:dyDescent="0.2">
      <c r="D488" s="8"/>
    </row>
    <row r="489" spans="4:4" x14ac:dyDescent="0.2">
      <c r="D489" s="8"/>
    </row>
    <row r="490" spans="4:4" x14ac:dyDescent="0.2">
      <c r="D490" s="8"/>
    </row>
    <row r="491" spans="4:4" x14ac:dyDescent="0.2">
      <c r="D491" s="8"/>
    </row>
    <row r="492" spans="4:4" x14ac:dyDescent="0.2">
      <c r="D492" s="8"/>
    </row>
    <row r="493" spans="4:4" x14ac:dyDescent="0.2">
      <c r="D493" s="8"/>
    </row>
    <row r="494" spans="4:4" x14ac:dyDescent="0.2">
      <c r="D494" s="8"/>
    </row>
    <row r="495" spans="4:4" x14ac:dyDescent="0.2">
      <c r="D495" s="8"/>
    </row>
    <row r="496" spans="4:4" x14ac:dyDescent="0.2">
      <c r="D496" s="8"/>
    </row>
    <row r="497" spans="4:4" x14ac:dyDescent="0.2">
      <c r="D497" s="8"/>
    </row>
    <row r="498" spans="4:4" x14ac:dyDescent="0.2">
      <c r="D498" s="8"/>
    </row>
    <row r="499" spans="4:4" x14ac:dyDescent="0.2">
      <c r="D499" s="8"/>
    </row>
    <row r="500" spans="4:4" x14ac:dyDescent="0.2">
      <c r="D500" s="8"/>
    </row>
    <row r="501" spans="4:4" x14ac:dyDescent="0.2">
      <c r="D501" s="8"/>
    </row>
    <row r="502" spans="4:4" x14ac:dyDescent="0.2">
      <c r="D502" s="8"/>
    </row>
    <row r="503" spans="4:4" x14ac:dyDescent="0.2">
      <c r="D50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BBCC-722E-5544-907F-A261DAE8EC00}">
  <dimension ref="A1:C25"/>
  <sheetViews>
    <sheetView workbookViewId="0">
      <selection activeCell="K11" sqref="K11"/>
    </sheetView>
  </sheetViews>
  <sheetFormatPr baseColWidth="10" defaultRowHeight="16" x14ac:dyDescent="0.2"/>
  <cols>
    <col min="3" max="3" width="16.83203125" style="3" bestFit="1" customWidth="1"/>
  </cols>
  <sheetData>
    <row r="1" spans="1:3" s="5" customFormat="1" x14ac:dyDescent="0.2">
      <c r="A1" s="6" t="s">
        <v>1</v>
      </c>
      <c r="B1" s="6" t="s">
        <v>2</v>
      </c>
      <c r="C1" s="7" t="s">
        <v>29</v>
      </c>
    </row>
    <row r="2" spans="1:3" x14ac:dyDescent="0.2">
      <c r="A2" s="8">
        <v>1999</v>
      </c>
      <c r="B2" s="8" t="s">
        <v>4</v>
      </c>
      <c r="C2" s="9">
        <v>38394245</v>
      </c>
    </row>
    <row r="3" spans="1:3" x14ac:dyDescent="0.2">
      <c r="A3" s="8">
        <v>1999</v>
      </c>
      <c r="B3" s="8" t="s">
        <v>24</v>
      </c>
      <c r="C3" s="9">
        <v>3865345572</v>
      </c>
    </row>
    <row r="4" spans="1:3" x14ac:dyDescent="0.2">
      <c r="A4" s="8">
        <v>1999</v>
      </c>
      <c r="B4" s="8" t="s">
        <v>25</v>
      </c>
      <c r="C4" s="9">
        <v>0</v>
      </c>
    </row>
    <row r="5" spans="1:3" x14ac:dyDescent="0.2">
      <c r="A5" s="8">
        <v>1999</v>
      </c>
      <c r="B5" s="8" t="s">
        <v>26</v>
      </c>
      <c r="C5" s="9">
        <v>0</v>
      </c>
    </row>
    <row r="6" spans="1:3" x14ac:dyDescent="0.2">
      <c r="A6" s="8">
        <v>1999</v>
      </c>
      <c r="B6" s="8" t="s">
        <v>27</v>
      </c>
      <c r="C6" s="9">
        <v>4400</v>
      </c>
    </row>
    <row r="7" spans="1:3" x14ac:dyDescent="0.2">
      <c r="A7" s="8">
        <v>1999</v>
      </c>
      <c r="B7" s="8" t="s">
        <v>28</v>
      </c>
      <c r="C7" s="9">
        <v>14680973</v>
      </c>
    </row>
    <row r="8" spans="1:3" x14ac:dyDescent="0.2">
      <c r="A8" s="8">
        <v>2011</v>
      </c>
      <c r="B8" s="8" t="s">
        <v>4</v>
      </c>
      <c r="C8" s="9">
        <v>248205092.85999998</v>
      </c>
    </row>
    <row r="9" spans="1:3" x14ac:dyDescent="0.2">
      <c r="A9" s="8">
        <v>2011</v>
      </c>
      <c r="B9" s="8" t="s">
        <v>24</v>
      </c>
      <c r="C9" s="9">
        <v>25668384893.803993</v>
      </c>
    </row>
    <row r="10" spans="1:3" x14ac:dyDescent="0.2">
      <c r="A10" s="8">
        <v>2011</v>
      </c>
      <c r="B10" s="8" t="s">
        <v>25</v>
      </c>
      <c r="C10" s="9">
        <v>0</v>
      </c>
    </row>
    <row r="11" spans="1:3" x14ac:dyDescent="0.2">
      <c r="A11" s="8">
        <v>2011</v>
      </c>
      <c r="B11" s="8" t="s">
        <v>26</v>
      </c>
      <c r="C11" s="9">
        <v>0</v>
      </c>
    </row>
    <row r="12" spans="1:3" x14ac:dyDescent="0.2">
      <c r="A12" s="8">
        <v>2011</v>
      </c>
      <c r="B12" s="8" t="s">
        <v>27</v>
      </c>
      <c r="C12" s="9">
        <v>184165.01500000001</v>
      </c>
    </row>
    <row r="13" spans="1:3" x14ac:dyDescent="0.2">
      <c r="A13" s="8">
        <v>2011</v>
      </c>
      <c r="B13" s="8" t="s">
        <v>28</v>
      </c>
      <c r="C13" s="9">
        <v>39514190.592999995</v>
      </c>
    </row>
    <row r="14" spans="1:3" x14ac:dyDescent="0.2">
      <c r="A14" s="8">
        <v>2012</v>
      </c>
      <c r="B14" s="8" t="s">
        <v>4</v>
      </c>
      <c r="C14" s="9">
        <v>170922106.19100001</v>
      </c>
    </row>
    <row r="15" spans="1:3" x14ac:dyDescent="0.2">
      <c r="A15" s="8">
        <v>2012</v>
      </c>
      <c r="B15" s="8" t="s">
        <v>24</v>
      </c>
      <c r="C15" s="9">
        <v>22649334114.950008</v>
      </c>
    </row>
    <row r="16" spans="1:3" x14ac:dyDescent="0.2">
      <c r="A16" s="8">
        <v>2012</v>
      </c>
      <c r="B16" s="8" t="s">
        <v>25</v>
      </c>
      <c r="C16" s="9">
        <v>0</v>
      </c>
    </row>
    <row r="17" spans="1:3" x14ac:dyDescent="0.2">
      <c r="A17" s="8">
        <v>2012</v>
      </c>
      <c r="B17" s="8" t="s">
        <v>26</v>
      </c>
      <c r="C17" s="9">
        <v>0</v>
      </c>
    </row>
    <row r="18" spans="1:3" x14ac:dyDescent="0.2">
      <c r="A18" s="8">
        <v>2012</v>
      </c>
      <c r="B18" s="8" t="s">
        <v>27</v>
      </c>
      <c r="C18" s="9">
        <v>19925.606</v>
      </c>
    </row>
    <row r="19" spans="1:3" x14ac:dyDescent="0.2">
      <c r="A19" s="8">
        <v>2012</v>
      </c>
      <c r="B19" s="8" t="s">
        <v>28</v>
      </c>
      <c r="C19" s="9">
        <v>3409829.0120000001</v>
      </c>
    </row>
    <row r="20" spans="1:3" x14ac:dyDescent="0.2">
      <c r="A20" s="8">
        <v>2019</v>
      </c>
      <c r="B20" s="8" t="s">
        <v>4</v>
      </c>
      <c r="C20" s="9">
        <v>248842280.91400006</v>
      </c>
    </row>
    <row r="21" spans="1:3" x14ac:dyDescent="0.2">
      <c r="A21" s="8">
        <v>2019</v>
      </c>
      <c r="B21" s="8" t="s">
        <v>24</v>
      </c>
      <c r="C21" s="9">
        <v>32332414329.943001</v>
      </c>
    </row>
    <row r="22" spans="1:3" x14ac:dyDescent="0.2">
      <c r="A22" s="8">
        <v>2019</v>
      </c>
      <c r="B22" s="8" t="s">
        <v>25</v>
      </c>
      <c r="C22" s="9">
        <v>0</v>
      </c>
    </row>
    <row r="23" spans="1:3" x14ac:dyDescent="0.2">
      <c r="A23" s="8">
        <v>2019</v>
      </c>
      <c r="B23" s="8" t="s">
        <v>26</v>
      </c>
      <c r="C23" s="9">
        <v>0</v>
      </c>
    </row>
    <row r="24" spans="1:3" x14ac:dyDescent="0.2">
      <c r="A24" s="8">
        <v>2019</v>
      </c>
      <c r="B24" s="8" t="s">
        <v>27</v>
      </c>
      <c r="C24" s="9">
        <v>109002.65400000001</v>
      </c>
    </row>
    <row r="25" spans="1:3" x14ac:dyDescent="0.2">
      <c r="A25" s="8">
        <v>2019</v>
      </c>
      <c r="B25" s="8" t="s">
        <v>28</v>
      </c>
      <c r="C25" s="9">
        <v>1921429.6439999996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B36F-82D0-9547-A4D5-CA9502014BB6}">
  <dimension ref="A1:C25"/>
  <sheetViews>
    <sheetView workbookViewId="0">
      <selection activeCell="G7" sqref="G7"/>
    </sheetView>
  </sheetViews>
  <sheetFormatPr baseColWidth="10" defaultRowHeight="16" x14ac:dyDescent="0.2"/>
  <cols>
    <col min="1" max="3" width="10.83203125" style="1"/>
  </cols>
  <sheetData>
    <row r="1" spans="1:3" s="5" customFormat="1" x14ac:dyDescent="0.2">
      <c r="A1" s="6" t="s">
        <v>1</v>
      </c>
      <c r="B1" s="6" t="s">
        <v>2</v>
      </c>
      <c r="C1" s="6" t="s">
        <v>30</v>
      </c>
    </row>
    <row r="2" spans="1:3" x14ac:dyDescent="0.2">
      <c r="A2" s="8">
        <v>1999</v>
      </c>
      <c r="B2" s="8" t="s">
        <v>4</v>
      </c>
      <c r="C2" s="11">
        <f>SUM(employment!D2:D20)</f>
        <v>1027100</v>
      </c>
    </row>
    <row r="3" spans="1:3" x14ac:dyDescent="0.2">
      <c r="A3" s="8">
        <v>1999</v>
      </c>
      <c r="B3" s="8" t="s">
        <v>24</v>
      </c>
      <c r="C3" s="11">
        <f>SUM(employment!D78:D96)</f>
        <v>2937100</v>
      </c>
    </row>
    <row r="4" spans="1:3" x14ac:dyDescent="0.2">
      <c r="A4" s="8">
        <v>1999</v>
      </c>
      <c r="B4" s="8" t="s">
        <v>25</v>
      </c>
      <c r="C4" s="11">
        <f>SUM(employment!D154:D172)</f>
        <v>1536700</v>
      </c>
    </row>
    <row r="5" spans="1:3" x14ac:dyDescent="0.2">
      <c r="A5" s="8">
        <v>1999</v>
      </c>
      <c r="B5" s="8" t="s">
        <v>26</v>
      </c>
      <c r="C5" s="11">
        <f>SUM(employment!D230:D248)</f>
        <v>4127900</v>
      </c>
    </row>
    <row r="6" spans="1:3" x14ac:dyDescent="0.2">
      <c r="A6" s="8">
        <v>1999</v>
      </c>
      <c r="B6" s="8" t="s">
        <v>27</v>
      </c>
      <c r="C6" s="11">
        <f>SUM(employment!D307:D325)</f>
        <v>1385100</v>
      </c>
    </row>
    <row r="7" spans="1:3" x14ac:dyDescent="0.2">
      <c r="A7" s="8">
        <v>1999</v>
      </c>
      <c r="B7" s="8" t="s">
        <v>28</v>
      </c>
      <c r="C7" s="11">
        <f>SUM(employment!D383:D401)</f>
        <v>3496000</v>
      </c>
    </row>
    <row r="8" spans="1:3" x14ac:dyDescent="0.2">
      <c r="A8" s="8">
        <v>2011</v>
      </c>
      <c r="B8" s="8" t="s">
        <v>4</v>
      </c>
      <c r="C8" s="11">
        <f>SUM(employment!D21:D39)</f>
        <v>742500</v>
      </c>
    </row>
    <row r="9" spans="1:3" x14ac:dyDescent="0.2">
      <c r="A9" s="8">
        <v>2011</v>
      </c>
      <c r="B9" s="8" t="s">
        <v>24</v>
      </c>
      <c r="C9" s="11">
        <f>SUM(employment!D97:D115)</f>
        <v>2593600</v>
      </c>
    </row>
    <row r="10" spans="1:3" x14ac:dyDescent="0.2">
      <c r="A10" s="8">
        <v>2011</v>
      </c>
      <c r="B10" s="8" t="s">
        <v>25</v>
      </c>
      <c r="C10" s="11">
        <f>SUM(employment!D173:D191)</f>
        <v>1398900</v>
      </c>
    </row>
    <row r="11" spans="1:3" x14ac:dyDescent="0.2">
      <c r="A11" s="8">
        <v>2011</v>
      </c>
      <c r="B11" s="8" t="s">
        <v>26</v>
      </c>
      <c r="C11" s="11">
        <f>SUM(employment!D249:D267)</f>
        <v>5749600</v>
      </c>
    </row>
    <row r="12" spans="1:3" x14ac:dyDescent="0.2">
      <c r="A12" s="8">
        <v>2011</v>
      </c>
      <c r="B12" s="8" t="s">
        <v>27</v>
      </c>
      <c r="C12" s="11">
        <f>SUM(employment!D326:D344)</f>
        <v>2305900</v>
      </c>
    </row>
    <row r="13" spans="1:3" x14ac:dyDescent="0.2">
      <c r="A13" s="8">
        <v>2011</v>
      </c>
      <c r="B13" s="8" t="s">
        <v>28</v>
      </c>
      <c r="C13" s="11">
        <f>SUM(employment!D402:D420)</f>
        <v>5476700</v>
      </c>
    </row>
    <row r="14" spans="1:3" x14ac:dyDescent="0.2">
      <c r="A14" s="8">
        <v>2012</v>
      </c>
      <c r="B14" s="8" t="s">
        <v>4</v>
      </c>
      <c r="C14" s="11">
        <f>SUM(employment!D40:D58)</f>
        <v>729700</v>
      </c>
    </row>
    <row r="15" spans="1:3" x14ac:dyDescent="0.2">
      <c r="A15" s="8">
        <v>2012</v>
      </c>
      <c r="B15" s="8" t="s">
        <v>24</v>
      </c>
      <c r="C15" s="11">
        <f>SUM(employment!D116:D134)</f>
        <v>2469300</v>
      </c>
    </row>
    <row r="16" spans="1:3" x14ac:dyDescent="0.2">
      <c r="A16" s="8">
        <v>2012</v>
      </c>
      <c r="B16" s="8" t="s">
        <v>25</v>
      </c>
      <c r="C16" s="11">
        <f>SUM(employment!D192:D210)</f>
        <v>1154300</v>
      </c>
    </row>
    <row r="17" spans="1:3" x14ac:dyDescent="0.2">
      <c r="A17" s="8">
        <v>2012</v>
      </c>
      <c r="B17" s="8" t="s">
        <v>26</v>
      </c>
      <c r="C17" s="11">
        <f>SUM(employment!D307:D325)</f>
        <v>1385100</v>
      </c>
    </row>
    <row r="18" spans="1:3" x14ac:dyDescent="0.2">
      <c r="A18" s="8">
        <v>2012</v>
      </c>
      <c r="B18" s="8" t="s">
        <v>27</v>
      </c>
      <c r="C18" s="11">
        <f>SUM(employment!D345:D363)</f>
        <v>2263900</v>
      </c>
    </row>
    <row r="19" spans="1:3" x14ac:dyDescent="0.2">
      <c r="A19" s="8">
        <v>2012</v>
      </c>
      <c r="B19" s="8" t="s">
        <v>28</v>
      </c>
      <c r="C19" s="11">
        <f>SUM(employment!D421:D439)</f>
        <v>5317500</v>
      </c>
    </row>
    <row r="20" spans="1:3" x14ac:dyDescent="0.2">
      <c r="A20" s="8">
        <v>2019</v>
      </c>
      <c r="B20" s="8" t="s">
        <v>4</v>
      </c>
      <c r="C20" s="11">
        <f>SUM(employment!D59:D77)</f>
        <v>781500</v>
      </c>
    </row>
    <row r="21" spans="1:3" x14ac:dyDescent="0.2">
      <c r="A21" s="8">
        <v>2019</v>
      </c>
      <c r="B21" s="8" t="s">
        <v>24</v>
      </c>
      <c r="C21" s="11">
        <f>SUM(employment!D135:D153)</f>
        <v>2747300</v>
      </c>
    </row>
    <row r="22" spans="1:3" x14ac:dyDescent="0.2">
      <c r="A22" s="8">
        <v>2019</v>
      </c>
      <c r="B22" s="8" t="s">
        <v>25</v>
      </c>
      <c r="C22" s="11">
        <f>SUM(employment!D211:D229)</f>
        <v>1269700</v>
      </c>
    </row>
    <row r="23" spans="1:3" x14ac:dyDescent="0.2">
      <c r="A23" s="8">
        <v>2019</v>
      </c>
      <c r="B23" s="8" t="s">
        <v>26</v>
      </c>
      <c r="C23" s="11">
        <f>SUM(employment!D288:D306)</f>
        <v>6357200</v>
      </c>
    </row>
    <row r="24" spans="1:3" x14ac:dyDescent="0.2">
      <c r="A24" s="8">
        <v>2019</v>
      </c>
      <c r="B24" s="8" t="s">
        <v>27</v>
      </c>
      <c r="C24" s="11">
        <f>SUM(employment!D364:D382)</f>
        <v>2595600</v>
      </c>
    </row>
    <row r="25" spans="1:3" x14ac:dyDescent="0.2">
      <c r="A25" s="8">
        <v>2019</v>
      </c>
      <c r="B25" s="8" t="s">
        <v>28</v>
      </c>
      <c r="C25" s="11">
        <f>SUM(employment!D440:D458)</f>
        <v>5811800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2850-05CD-D949-B316-4391D8D0777D}">
  <dimension ref="A1:C13"/>
  <sheetViews>
    <sheetView workbookViewId="0">
      <selection activeCell="G25" sqref="G25"/>
    </sheetView>
  </sheetViews>
  <sheetFormatPr baseColWidth="10" defaultRowHeight="16" x14ac:dyDescent="0.2"/>
  <cols>
    <col min="3" max="3" width="16.83203125" style="2" bestFit="1" customWidth="1"/>
  </cols>
  <sheetData>
    <row r="1" spans="1:3" s="5" customFormat="1" x14ac:dyDescent="0.2">
      <c r="A1" s="10" t="s">
        <v>31</v>
      </c>
      <c r="B1" s="10" t="s">
        <v>2</v>
      </c>
      <c r="C1" s="7" t="s">
        <v>34</v>
      </c>
    </row>
    <row r="2" spans="1:3" x14ac:dyDescent="0.2">
      <c r="A2" s="15" t="s">
        <v>32</v>
      </c>
      <c r="B2" s="15" t="s">
        <v>4</v>
      </c>
      <c r="C2" s="9">
        <f>import!C8-import!C2</f>
        <v>209810847.85999998</v>
      </c>
    </row>
    <row r="3" spans="1:3" x14ac:dyDescent="0.2">
      <c r="A3" s="15" t="s">
        <v>32</v>
      </c>
      <c r="B3" s="15" t="s">
        <v>24</v>
      </c>
      <c r="C3" s="9">
        <f>import!C9-import!C3</f>
        <v>21803039321.803993</v>
      </c>
    </row>
    <row r="4" spans="1:3" x14ac:dyDescent="0.2">
      <c r="A4" s="15" t="s">
        <v>32</v>
      </c>
      <c r="B4" s="15" t="s">
        <v>25</v>
      </c>
      <c r="C4" s="9">
        <f>import!C10-import!C4</f>
        <v>0</v>
      </c>
    </row>
    <row r="5" spans="1:3" x14ac:dyDescent="0.2">
      <c r="A5" s="15" t="s">
        <v>32</v>
      </c>
      <c r="B5" s="15" t="s">
        <v>26</v>
      </c>
      <c r="C5" s="9">
        <f>import!C11-import!C5</f>
        <v>0</v>
      </c>
    </row>
    <row r="6" spans="1:3" x14ac:dyDescent="0.2">
      <c r="A6" s="15" t="s">
        <v>32</v>
      </c>
      <c r="B6" s="15" t="s">
        <v>27</v>
      </c>
      <c r="C6" s="9">
        <f>import!C12-import!C6</f>
        <v>179765.01500000001</v>
      </c>
    </row>
    <row r="7" spans="1:3" x14ac:dyDescent="0.2">
      <c r="A7" s="15" t="s">
        <v>32</v>
      </c>
      <c r="B7" s="15" t="s">
        <v>28</v>
      </c>
      <c r="C7" s="9">
        <f>import!C13-import!C7</f>
        <v>24833217.592999995</v>
      </c>
    </row>
    <row r="8" spans="1:3" x14ac:dyDescent="0.2">
      <c r="A8" s="15" t="s">
        <v>33</v>
      </c>
      <c r="B8" s="15" t="s">
        <v>4</v>
      </c>
      <c r="C8" s="9">
        <f>import!C20-import!C14</f>
        <v>77920174.72300005</v>
      </c>
    </row>
    <row r="9" spans="1:3" x14ac:dyDescent="0.2">
      <c r="A9" s="15" t="s">
        <v>33</v>
      </c>
      <c r="B9" s="15" t="s">
        <v>24</v>
      </c>
      <c r="C9" s="9">
        <f>import!C21-import!C15</f>
        <v>9683080214.9929924</v>
      </c>
    </row>
    <row r="10" spans="1:3" x14ac:dyDescent="0.2">
      <c r="A10" s="15" t="s">
        <v>33</v>
      </c>
      <c r="B10" s="15" t="s">
        <v>25</v>
      </c>
      <c r="C10" s="9">
        <f>import!C22-import!C16</f>
        <v>0</v>
      </c>
    </row>
    <row r="11" spans="1:3" x14ac:dyDescent="0.2">
      <c r="A11" s="15" t="s">
        <v>33</v>
      </c>
      <c r="B11" s="15" t="s">
        <v>26</v>
      </c>
      <c r="C11" s="9">
        <f>import!C23-import!C17</f>
        <v>0</v>
      </c>
    </row>
    <row r="12" spans="1:3" x14ac:dyDescent="0.2">
      <c r="A12" s="15" t="s">
        <v>33</v>
      </c>
      <c r="B12" s="15" t="s">
        <v>27</v>
      </c>
      <c r="C12" s="9">
        <f>import!C24-import!C18</f>
        <v>89077.04800000001</v>
      </c>
    </row>
    <row r="13" spans="1:3" x14ac:dyDescent="0.2">
      <c r="A13" s="15" t="s">
        <v>33</v>
      </c>
      <c r="B13" s="15" t="s">
        <v>28</v>
      </c>
      <c r="C13" s="9">
        <f>import!C25-import!C19</f>
        <v>-1488399.3680000005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F797-61C0-674D-B34A-73AED35D5D0A}">
  <dimension ref="A1:E13"/>
  <sheetViews>
    <sheetView workbookViewId="0">
      <selection activeCell="H14" sqref="H14"/>
    </sheetView>
  </sheetViews>
  <sheetFormatPr baseColWidth="10" defaultRowHeight="16" x14ac:dyDescent="0.2"/>
  <cols>
    <col min="3" max="3" width="10.83203125" style="1"/>
    <col min="4" max="4" width="16.83203125" bestFit="1" customWidth="1"/>
    <col min="5" max="5" width="12.33203125" style="1" bestFit="1" customWidth="1"/>
  </cols>
  <sheetData>
    <row r="1" spans="1:5" s="5" customFormat="1" x14ac:dyDescent="0.2">
      <c r="A1" s="6" t="s">
        <v>31</v>
      </c>
      <c r="B1" s="10" t="s">
        <v>2</v>
      </c>
      <c r="C1" s="6" t="s">
        <v>35</v>
      </c>
      <c r="D1" s="13" t="s">
        <v>34</v>
      </c>
      <c r="E1" s="6" t="s">
        <v>36</v>
      </c>
    </row>
    <row r="2" spans="1:5" x14ac:dyDescent="0.2">
      <c r="A2" s="8" t="s">
        <v>32</v>
      </c>
      <c r="B2" s="8" t="s">
        <v>4</v>
      </c>
      <c r="C2" s="11">
        <f>L_i!C2</f>
        <v>1027100</v>
      </c>
      <c r="D2" s="9">
        <f>delta_M!C2</f>
        <v>209810847.85999998</v>
      </c>
      <c r="E2" s="9">
        <f>D2/C2</f>
        <v>204.27499548242622</v>
      </c>
    </row>
    <row r="3" spans="1:5" x14ac:dyDescent="0.2">
      <c r="A3" s="8" t="s">
        <v>32</v>
      </c>
      <c r="B3" s="8" t="s">
        <v>24</v>
      </c>
      <c r="C3" s="11">
        <f>L_i!C3</f>
        <v>2937100</v>
      </c>
      <c r="D3" s="9">
        <f>delta_M!C3</f>
        <v>21803039321.803993</v>
      </c>
      <c r="E3" s="9">
        <f t="shared" ref="E3:E13" si="0">D3/C3</f>
        <v>7423.3220938354134</v>
      </c>
    </row>
    <row r="4" spans="1:5" x14ac:dyDescent="0.2">
      <c r="A4" s="8" t="s">
        <v>32</v>
      </c>
      <c r="B4" s="8" t="s">
        <v>25</v>
      </c>
      <c r="C4" s="11">
        <f>L_i!C4</f>
        <v>1536700</v>
      </c>
      <c r="D4" s="9">
        <f>delta_M!C4</f>
        <v>0</v>
      </c>
      <c r="E4" s="9">
        <f t="shared" si="0"/>
        <v>0</v>
      </c>
    </row>
    <row r="5" spans="1:5" x14ac:dyDescent="0.2">
      <c r="A5" s="8" t="s">
        <v>32</v>
      </c>
      <c r="B5" s="8" t="s">
        <v>26</v>
      </c>
      <c r="C5" s="11">
        <f>L_i!C5</f>
        <v>4127900</v>
      </c>
      <c r="D5" s="9">
        <f>delta_M!C5</f>
        <v>0</v>
      </c>
      <c r="E5" s="9">
        <f t="shared" si="0"/>
        <v>0</v>
      </c>
    </row>
    <row r="6" spans="1:5" x14ac:dyDescent="0.2">
      <c r="A6" s="8" t="s">
        <v>32</v>
      </c>
      <c r="B6" s="8" t="s">
        <v>27</v>
      </c>
      <c r="C6" s="11">
        <f>L_i!C6</f>
        <v>1385100</v>
      </c>
      <c r="D6" s="9">
        <f>delta_M!C6</f>
        <v>179765.01500000001</v>
      </c>
      <c r="E6" s="9">
        <f t="shared" si="0"/>
        <v>0.12978486390874305</v>
      </c>
    </row>
    <row r="7" spans="1:5" x14ac:dyDescent="0.2">
      <c r="A7" s="8" t="s">
        <v>32</v>
      </c>
      <c r="B7" s="8" t="s">
        <v>28</v>
      </c>
      <c r="C7" s="11">
        <f>L_i!C7</f>
        <v>3496000</v>
      </c>
      <c r="D7" s="9">
        <f>delta_M!C7</f>
        <v>24833217.592999995</v>
      </c>
      <c r="E7" s="9">
        <f t="shared" si="0"/>
        <v>7.1033231101258565</v>
      </c>
    </row>
    <row r="8" spans="1:5" x14ac:dyDescent="0.2">
      <c r="A8" s="8" t="s">
        <v>33</v>
      </c>
      <c r="B8" s="8" t="s">
        <v>4</v>
      </c>
      <c r="C8" s="11">
        <f>L_i!C14</f>
        <v>729700</v>
      </c>
      <c r="D8" s="9">
        <f>delta_M!C8</f>
        <v>77920174.72300005</v>
      </c>
      <c r="E8" s="9">
        <f t="shared" si="0"/>
        <v>106.78384914759496</v>
      </c>
    </row>
    <row r="9" spans="1:5" x14ac:dyDescent="0.2">
      <c r="A9" s="8" t="s">
        <v>33</v>
      </c>
      <c r="B9" s="8" t="s">
        <v>24</v>
      </c>
      <c r="C9" s="11">
        <f>L_i!C15</f>
        <v>2469300</v>
      </c>
      <c r="D9" s="9">
        <f>delta_M!C9</f>
        <v>9683080214.9929924</v>
      </c>
      <c r="E9" s="9">
        <f t="shared" si="0"/>
        <v>3921.3867148556242</v>
      </c>
    </row>
    <row r="10" spans="1:5" x14ac:dyDescent="0.2">
      <c r="A10" s="8" t="s">
        <v>33</v>
      </c>
      <c r="B10" s="8" t="s">
        <v>25</v>
      </c>
      <c r="C10" s="11">
        <f>L_i!C16</f>
        <v>1154300</v>
      </c>
      <c r="D10" s="9">
        <f>delta_M!C10</f>
        <v>0</v>
      </c>
      <c r="E10" s="9">
        <f t="shared" si="0"/>
        <v>0</v>
      </c>
    </row>
    <row r="11" spans="1:5" x14ac:dyDescent="0.2">
      <c r="A11" s="8" t="s">
        <v>33</v>
      </c>
      <c r="B11" s="8" t="s">
        <v>26</v>
      </c>
      <c r="C11" s="11">
        <f>L_i!C17</f>
        <v>1385100</v>
      </c>
      <c r="D11" s="9">
        <f>delta_M!C11</f>
        <v>0</v>
      </c>
      <c r="E11" s="9">
        <f t="shared" si="0"/>
        <v>0</v>
      </c>
    </row>
    <row r="12" spans="1:5" x14ac:dyDescent="0.2">
      <c r="A12" s="8" t="s">
        <v>33</v>
      </c>
      <c r="B12" s="8" t="s">
        <v>27</v>
      </c>
      <c r="C12" s="11">
        <f>L_i!C18</f>
        <v>2263900</v>
      </c>
      <c r="D12" s="9">
        <f>delta_M!C12</f>
        <v>89077.04800000001</v>
      </c>
      <c r="E12" s="9">
        <f t="shared" si="0"/>
        <v>3.9346723795220639E-2</v>
      </c>
    </row>
    <row r="13" spans="1:5" x14ac:dyDescent="0.2">
      <c r="A13" s="8" t="s">
        <v>33</v>
      </c>
      <c r="B13" s="8" t="s">
        <v>28</v>
      </c>
      <c r="C13" s="11">
        <f>L_i!C19</f>
        <v>5317500</v>
      </c>
      <c r="D13" s="9">
        <f>delta_M!C13</f>
        <v>-1488399.3680000005</v>
      </c>
      <c r="E13" s="9">
        <f t="shared" si="0"/>
        <v>-0.27990585199811951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C7F9-C292-7040-A911-AA2D407744AD}">
  <dimension ref="A1:S21"/>
  <sheetViews>
    <sheetView workbookViewId="0">
      <selection activeCell="I12" sqref="I12"/>
    </sheetView>
  </sheetViews>
  <sheetFormatPr baseColWidth="10" defaultRowHeight="16" x14ac:dyDescent="0.2"/>
  <cols>
    <col min="1" max="1" width="24.6640625" bestFit="1" customWidth="1"/>
    <col min="12" max="12" width="24.5" bestFit="1" customWidth="1"/>
  </cols>
  <sheetData>
    <row r="1" spans="1:19" s="5" customFormat="1" x14ac:dyDescent="0.2">
      <c r="A1" s="17">
        <v>1999</v>
      </c>
      <c r="B1" s="17"/>
      <c r="C1" s="17"/>
      <c r="D1" s="17"/>
      <c r="E1" s="17"/>
      <c r="F1" s="17"/>
      <c r="G1" s="17"/>
      <c r="H1" s="17"/>
      <c r="L1" s="17">
        <v>2012</v>
      </c>
      <c r="M1" s="17"/>
      <c r="N1" s="17"/>
      <c r="O1" s="17"/>
      <c r="P1" s="17"/>
      <c r="Q1" s="17"/>
      <c r="R1" s="17"/>
      <c r="S1" s="17"/>
    </row>
    <row r="2" spans="1:19" s="5" customFormat="1" x14ac:dyDescent="0.2">
      <c r="A2" s="10"/>
      <c r="B2" s="10" t="s">
        <v>4</v>
      </c>
      <c r="C2" s="10" t="s">
        <v>24</v>
      </c>
      <c r="D2" s="10" t="s">
        <v>25</v>
      </c>
      <c r="E2" s="10" t="s">
        <v>26</v>
      </c>
      <c r="F2" s="10" t="s">
        <v>27</v>
      </c>
      <c r="G2" s="10" t="s">
        <v>28</v>
      </c>
      <c r="H2" s="10" t="s">
        <v>37</v>
      </c>
      <c r="L2" s="10"/>
      <c r="M2" s="10" t="s">
        <v>4</v>
      </c>
      <c r="N2" s="10" t="s">
        <v>24</v>
      </c>
      <c r="O2" s="10" t="s">
        <v>25</v>
      </c>
      <c r="P2" s="10" t="s">
        <v>26</v>
      </c>
      <c r="Q2" s="10" t="s">
        <v>27</v>
      </c>
      <c r="R2" s="10" t="s">
        <v>28</v>
      </c>
      <c r="S2" s="10" t="s">
        <v>37</v>
      </c>
    </row>
    <row r="3" spans="1:19" x14ac:dyDescent="0.2">
      <c r="A3" s="10" t="s">
        <v>5</v>
      </c>
      <c r="B3" s="11">
        <f>employment!D2</f>
        <v>169700</v>
      </c>
      <c r="C3" s="11">
        <f>employment!D78</f>
        <v>176700</v>
      </c>
      <c r="D3" s="11">
        <f>employment!D154</f>
        <v>107300</v>
      </c>
      <c r="E3" s="11">
        <f>employment!D230</f>
        <v>234300</v>
      </c>
      <c r="F3" s="11">
        <f>employment!D307</f>
        <v>60600</v>
      </c>
      <c r="G3" s="11">
        <f>employment!D383</f>
        <v>205600</v>
      </c>
      <c r="H3" s="11">
        <f>SUM(B3:G3)</f>
        <v>954200</v>
      </c>
      <c r="L3" s="10" t="s">
        <v>5</v>
      </c>
      <c r="M3" s="11">
        <f>employment!D40</f>
        <v>77400</v>
      </c>
      <c r="N3" s="11">
        <f>employment!D116</f>
        <v>164300</v>
      </c>
      <c r="O3" s="11">
        <f>employment!D192</f>
        <v>78700</v>
      </c>
      <c r="P3" s="11">
        <f>employment!D268</f>
        <v>306900</v>
      </c>
      <c r="Q3" s="11">
        <f>employment!D345</f>
        <v>104100.00000000001</v>
      </c>
      <c r="R3" s="11">
        <f>employment!D421</f>
        <v>304000</v>
      </c>
      <c r="S3" s="11">
        <f>SUM(M3:R3)</f>
        <v>1035400</v>
      </c>
    </row>
    <row r="4" spans="1:19" x14ac:dyDescent="0.2">
      <c r="A4" s="10" t="s">
        <v>6</v>
      </c>
      <c r="B4" s="11">
        <f>employment!D3</f>
        <v>31100</v>
      </c>
      <c r="C4" s="11">
        <f>employment!D79</f>
        <v>67600</v>
      </c>
      <c r="D4" s="11">
        <f>employment!D155</f>
        <v>36300</v>
      </c>
      <c r="E4" s="11">
        <f>employment!D231</f>
        <v>91500</v>
      </c>
      <c r="F4" s="11">
        <f>employment!D308</f>
        <v>23600</v>
      </c>
      <c r="G4" s="11">
        <f>employment!D384</f>
        <v>84400</v>
      </c>
      <c r="H4" s="11">
        <f t="shared" ref="H4:H21" si="0">SUM(B4:G4)</f>
        <v>334500</v>
      </c>
      <c r="L4" s="10" t="s">
        <v>6</v>
      </c>
      <c r="M4" s="11">
        <f>employment!D41</f>
        <v>16500</v>
      </c>
      <c r="N4" s="11">
        <f>employment!D117</f>
        <v>56800</v>
      </c>
      <c r="O4" s="11">
        <f>employment!D193</f>
        <v>30400</v>
      </c>
      <c r="P4" s="11">
        <f>employment!D269</f>
        <v>115100.00000000001</v>
      </c>
      <c r="Q4" s="11">
        <f>employment!D346</f>
        <v>42600</v>
      </c>
      <c r="R4" s="11">
        <f>employment!D422</f>
        <v>118199.99999999999</v>
      </c>
      <c r="S4" s="11">
        <f t="shared" ref="S4:S21" si="1">SUM(M4:R4)</f>
        <v>379600</v>
      </c>
    </row>
    <row r="5" spans="1:19" x14ac:dyDescent="0.2">
      <c r="A5" s="10" t="s">
        <v>7</v>
      </c>
      <c r="B5" s="11">
        <f>employment!D4</f>
        <v>14600</v>
      </c>
      <c r="C5" s="11">
        <f>employment!D80</f>
        <v>39600</v>
      </c>
      <c r="D5" s="11">
        <f>employment!D156</f>
        <v>23500</v>
      </c>
      <c r="E5" s="11">
        <f>employment!D232</f>
        <v>49100</v>
      </c>
      <c r="F5" s="11">
        <f>employment!D309</f>
        <v>11200</v>
      </c>
      <c r="G5" s="11">
        <f>employment!D385</f>
        <v>39400</v>
      </c>
      <c r="H5" s="11">
        <f t="shared" si="0"/>
        <v>177400</v>
      </c>
      <c r="L5" s="10" t="s">
        <v>7</v>
      </c>
      <c r="M5" s="11">
        <f>employment!D42</f>
        <v>7200</v>
      </c>
      <c r="N5" s="11">
        <f>employment!D118</f>
        <v>38000</v>
      </c>
      <c r="O5" s="11">
        <f>employment!D194</f>
        <v>17400</v>
      </c>
      <c r="P5" s="11">
        <f>employment!D270</f>
        <v>71400</v>
      </c>
      <c r="Q5" s="11">
        <f>employment!D347</f>
        <v>27500</v>
      </c>
      <c r="R5" s="11">
        <f>employment!D423</f>
        <v>70200</v>
      </c>
      <c r="S5" s="11">
        <f t="shared" si="1"/>
        <v>231700</v>
      </c>
    </row>
    <row r="6" spans="1:19" x14ac:dyDescent="0.2">
      <c r="A6" s="10" t="s">
        <v>8</v>
      </c>
      <c r="B6" s="11">
        <f>employment!D5</f>
        <v>16900</v>
      </c>
      <c r="C6" s="11">
        <f>employment!D81</f>
        <v>237000</v>
      </c>
      <c r="D6" s="11">
        <f>employment!D157</f>
        <v>76700</v>
      </c>
      <c r="E6" s="11">
        <f>employment!D233</f>
        <v>204600</v>
      </c>
      <c r="F6" s="11">
        <f>employment!D310</f>
        <v>77900</v>
      </c>
      <c r="G6" s="11">
        <f>employment!D386</f>
        <v>193500</v>
      </c>
      <c r="H6" s="11">
        <f t="shared" si="0"/>
        <v>806600</v>
      </c>
      <c r="L6" s="10" t="s">
        <v>8</v>
      </c>
      <c r="M6" s="11">
        <f>employment!D43</f>
        <v>11400</v>
      </c>
      <c r="N6" s="11">
        <f>employment!D119</f>
        <v>185300</v>
      </c>
      <c r="O6" s="11">
        <f>employment!D195</f>
        <v>55600</v>
      </c>
      <c r="P6" s="11">
        <f>employment!D271</f>
        <v>242100</v>
      </c>
      <c r="Q6" s="11">
        <f>employment!D348</f>
        <v>124700</v>
      </c>
      <c r="R6" s="11">
        <f>employment!D424</f>
        <v>278000</v>
      </c>
      <c r="S6" s="11">
        <f t="shared" si="1"/>
        <v>897100</v>
      </c>
    </row>
    <row r="7" spans="1:19" x14ac:dyDescent="0.2">
      <c r="A7" s="10" t="s">
        <v>9</v>
      </c>
      <c r="B7" s="11">
        <f>employment!D6</f>
        <v>16900</v>
      </c>
      <c r="C7" s="11">
        <f>employment!D82</f>
        <v>66500</v>
      </c>
      <c r="D7" s="11">
        <f>employment!D158</f>
        <v>20800</v>
      </c>
      <c r="E7" s="11">
        <f>employment!D234</f>
        <v>48400</v>
      </c>
      <c r="F7" s="11">
        <f>employment!D311</f>
        <v>17700</v>
      </c>
      <c r="G7" s="11">
        <f>employment!D387</f>
        <v>52200</v>
      </c>
      <c r="H7" s="11">
        <f t="shared" si="0"/>
        <v>222500</v>
      </c>
      <c r="L7" s="10" t="s">
        <v>9</v>
      </c>
      <c r="M7" s="11">
        <f>employment!D44</f>
        <v>9100</v>
      </c>
      <c r="N7" s="11">
        <f>employment!D120</f>
        <v>68200</v>
      </c>
      <c r="O7" s="11">
        <f>employment!D196</f>
        <v>17800</v>
      </c>
      <c r="P7" s="11">
        <f>employment!D272</f>
        <v>65600</v>
      </c>
      <c r="Q7" s="11">
        <f>employment!D349</f>
        <v>28099.999999999996</v>
      </c>
      <c r="R7" s="11">
        <f>employment!D425</f>
        <v>75800.000000000015</v>
      </c>
      <c r="S7" s="11">
        <f t="shared" si="1"/>
        <v>264600</v>
      </c>
    </row>
    <row r="8" spans="1:19" x14ac:dyDescent="0.2">
      <c r="A8" s="10" t="s">
        <v>10</v>
      </c>
      <c r="B8" s="11">
        <f>employment!D7</f>
        <v>11000</v>
      </c>
      <c r="C8" s="11">
        <f>employment!D83</f>
        <v>34300</v>
      </c>
      <c r="D8" s="11">
        <f>employment!D159</f>
        <v>9300</v>
      </c>
      <c r="E8" s="11">
        <f>employment!D235</f>
        <v>21900</v>
      </c>
      <c r="F8" s="11">
        <f>employment!D312</f>
        <v>8100</v>
      </c>
      <c r="G8" s="11">
        <f>employment!D388</f>
        <v>17700</v>
      </c>
      <c r="H8" s="11">
        <f t="shared" si="0"/>
        <v>102300</v>
      </c>
      <c r="L8" s="10" t="s">
        <v>10</v>
      </c>
      <c r="M8" s="11">
        <f>employment!D45</f>
        <v>6900</v>
      </c>
      <c r="N8" s="11">
        <f>employment!D121</f>
        <v>30100</v>
      </c>
      <c r="O8" s="11">
        <f>employment!D197</f>
        <v>11700</v>
      </c>
      <c r="P8" s="11">
        <f>employment!D273</f>
        <v>29900.000000000004</v>
      </c>
      <c r="Q8" s="11">
        <f>employment!D350</f>
        <v>11800</v>
      </c>
      <c r="R8" s="11">
        <f>employment!D426</f>
        <v>34800</v>
      </c>
      <c r="S8" s="11">
        <f t="shared" si="1"/>
        <v>125200</v>
      </c>
    </row>
    <row r="9" spans="1:19" x14ac:dyDescent="0.2">
      <c r="A9" s="10" t="s">
        <v>11</v>
      </c>
      <c r="B9" s="11">
        <f>employment!D8</f>
        <v>36300</v>
      </c>
      <c r="C9" s="11">
        <f>employment!D84</f>
        <v>115600</v>
      </c>
      <c r="D9" s="11">
        <f>employment!D160</f>
        <v>35400</v>
      </c>
      <c r="E9" s="11">
        <f>employment!D236</f>
        <v>116100</v>
      </c>
      <c r="F9" s="11">
        <f>employment!D313</f>
        <v>39700</v>
      </c>
      <c r="G9" s="11">
        <f>employment!D389</f>
        <v>107600</v>
      </c>
      <c r="H9" s="11">
        <f t="shared" si="0"/>
        <v>450700</v>
      </c>
      <c r="L9" s="10" t="s">
        <v>11</v>
      </c>
      <c r="M9" s="11">
        <f>employment!D46</f>
        <v>31200</v>
      </c>
      <c r="N9" s="11">
        <f>employment!D122</f>
        <v>98500</v>
      </c>
      <c r="O9" s="11">
        <f>employment!D198</f>
        <v>37100</v>
      </c>
      <c r="P9" s="11">
        <f>employment!D274</f>
        <v>150700</v>
      </c>
      <c r="Q9" s="11">
        <f>employment!D351</f>
        <v>59599.999999999993</v>
      </c>
      <c r="R9" s="11">
        <f>employment!D427</f>
        <v>164200</v>
      </c>
      <c r="S9" s="11">
        <f t="shared" si="1"/>
        <v>541300</v>
      </c>
    </row>
    <row r="10" spans="1:19" x14ac:dyDescent="0.2">
      <c r="A10" s="10" t="s">
        <v>12</v>
      </c>
      <c r="B10" s="11">
        <f>employment!D9</f>
        <v>19800</v>
      </c>
      <c r="C10" s="11">
        <f>employment!D85</f>
        <v>345200</v>
      </c>
      <c r="D10" s="11">
        <f>employment!D161</f>
        <v>185200</v>
      </c>
      <c r="E10" s="11">
        <f>employment!D237</f>
        <v>563000</v>
      </c>
      <c r="F10" s="11">
        <f>employment!D314</f>
        <v>352600</v>
      </c>
      <c r="G10" s="11">
        <f>employment!D390</f>
        <v>591300</v>
      </c>
      <c r="H10" s="11">
        <f t="shared" si="0"/>
        <v>2057100</v>
      </c>
      <c r="L10" s="10" t="s">
        <v>12</v>
      </c>
      <c r="M10" s="11">
        <f>employment!D47</f>
        <v>8000</v>
      </c>
      <c r="N10" s="11">
        <f>employment!D123</f>
        <v>267800</v>
      </c>
      <c r="O10" s="11">
        <f>employment!D199</f>
        <v>137100</v>
      </c>
      <c r="P10" s="11">
        <f>employment!D275</f>
        <v>899300</v>
      </c>
      <c r="Q10" s="11">
        <f>employment!D352</f>
        <v>557500</v>
      </c>
      <c r="R10" s="11">
        <f>employment!D428</f>
        <v>914099.99999999988</v>
      </c>
      <c r="S10" s="11">
        <f t="shared" si="1"/>
        <v>2783800</v>
      </c>
    </row>
    <row r="11" spans="1:19" x14ac:dyDescent="0.2">
      <c r="A11" s="10" t="s">
        <v>13</v>
      </c>
      <c r="B11" s="11">
        <f>employment!D10</f>
        <v>91300</v>
      </c>
      <c r="C11" s="11">
        <f>employment!D86</f>
        <v>159400</v>
      </c>
      <c r="D11" s="11">
        <f>employment!D162</f>
        <v>93300</v>
      </c>
      <c r="E11" s="11">
        <f>employment!D238</f>
        <v>221500</v>
      </c>
      <c r="F11" s="11">
        <f>employment!D315</f>
        <v>64300</v>
      </c>
      <c r="G11" s="11">
        <f>employment!D391</f>
        <v>221200</v>
      </c>
      <c r="H11" s="11">
        <f t="shared" si="0"/>
        <v>851000</v>
      </c>
      <c r="L11" s="10" t="s">
        <v>13</v>
      </c>
      <c r="M11" s="11">
        <f>employment!D48</f>
        <v>68100</v>
      </c>
      <c r="N11" s="11">
        <f>employment!D124</f>
        <v>149900</v>
      </c>
      <c r="O11" s="11">
        <f>employment!D200</f>
        <v>78300</v>
      </c>
      <c r="P11" s="11">
        <f>employment!D276</f>
        <v>269200</v>
      </c>
      <c r="Q11" s="11">
        <f>employment!D353</f>
        <v>88800</v>
      </c>
      <c r="R11" s="11">
        <f>employment!D429</f>
        <v>292400</v>
      </c>
      <c r="S11" s="11">
        <f t="shared" si="1"/>
        <v>946700</v>
      </c>
    </row>
    <row r="12" spans="1:19" x14ac:dyDescent="0.2">
      <c r="A12" s="10" t="s">
        <v>14</v>
      </c>
      <c r="B12" s="11">
        <f>employment!D11</f>
        <v>64900.000000000007</v>
      </c>
      <c r="C12" s="11">
        <f>employment!D87</f>
        <v>118900</v>
      </c>
      <c r="D12" s="11">
        <f>employment!D163</f>
        <v>82000</v>
      </c>
      <c r="E12" s="11">
        <f>employment!D239</f>
        <v>150100</v>
      </c>
      <c r="F12" s="11">
        <f>employment!D316</f>
        <v>32100</v>
      </c>
      <c r="G12" s="11">
        <f>employment!D392</f>
        <v>130800.00000000001</v>
      </c>
      <c r="H12" s="11">
        <f t="shared" si="0"/>
        <v>578800</v>
      </c>
      <c r="L12" s="10" t="s">
        <v>14</v>
      </c>
      <c r="M12" s="11">
        <f>employment!D49</f>
        <v>51100</v>
      </c>
      <c r="N12" s="11">
        <f>employment!D125</f>
        <v>121200</v>
      </c>
      <c r="O12" s="11">
        <f>employment!D201</f>
        <v>62100</v>
      </c>
      <c r="P12" s="11">
        <f>employment!D277</f>
        <v>206500</v>
      </c>
      <c r="Q12" s="11">
        <f>employment!D354</f>
        <v>66700</v>
      </c>
      <c r="R12" s="11">
        <f>employment!D430</f>
        <v>215200</v>
      </c>
      <c r="S12" s="11">
        <f t="shared" si="1"/>
        <v>722800</v>
      </c>
    </row>
    <row r="13" spans="1:19" x14ac:dyDescent="0.2">
      <c r="A13" s="10" t="s">
        <v>15</v>
      </c>
      <c r="B13" s="11">
        <f>employment!D12</f>
        <v>46600</v>
      </c>
      <c r="C13" s="11">
        <f>employment!D88</f>
        <v>35600</v>
      </c>
      <c r="D13" s="11">
        <f>employment!D164</f>
        <v>45400</v>
      </c>
      <c r="E13" s="11">
        <f>employment!D240</f>
        <v>87700</v>
      </c>
      <c r="F13" s="11">
        <f>employment!D317</f>
        <v>17200</v>
      </c>
      <c r="G13" s="11">
        <f>employment!D393</f>
        <v>79800</v>
      </c>
      <c r="H13" s="11">
        <f t="shared" si="0"/>
        <v>312300</v>
      </c>
      <c r="L13" s="10" t="s">
        <v>15</v>
      </c>
      <c r="M13" s="11">
        <f>employment!D50</f>
        <v>37300</v>
      </c>
      <c r="N13" s="11">
        <f>employment!D126</f>
        <v>38600</v>
      </c>
      <c r="O13" s="11">
        <f>employment!D202</f>
        <v>29000</v>
      </c>
      <c r="P13" s="11">
        <f>employment!D278</f>
        <v>85500</v>
      </c>
      <c r="Q13" s="11">
        <f>employment!D355</f>
        <v>24800</v>
      </c>
      <c r="R13" s="11">
        <f>employment!D431</f>
        <v>122500</v>
      </c>
      <c r="S13" s="11">
        <f t="shared" si="1"/>
        <v>337700</v>
      </c>
    </row>
    <row r="14" spans="1:19" x14ac:dyDescent="0.2">
      <c r="A14" s="10" t="s">
        <v>16</v>
      </c>
      <c r="B14" s="11">
        <f>employment!D13</f>
        <v>84500</v>
      </c>
      <c r="C14" s="11">
        <f>employment!D89</f>
        <v>725800</v>
      </c>
      <c r="D14" s="11">
        <f>employment!D165</f>
        <v>242900</v>
      </c>
      <c r="E14" s="11">
        <f>employment!D241</f>
        <v>704400</v>
      </c>
      <c r="F14" s="11">
        <f>employment!D318</f>
        <v>271700</v>
      </c>
      <c r="G14" s="11">
        <f>employment!D394</f>
        <v>573100</v>
      </c>
      <c r="H14" s="11">
        <f t="shared" si="0"/>
        <v>2602400</v>
      </c>
      <c r="L14" s="10" t="s">
        <v>16</v>
      </c>
      <c r="M14" s="11">
        <f>employment!D51</f>
        <v>54500</v>
      </c>
      <c r="N14" s="11">
        <f>employment!D127</f>
        <v>560000</v>
      </c>
      <c r="O14" s="11">
        <f>employment!D203</f>
        <v>196300</v>
      </c>
      <c r="P14" s="11">
        <f>employment!D279</f>
        <v>938900.00000000012</v>
      </c>
      <c r="Q14" s="11">
        <f>employment!D356</f>
        <v>410299.99999999994</v>
      </c>
      <c r="R14" s="11">
        <f>employment!D432</f>
        <v>840200</v>
      </c>
      <c r="S14" s="11">
        <f t="shared" si="1"/>
        <v>3000200</v>
      </c>
    </row>
    <row r="15" spans="1:19" x14ac:dyDescent="0.2">
      <c r="A15" s="10" t="s">
        <v>17</v>
      </c>
      <c r="B15" s="11">
        <f>employment!D14</f>
        <v>75100</v>
      </c>
      <c r="C15" s="11">
        <f>employment!D90</f>
        <v>372600</v>
      </c>
      <c r="D15" s="11">
        <f>employment!D166</f>
        <v>158300</v>
      </c>
      <c r="E15" s="11">
        <f>employment!D242</f>
        <v>449900</v>
      </c>
      <c r="F15" s="11">
        <f>employment!D319</f>
        <v>136700</v>
      </c>
      <c r="G15" s="11">
        <f>employment!D395</f>
        <v>313800</v>
      </c>
      <c r="H15" s="11">
        <f t="shared" si="0"/>
        <v>1506400</v>
      </c>
      <c r="L15" s="10" t="s">
        <v>17</v>
      </c>
      <c r="M15" s="11">
        <f>employment!D52</f>
        <v>61000</v>
      </c>
      <c r="N15" s="11">
        <f>employment!D128</f>
        <v>311600</v>
      </c>
      <c r="O15" s="11">
        <f>employment!D204</f>
        <v>122100</v>
      </c>
      <c r="P15" s="11">
        <f>employment!D280</f>
        <v>589800</v>
      </c>
      <c r="Q15" s="11">
        <f>employment!D357</f>
        <v>204900</v>
      </c>
      <c r="R15" s="11">
        <f>employment!D433</f>
        <v>502400.00000000006</v>
      </c>
      <c r="S15" s="11">
        <f t="shared" si="1"/>
        <v>1791800</v>
      </c>
    </row>
    <row r="16" spans="1:19" x14ac:dyDescent="0.2">
      <c r="A16" s="10" t="s">
        <v>18</v>
      </c>
      <c r="B16" s="11">
        <f>employment!D15</f>
        <v>7300</v>
      </c>
      <c r="C16" s="11">
        <f>employment!D91</f>
        <v>42400</v>
      </c>
      <c r="D16" s="11">
        <f>employment!D167</f>
        <v>42600</v>
      </c>
      <c r="E16" s="11">
        <f>employment!D243</f>
        <v>157900</v>
      </c>
      <c r="F16" s="11">
        <f>employment!D320</f>
        <v>27000</v>
      </c>
      <c r="G16" s="11">
        <f>employment!D396</f>
        <v>69200</v>
      </c>
      <c r="H16" s="11">
        <f t="shared" si="0"/>
        <v>346400</v>
      </c>
      <c r="L16" s="10" t="s">
        <v>18</v>
      </c>
      <c r="M16" s="11">
        <f>employment!D53</f>
        <v>5000</v>
      </c>
      <c r="N16" s="11">
        <f>employment!D129</f>
        <v>33400</v>
      </c>
      <c r="O16" s="11">
        <f>employment!D205</f>
        <v>44300</v>
      </c>
      <c r="P16" s="11">
        <f>employment!D281</f>
        <v>196799.99999999997</v>
      </c>
      <c r="Q16" s="11">
        <f>employment!D358</f>
        <v>60900</v>
      </c>
      <c r="R16" s="11">
        <f>employment!D434</f>
        <v>126100</v>
      </c>
      <c r="S16" s="11">
        <f t="shared" si="1"/>
        <v>466500</v>
      </c>
    </row>
    <row r="17" spans="1:19" x14ac:dyDescent="0.2">
      <c r="A17" s="10" t="s">
        <v>19</v>
      </c>
      <c r="B17" s="11">
        <f>employment!D16</f>
        <v>242500</v>
      </c>
      <c r="C17" s="11">
        <f>employment!D92</f>
        <v>285000</v>
      </c>
      <c r="D17" s="11">
        <f>employment!D168</f>
        <v>255500</v>
      </c>
      <c r="E17" s="11">
        <f>employment!D244</f>
        <v>635600</v>
      </c>
      <c r="F17" s="11">
        <f>employment!D321</f>
        <v>169900</v>
      </c>
      <c r="G17" s="11">
        <f>employment!D397</f>
        <v>556700</v>
      </c>
      <c r="H17" s="11">
        <f t="shared" si="0"/>
        <v>2145200</v>
      </c>
      <c r="L17" s="10" t="s">
        <v>19</v>
      </c>
      <c r="M17" s="11">
        <f>employment!D54</f>
        <v>200400</v>
      </c>
      <c r="N17" s="11">
        <f>employment!D130</f>
        <v>237700</v>
      </c>
      <c r="O17" s="11">
        <f>employment!D206</f>
        <v>156900</v>
      </c>
      <c r="P17" s="11">
        <f>employment!D282</f>
        <v>876000</v>
      </c>
      <c r="Q17" s="11">
        <f>employment!D359</f>
        <v>299500</v>
      </c>
      <c r="R17" s="11">
        <f>employment!D435</f>
        <v>873100</v>
      </c>
      <c r="S17" s="11">
        <f t="shared" si="1"/>
        <v>2643600</v>
      </c>
    </row>
    <row r="18" spans="1:19" x14ac:dyDescent="0.2">
      <c r="A18" s="10" t="s">
        <v>20</v>
      </c>
      <c r="B18" s="11">
        <f>employment!D17</f>
        <v>59600</v>
      </c>
      <c r="C18" s="11">
        <f>employment!D93</f>
        <v>70300</v>
      </c>
      <c r="D18" s="11">
        <f>employment!D169</f>
        <v>43000</v>
      </c>
      <c r="E18" s="11">
        <f>employment!D245</f>
        <v>124400</v>
      </c>
      <c r="F18" s="11">
        <f>employment!D322</f>
        <v>26300</v>
      </c>
      <c r="G18" s="11">
        <f>employment!D398</f>
        <v>82100</v>
      </c>
      <c r="H18" s="11">
        <f t="shared" si="0"/>
        <v>405700</v>
      </c>
      <c r="L18" s="10" t="s">
        <v>20</v>
      </c>
      <c r="M18" s="11">
        <f>employment!D55</f>
        <v>64400.000000000007</v>
      </c>
      <c r="N18" s="11">
        <f>employment!D131</f>
        <v>70300</v>
      </c>
      <c r="O18" s="11">
        <f>employment!D207</f>
        <v>33500</v>
      </c>
      <c r="P18" s="11">
        <f>employment!D283</f>
        <v>153300</v>
      </c>
      <c r="Q18" s="11">
        <f>employment!D360</f>
        <v>61200</v>
      </c>
      <c r="R18" s="11">
        <f>employment!D436</f>
        <v>141000</v>
      </c>
      <c r="S18" s="11">
        <f t="shared" si="1"/>
        <v>523700</v>
      </c>
    </row>
    <row r="19" spans="1:19" x14ac:dyDescent="0.2">
      <c r="A19" s="10" t="s">
        <v>21</v>
      </c>
      <c r="B19" s="11">
        <f>employment!D18</f>
        <v>0</v>
      </c>
      <c r="C19" s="11">
        <f>employment!D94</f>
        <v>0</v>
      </c>
      <c r="D19" s="11">
        <f>employment!D170</f>
        <v>0</v>
      </c>
      <c r="E19" s="11">
        <f>employment!D246</f>
        <v>7100</v>
      </c>
      <c r="F19" s="11">
        <f>employment!D323</f>
        <v>0</v>
      </c>
      <c r="G19" s="11">
        <f>employment!D399</f>
        <v>10600</v>
      </c>
      <c r="H19" s="11">
        <f t="shared" si="0"/>
        <v>17700</v>
      </c>
      <c r="L19" s="10" t="s">
        <v>21</v>
      </c>
      <c r="M19" s="11">
        <f>employment!D56</f>
        <v>0</v>
      </c>
      <c r="N19" s="11">
        <f>employment!D132</f>
        <v>0</v>
      </c>
      <c r="O19" s="11">
        <f>employment!D208</f>
        <v>1100</v>
      </c>
      <c r="P19" s="11">
        <f>employment!D284</f>
        <v>7300</v>
      </c>
      <c r="Q19" s="11">
        <f>employment!D361</f>
        <v>1900</v>
      </c>
      <c r="R19" s="11">
        <f>employment!D437</f>
        <v>12800</v>
      </c>
      <c r="S19" s="11">
        <f t="shared" si="1"/>
        <v>23100</v>
      </c>
    </row>
    <row r="20" spans="1:19" x14ac:dyDescent="0.2">
      <c r="A20" s="10" t="s">
        <v>22</v>
      </c>
      <c r="B20" s="11">
        <f>employment!D19</f>
        <v>0</v>
      </c>
      <c r="C20" s="11">
        <f>employment!D95</f>
        <v>0</v>
      </c>
      <c r="D20" s="11">
        <f>employment!D171</f>
        <v>0</v>
      </c>
      <c r="E20" s="11">
        <f>employment!D247</f>
        <v>5300</v>
      </c>
      <c r="F20" s="11">
        <f>employment!D324</f>
        <v>0</v>
      </c>
      <c r="G20" s="11">
        <f>employment!D400</f>
        <v>10500</v>
      </c>
      <c r="H20" s="11">
        <f t="shared" si="0"/>
        <v>15800</v>
      </c>
      <c r="L20" s="10" t="s">
        <v>22</v>
      </c>
      <c r="M20" s="11">
        <f>employment!D57</f>
        <v>0</v>
      </c>
      <c r="N20" s="11">
        <f>employment!D133</f>
        <v>0</v>
      </c>
      <c r="O20" s="11">
        <f>employment!D209</f>
        <v>1700</v>
      </c>
      <c r="P20" s="11">
        <f>employment!D285</f>
        <v>5800</v>
      </c>
      <c r="Q20" s="11">
        <f>employment!D362</f>
        <v>2900</v>
      </c>
      <c r="R20" s="11">
        <f>employment!D438</f>
        <v>14200.000000000002</v>
      </c>
      <c r="S20" s="11">
        <f t="shared" si="1"/>
        <v>24600</v>
      </c>
    </row>
    <row r="21" spans="1:19" x14ac:dyDescent="0.2">
      <c r="A21" s="10" t="s">
        <v>23</v>
      </c>
      <c r="B21" s="11">
        <f>employment!D20</f>
        <v>39000</v>
      </c>
      <c r="C21" s="11">
        <f>employment!D96</f>
        <v>44600</v>
      </c>
      <c r="D21" s="11">
        <f>employment!D172</f>
        <v>79200</v>
      </c>
      <c r="E21" s="11">
        <f>employment!D248</f>
        <v>255100</v>
      </c>
      <c r="F21" s="11">
        <f>employment!D325</f>
        <v>48500</v>
      </c>
      <c r="G21" s="11">
        <f>employment!D401</f>
        <v>156500</v>
      </c>
      <c r="H21" s="11">
        <f t="shared" si="0"/>
        <v>622900</v>
      </c>
      <c r="L21" s="10" t="s">
        <v>23</v>
      </c>
      <c r="M21" s="11">
        <f>employment!D58</f>
        <v>20200</v>
      </c>
      <c r="N21" s="11">
        <f>employment!D134</f>
        <v>37600</v>
      </c>
      <c r="O21" s="11">
        <f>employment!D210</f>
        <v>43200</v>
      </c>
      <c r="P21" s="11">
        <f>employment!D286</f>
        <v>329300</v>
      </c>
      <c r="Q21" s="11">
        <f>employment!D363</f>
        <v>86100.000000000015</v>
      </c>
      <c r="R21" s="11">
        <f>employment!D439</f>
        <v>218299.99999999997</v>
      </c>
      <c r="S21" s="11">
        <f t="shared" si="1"/>
        <v>734700</v>
      </c>
    </row>
  </sheetData>
  <mergeCells count="2">
    <mergeCell ref="A1:H1"/>
    <mergeCell ref="L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1959-B2F8-D44A-B18D-06D51439C382}">
  <dimension ref="A1:P21"/>
  <sheetViews>
    <sheetView workbookViewId="0">
      <selection activeCell="J29" sqref="J29"/>
    </sheetView>
  </sheetViews>
  <sheetFormatPr baseColWidth="10" defaultRowHeight="16" x14ac:dyDescent="0.2"/>
  <cols>
    <col min="1" max="1" width="24.5" bestFit="1" customWidth="1"/>
    <col min="10" max="10" width="24.5" bestFit="1" customWidth="1"/>
  </cols>
  <sheetData>
    <row r="1" spans="1:16" s="5" customFormat="1" x14ac:dyDescent="0.2">
      <c r="A1" s="17">
        <v>1999</v>
      </c>
      <c r="B1" s="17"/>
      <c r="C1" s="17"/>
      <c r="D1" s="17"/>
      <c r="E1" s="17"/>
      <c r="F1" s="17"/>
      <c r="G1" s="17"/>
      <c r="J1" s="17">
        <v>2012</v>
      </c>
      <c r="K1" s="17"/>
      <c r="L1" s="17"/>
      <c r="M1" s="17"/>
      <c r="N1" s="17"/>
      <c r="O1" s="17"/>
      <c r="P1" s="17"/>
    </row>
    <row r="2" spans="1:16" s="5" customFormat="1" x14ac:dyDescent="0.2">
      <c r="A2" s="10"/>
      <c r="B2" s="10" t="s">
        <v>4</v>
      </c>
      <c r="C2" s="10" t="s">
        <v>24</v>
      </c>
      <c r="D2" s="10" t="s">
        <v>25</v>
      </c>
      <c r="E2" s="10" t="s">
        <v>26</v>
      </c>
      <c r="F2" s="10" t="s">
        <v>27</v>
      </c>
      <c r="G2" s="10" t="s">
        <v>28</v>
      </c>
      <c r="J2" s="10"/>
      <c r="K2" s="10" t="s">
        <v>4</v>
      </c>
      <c r="L2" s="10" t="s">
        <v>24</v>
      </c>
      <c r="M2" s="10" t="s">
        <v>25</v>
      </c>
      <c r="N2" s="10" t="s">
        <v>26</v>
      </c>
      <c r="O2" s="10" t="s">
        <v>27</v>
      </c>
      <c r="P2" s="10" t="s">
        <v>28</v>
      </c>
    </row>
    <row r="3" spans="1:16" x14ac:dyDescent="0.2">
      <c r="A3" s="10" t="s">
        <v>5</v>
      </c>
      <c r="B3" s="16">
        <f>L_r!B3/L_r!$H3</f>
        <v>0.17784531544749529</v>
      </c>
      <c r="C3" s="16">
        <f>L_r!C3/L_r!$H3</f>
        <v>0.18518130370991406</v>
      </c>
      <c r="D3" s="16">
        <f>L_r!D3/L_r!$H3</f>
        <v>0.11245022007964788</v>
      </c>
      <c r="E3" s="16">
        <f>L_r!E3/L_r!$H3</f>
        <v>0.2455460071263886</v>
      </c>
      <c r="F3" s="16">
        <f>L_r!F3/L_r!$H3</f>
        <v>6.3508698386082585E-2</v>
      </c>
      <c r="G3" s="16">
        <f>L_r!G3/L_r!$H3</f>
        <v>0.21546845525047159</v>
      </c>
      <c r="J3" s="10" t="s">
        <v>5</v>
      </c>
      <c r="K3" s="16">
        <f>L_r!M3/L_r!$S3</f>
        <v>7.4753718369712188E-2</v>
      </c>
      <c r="L3" s="16">
        <f>L_r!N3/L_r!$S3</f>
        <v>0.15868263473053892</v>
      </c>
      <c r="M3" s="16">
        <f>L_r!O3/L_r!$S3</f>
        <v>7.60092717790226E-2</v>
      </c>
      <c r="N3" s="16">
        <f>L_r!P3/L_r!$S3</f>
        <v>0.29640718562874252</v>
      </c>
      <c r="O3" s="16">
        <f>L_r!Q3/L_r!$S3</f>
        <v>0.10054085377631834</v>
      </c>
      <c r="P3" s="16">
        <f>L_r!R3/L_r!$S3</f>
        <v>0.29360633571566547</v>
      </c>
    </row>
    <row r="4" spans="1:16" x14ac:dyDescent="0.2">
      <c r="A4" s="10" t="s">
        <v>6</v>
      </c>
      <c r="B4" s="16">
        <f>L_r!B4/L_r!$H4</f>
        <v>9.2974588938714506E-2</v>
      </c>
      <c r="C4" s="16">
        <f>L_r!C4/L_r!$H4</f>
        <v>0.20209267563527653</v>
      </c>
      <c r="D4" s="16">
        <f>L_r!D4/L_r!$H4</f>
        <v>0.10852017937219731</v>
      </c>
      <c r="E4" s="16">
        <f>L_r!E4/L_r!$H4</f>
        <v>0.273542600896861</v>
      </c>
      <c r="F4" s="16">
        <f>L_r!F4/L_r!$H4</f>
        <v>7.0553064275037367E-2</v>
      </c>
      <c r="G4" s="16">
        <f>L_r!G4/L_r!$H4</f>
        <v>0.25231689088191328</v>
      </c>
      <c r="J4" s="10" t="s">
        <v>6</v>
      </c>
      <c r="K4" s="16">
        <f>L_r!M4/L_r!$S4</f>
        <v>4.3466807165437306E-2</v>
      </c>
      <c r="L4" s="16">
        <f>L_r!N4/L_r!$S4</f>
        <v>0.14963119072708114</v>
      </c>
      <c r="M4" s="16">
        <f>L_r!O4/L_r!$S4</f>
        <v>8.0084299262381448E-2</v>
      </c>
      <c r="N4" s="16">
        <f>L_r!P4/L_r!$S4</f>
        <v>0.30321390937829296</v>
      </c>
      <c r="O4" s="16">
        <f>L_r!Q4/L_r!$S4</f>
        <v>0.11222339304531086</v>
      </c>
      <c r="P4" s="16">
        <f>L_r!R4/L_r!$S4</f>
        <v>0.31138040042149628</v>
      </c>
    </row>
    <row r="5" spans="1:16" x14ac:dyDescent="0.2">
      <c r="A5" s="10" t="s">
        <v>7</v>
      </c>
      <c r="B5" s="16">
        <f>L_r!B5/L_r!$H5</f>
        <v>8.2299887260428417E-2</v>
      </c>
      <c r="C5" s="16">
        <f>L_r!C5/L_r!$H5</f>
        <v>0.22322435174746336</v>
      </c>
      <c r="D5" s="16">
        <f>L_r!D5/L_r!$H5</f>
        <v>0.13246899661781286</v>
      </c>
      <c r="E5" s="16">
        <f>L_r!E5/L_r!$H5</f>
        <v>0.27677564825253664</v>
      </c>
      <c r="F5" s="16">
        <f>L_r!F5/L_r!$H5</f>
        <v>6.3134160090191654E-2</v>
      </c>
      <c r="G5" s="16">
        <f>L_r!G5/L_r!$H5</f>
        <v>0.22209695603156707</v>
      </c>
      <c r="J5" s="10" t="s">
        <v>7</v>
      </c>
      <c r="K5" s="16">
        <f>L_r!M5/L_r!$S5</f>
        <v>3.1074665515753129E-2</v>
      </c>
      <c r="L5" s="16">
        <f>L_r!N5/L_r!$S5</f>
        <v>0.1640051791109193</v>
      </c>
      <c r="M5" s="16">
        <f>L_r!O5/L_r!$S5</f>
        <v>7.5097108329736734E-2</v>
      </c>
      <c r="N5" s="16">
        <f>L_r!P5/L_r!$S5</f>
        <v>0.30815709969788518</v>
      </c>
      <c r="O5" s="16">
        <f>L_r!Q5/L_r!$S5</f>
        <v>0.11868795856711264</v>
      </c>
      <c r="P5" s="16">
        <f>L_r!R5/L_r!$S5</f>
        <v>0.302977988778593</v>
      </c>
    </row>
    <row r="6" spans="1:16" x14ac:dyDescent="0.2">
      <c r="A6" s="10" t="s">
        <v>8</v>
      </c>
      <c r="B6" s="16">
        <f>L_r!B6/L_r!$H6</f>
        <v>2.0952144805355816E-2</v>
      </c>
      <c r="C6" s="16">
        <f>L_r!C6/L_r!$H6</f>
        <v>0.29382593602777091</v>
      </c>
      <c r="D6" s="16">
        <f>L_r!D6/L_r!$H6</f>
        <v>9.5090503347384087E-2</v>
      </c>
      <c r="E6" s="16">
        <f>L_r!E6/L_r!$H6</f>
        <v>0.25365732705182248</v>
      </c>
      <c r="F6" s="16">
        <f>L_r!F6/L_r!$H6</f>
        <v>9.6578229605752547E-2</v>
      </c>
      <c r="G6" s="16">
        <f>L_r!G6/L_r!$H6</f>
        <v>0.23989585916191422</v>
      </c>
      <c r="J6" s="10" t="s">
        <v>8</v>
      </c>
      <c r="K6" s="16">
        <f>L_r!M6/L_r!$S6</f>
        <v>1.2707613421023297E-2</v>
      </c>
      <c r="L6" s="16">
        <f>L_r!N6/L_r!$S6</f>
        <v>0.206554453238212</v>
      </c>
      <c r="M6" s="16">
        <f>L_r!O6/L_r!$S6</f>
        <v>6.1977483000780292E-2</v>
      </c>
      <c r="N6" s="16">
        <f>L_r!P6/L_r!$S6</f>
        <v>0.26986957975699477</v>
      </c>
      <c r="O6" s="16">
        <f>L_r!Q6/L_r!$S6</f>
        <v>0.13900345557908816</v>
      </c>
      <c r="P6" s="16">
        <f>L_r!R6/L_r!$S6</f>
        <v>0.30988741500390143</v>
      </c>
    </row>
    <row r="7" spans="1:16" x14ac:dyDescent="0.2">
      <c r="A7" s="10" t="s">
        <v>9</v>
      </c>
      <c r="B7" s="16">
        <f>L_r!B7/L_r!$H7</f>
        <v>7.5955056179775285E-2</v>
      </c>
      <c r="C7" s="16">
        <f>L_r!C7/L_r!$H7</f>
        <v>0.29887640449438202</v>
      </c>
      <c r="D7" s="16">
        <f>L_r!D7/L_r!$H7</f>
        <v>9.3483146067415729E-2</v>
      </c>
      <c r="E7" s="16">
        <f>L_r!E7/L_r!$H7</f>
        <v>0.21752808988764044</v>
      </c>
      <c r="F7" s="16">
        <f>L_r!F7/L_r!$H7</f>
        <v>7.9550561797752814E-2</v>
      </c>
      <c r="G7" s="16">
        <f>L_r!G7/L_r!$H7</f>
        <v>0.23460674157303371</v>
      </c>
      <c r="J7" s="10" t="s">
        <v>9</v>
      </c>
      <c r="K7" s="16">
        <f>L_r!M7/L_r!$S7</f>
        <v>3.439153439153439E-2</v>
      </c>
      <c r="L7" s="16">
        <f>L_r!N7/L_r!$S7</f>
        <v>0.25774754346182915</v>
      </c>
      <c r="M7" s="16">
        <f>L_r!O7/L_r!$S7</f>
        <v>6.7271352985638702E-2</v>
      </c>
      <c r="N7" s="16">
        <f>L_r!P7/L_r!$S7</f>
        <v>0.24792139077853365</v>
      </c>
      <c r="O7" s="16">
        <f>L_r!Q7/L_r!$S7</f>
        <v>0.10619803476946332</v>
      </c>
      <c r="P7" s="16">
        <f>L_r!R7/L_r!$S7</f>
        <v>0.28647014361300083</v>
      </c>
    </row>
    <row r="8" spans="1:16" x14ac:dyDescent="0.2">
      <c r="A8" s="10" t="s">
        <v>10</v>
      </c>
      <c r="B8" s="16">
        <f>L_r!B8/L_r!$H8</f>
        <v>0.10752688172043011</v>
      </c>
      <c r="C8" s="16">
        <f>L_r!C8/L_r!$H8</f>
        <v>0.33528836754643204</v>
      </c>
      <c r="D8" s="16">
        <f>L_r!D8/L_r!$H8</f>
        <v>9.0909090909090912E-2</v>
      </c>
      <c r="E8" s="16">
        <f>L_r!E8/L_r!$H8</f>
        <v>0.21407624633431085</v>
      </c>
      <c r="F8" s="16">
        <f>L_r!F8/L_r!$H8</f>
        <v>7.9178885630498533E-2</v>
      </c>
      <c r="G8" s="16">
        <f>L_r!G8/L_r!$H8</f>
        <v>0.17302052785923755</v>
      </c>
      <c r="J8" s="10" t="s">
        <v>10</v>
      </c>
      <c r="K8" s="16">
        <f>L_r!M8/L_r!$S8</f>
        <v>5.5111821086261982E-2</v>
      </c>
      <c r="L8" s="16">
        <f>L_r!N8/L_r!$S8</f>
        <v>0.24041533546325877</v>
      </c>
      <c r="M8" s="16">
        <f>L_r!O8/L_r!$S8</f>
        <v>9.3450479233226844E-2</v>
      </c>
      <c r="N8" s="16">
        <f>L_r!P8/L_r!$S8</f>
        <v>0.23881789137380194</v>
      </c>
      <c r="O8" s="16">
        <f>L_r!Q8/L_r!$S8</f>
        <v>9.4249201277955275E-2</v>
      </c>
      <c r="P8" s="16">
        <f>L_r!R8/L_r!$S8</f>
        <v>0.27795527156549521</v>
      </c>
    </row>
    <row r="9" spans="1:16" x14ac:dyDescent="0.2">
      <c r="A9" s="10" t="s">
        <v>11</v>
      </c>
      <c r="B9" s="16">
        <f>L_r!B9/L_r!$H9</f>
        <v>8.0541380075438207E-2</v>
      </c>
      <c r="C9" s="16">
        <f>L_r!C9/L_r!$H9</f>
        <v>0.25648990459285553</v>
      </c>
      <c r="D9" s="16">
        <f>L_r!D9/L_r!$H9</f>
        <v>7.8544486354559573E-2</v>
      </c>
      <c r="E9" s="16">
        <f>L_r!E9/L_r!$H9</f>
        <v>0.25759928999334369</v>
      </c>
      <c r="F9" s="16">
        <f>L_r!F9/L_r!$H9</f>
        <v>8.8085200798757493E-2</v>
      </c>
      <c r="G9" s="16">
        <f>L_r!G9/L_r!$H9</f>
        <v>0.23873973818504549</v>
      </c>
      <c r="J9" s="10" t="s">
        <v>11</v>
      </c>
      <c r="K9" s="16">
        <f>L_r!M9/L_r!$S9</f>
        <v>5.7639017180860889E-2</v>
      </c>
      <c r="L9" s="16">
        <f>L_r!N9/L_r!$S9</f>
        <v>0.18196933308701274</v>
      </c>
      <c r="M9" s="16">
        <f>L_r!O9/L_r!$S9</f>
        <v>6.8538703122113437E-2</v>
      </c>
      <c r="N9" s="16">
        <f>L_r!P9/L_r!$S9</f>
        <v>0.27840384260114537</v>
      </c>
      <c r="O9" s="16">
        <f>L_r!Q9/L_r!$S9</f>
        <v>0.11010530205061887</v>
      </c>
      <c r="P9" s="16">
        <f>L_r!R9/L_r!$S9</f>
        <v>0.30334380195824867</v>
      </c>
    </row>
    <row r="10" spans="1:16" x14ac:dyDescent="0.2">
      <c r="A10" s="10" t="s">
        <v>12</v>
      </c>
      <c r="B10" s="16">
        <f>L_r!B10/L_r!$H10</f>
        <v>9.6252005250109379E-3</v>
      </c>
      <c r="C10" s="16">
        <f>L_r!C10/L_r!$H10</f>
        <v>0.16780905157746343</v>
      </c>
      <c r="D10" s="16">
        <f>L_r!D10/L_r!$H10</f>
        <v>9.0029653395556852E-2</v>
      </c>
      <c r="E10" s="16">
        <f>L_r!E10/L_r!$H10</f>
        <v>0.27368625735258373</v>
      </c>
      <c r="F10" s="16">
        <f>L_r!F10/L_r!$H10</f>
        <v>0.1714063487433766</v>
      </c>
      <c r="G10" s="16">
        <f>L_r!G10/L_r!$H10</f>
        <v>0.28744348840600847</v>
      </c>
      <c r="J10" s="10" t="s">
        <v>12</v>
      </c>
      <c r="K10" s="16">
        <f>L_r!M10/L_r!$S10</f>
        <v>2.8737696673611611E-3</v>
      </c>
      <c r="L10" s="16">
        <f>L_r!N10/L_r!$S10</f>
        <v>9.6199439614914867E-2</v>
      </c>
      <c r="M10" s="16">
        <f>L_r!O10/L_r!$S10</f>
        <v>4.9249227674401895E-2</v>
      </c>
      <c r="N10" s="16">
        <f>L_r!P10/L_r!$S10</f>
        <v>0.32304763273223652</v>
      </c>
      <c r="O10" s="16">
        <f>L_r!Q10/L_r!$S10</f>
        <v>0.2002658236942309</v>
      </c>
      <c r="P10" s="16">
        <f>L_r!R10/L_r!$S10</f>
        <v>0.32836410661685461</v>
      </c>
    </row>
    <row r="11" spans="1:16" x14ac:dyDescent="0.2">
      <c r="A11" s="10" t="s">
        <v>13</v>
      </c>
      <c r="B11" s="16">
        <f>L_r!B11/L_r!$H11</f>
        <v>0.1072855464159812</v>
      </c>
      <c r="C11" s="16">
        <f>L_r!C11/L_r!$H11</f>
        <v>0.18730904817861341</v>
      </c>
      <c r="D11" s="16">
        <f>L_r!D11/L_r!$H11</f>
        <v>0.10963572267920094</v>
      </c>
      <c r="E11" s="16">
        <f>L_r!E11/L_r!$H11</f>
        <v>0.26028202115158638</v>
      </c>
      <c r="F11" s="16">
        <f>L_r!F11/L_r!$H11</f>
        <v>7.5558166862514695E-2</v>
      </c>
      <c r="G11" s="16">
        <f>L_r!G11/L_r!$H11</f>
        <v>0.25992949471210341</v>
      </c>
      <c r="J11" s="10" t="s">
        <v>13</v>
      </c>
      <c r="K11" s="16">
        <f>L_r!M11/L_r!$S11</f>
        <v>7.1934086827928595E-2</v>
      </c>
      <c r="L11" s="16">
        <f>L_r!N11/L_r!$S11</f>
        <v>0.15833949508820111</v>
      </c>
      <c r="M11" s="16">
        <f>L_r!O11/L_r!$S11</f>
        <v>8.270835533960072E-2</v>
      </c>
      <c r="N11" s="16">
        <f>L_r!P11/L_r!$S11</f>
        <v>0.28435618464138585</v>
      </c>
      <c r="O11" s="16">
        <f>L_r!Q11/L_r!$S11</f>
        <v>9.3799514101616147E-2</v>
      </c>
      <c r="P11" s="16">
        <f>L_r!R11/L_r!$S11</f>
        <v>0.30886236400126754</v>
      </c>
    </row>
    <row r="12" spans="1:16" x14ac:dyDescent="0.2">
      <c r="A12" s="10" t="s">
        <v>14</v>
      </c>
      <c r="B12" s="16">
        <f>L_r!B12/L_r!$H12</f>
        <v>0.11212854181064272</v>
      </c>
      <c r="C12" s="16">
        <f>L_r!C12/L_r!$H12</f>
        <v>0.20542501727712509</v>
      </c>
      <c r="D12" s="16">
        <f>L_r!D12/L_r!$H12</f>
        <v>0.14167242570836214</v>
      </c>
      <c r="E12" s="16">
        <f>L_r!E12/L_r!$H12</f>
        <v>0.25932964754664822</v>
      </c>
      <c r="F12" s="16">
        <f>L_r!F12/L_r!$H12</f>
        <v>5.5459571527297857E-2</v>
      </c>
      <c r="G12" s="16">
        <f>L_r!G12/L_r!$H12</f>
        <v>0.225984796129924</v>
      </c>
      <c r="J12" s="10" t="s">
        <v>14</v>
      </c>
      <c r="K12" s="16">
        <f>L_r!M12/L_r!$S12</f>
        <v>7.0697288323187599E-2</v>
      </c>
      <c r="L12" s="16">
        <f>L_r!N12/L_r!$S12</f>
        <v>0.16768123962368567</v>
      </c>
      <c r="M12" s="16">
        <f>L_r!O12/L_r!$S12</f>
        <v>8.591588267847261E-2</v>
      </c>
      <c r="N12" s="16">
        <f>L_r!P12/L_r!$S12</f>
        <v>0.28569452130603212</v>
      </c>
      <c r="O12" s="16">
        <f>L_r!Q12/L_r!$S12</f>
        <v>9.2280022136137244E-2</v>
      </c>
      <c r="P12" s="16">
        <f>L_r!R12/L_r!$S12</f>
        <v>0.29773104593248478</v>
      </c>
    </row>
    <row r="13" spans="1:16" x14ac:dyDescent="0.2">
      <c r="A13" s="10" t="s">
        <v>15</v>
      </c>
      <c r="B13" s="16">
        <f>L_r!B13/L_r!$H13</f>
        <v>0.14921549791866795</v>
      </c>
      <c r="C13" s="16">
        <f>L_r!C13/L_r!$H13</f>
        <v>0.11399295549151457</v>
      </c>
      <c r="D13" s="16">
        <f>L_r!D13/L_r!$H13</f>
        <v>0.14537303874479668</v>
      </c>
      <c r="E13" s="16">
        <f>L_r!E13/L_r!$H13</f>
        <v>0.2808197246237592</v>
      </c>
      <c r="F13" s="16">
        <f>L_r!F13/L_r!$H13</f>
        <v>5.5075248158821644E-2</v>
      </c>
      <c r="G13" s="16">
        <f>L_r!G13/L_r!$H13</f>
        <v>0.25552353506243997</v>
      </c>
      <c r="J13" s="10" t="s">
        <v>15</v>
      </c>
      <c r="K13" s="16">
        <f>L_r!M13/L_r!$S13</f>
        <v>0.11045306485045898</v>
      </c>
      <c r="L13" s="16">
        <f>L_r!N13/L_r!$S13</f>
        <v>0.11430263547527392</v>
      </c>
      <c r="M13" s="16">
        <f>L_r!O13/L_r!$S13</f>
        <v>8.5875037015102157E-2</v>
      </c>
      <c r="N13" s="16">
        <f>L_r!P13/L_r!$S13</f>
        <v>0.25318329878590468</v>
      </c>
      <c r="O13" s="16">
        <f>L_r!Q13/L_r!$S13</f>
        <v>7.3437962688777017E-2</v>
      </c>
      <c r="P13" s="16">
        <f>L_r!R13/L_r!$S13</f>
        <v>0.36274800118448325</v>
      </c>
    </row>
    <row r="14" spans="1:16" x14ac:dyDescent="0.2">
      <c r="A14" s="10" t="s">
        <v>16</v>
      </c>
      <c r="B14" s="16">
        <f>L_r!B14/L_r!$H14</f>
        <v>3.2470027666769138E-2</v>
      </c>
      <c r="C14" s="16">
        <f>L_r!C14/L_r!$H14</f>
        <v>0.27889640332001231</v>
      </c>
      <c r="D14" s="16">
        <f>L_r!D14/L_r!$H14</f>
        <v>9.33369197663695E-2</v>
      </c>
      <c r="E14" s="16">
        <f>L_r!E14/L_r!$H14</f>
        <v>0.27067322471564709</v>
      </c>
      <c r="F14" s="16">
        <f>L_r!F14/L_r!$H14</f>
        <v>0.1044036274208423</v>
      </c>
      <c r="G14" s="16">
        <f>L_r!G14/L_r!$H14</f>
        <v>0.22021979711035966</v>
      </c>
      <c r="J14" s="10" t="s">
        <v>16</v>
      </c>
      <c r="K14" s="16">
        <f>L_r!M14/L_r!$S14</f>
        <v>1.8165455636290913E-2</v>
      </c>
      <c r="L14" s="16">
        <f>L_r!N14/L_r!$S14</f>
        <v>0.18665422305179655</v>
      </c>
      <c r="M14" s="16">
        <f>L_r!O14/L_r!$S14</f>
        <v>6.5428971401906538E-2</v>
      </c>
      <c r="N14" s="16">
        <f>L_r!P14/L_r!$S14</f>
        <v>0.31294580361309249</v>
      </c>
      <c r="O14" s="16">
        <f>L_r!Q14/L_r!$S14</f>
        <v>0.13675754949670019</v>
      </c>
      <c r="P14" s="16">
        <f>L_r!R14/L_r!$S14</f>
        <v>0.28004799680021331</v>
      </c>
    </row>
    <row r="15" spans="1:16" x14ac:dyDescent="0.2">
      <c r="A15" s="10" t="s">
        <v>17</v>
      </c>
      <c r="B15" s="16">
        <f>L_r!B15/L_r!$H15</f>
        <v>4.9853956452469463E-2</v>
      </c>
      <c r="C15" s="16">
        <f>L_r!C15/L_r!$H15</f>
        <v>0.24734466277217207</v>
      </c>
      <c r="D15" s="16">
        <f>L_r!D15/L_r!$H15</f>
        <v>0.10508497079129049</v>
      </c>
      <c r="E15" s="16">
        <f>L_r!E15/L_r!$H15</f>
        <v>0.29865905469994691</v>
      </c>
      <c r="F15" s="16">
        <f>L_r!F15/L_r!$H15</f>
        <v>9.0746149761019648E-2</v>
      </c>
      <c r="G15" s="16">
        <f>L_r!G15/L_r!$H15</f>
        <v>0.20831120552310142</v>
      </c>
      <c r="J15" s="10" t="s">
        <v>17</v>
      </c>
      <c r="K15" s="16">
        <f>L_r!M15/L_r!$S15</f>
        <v>3.404397812255832E-2</v>
      </c>
      <c r="L15" s="16">
        <f>L_r!N15/L_r!$S15</f>
        <v>0.17390333742605202</v>
      </c>
      <c r="M15" s="16">
        <f>L_r!O15/L_r!$S15</f>
        <v>6.8143766045317564E-2</v>
      </c>
      <c r="N15" s="16">
        <f>L_r!P15/L_r!$S15</f>
        <v>0.32916620158499832</v>
      </c>
      <c r="O15" s="16">
        <f>L_r!Q15/L_r!$S15</f>
        <v>0.11435428061167541</v>
      </c>
      <c r="P15" s="16">
        <f>L_r!R15/L_r!$S15</f>
        <v>0.28038843620939841</v>
      </c>
    </row>
    <row r="16" spans="1:16" x14ac:dyDescent="0.2">
      <c r="A16" s="10" t="s">
        <v>18</v>
      </c>
      <c r="B16" s="16">
        <f>L_r!B16/L_r!$H16</f>
        <v>2.107390300230947E-2</v>
      </c>
      <c r="C16" s="16">
        <f>L_r!C16/L_r!$H16</f>
        <v>0.12240184757505773</v>
      </c>
      <c r="D16" s="16">
        <f>L_r!D16/L_r!$H16</f>
        <v>0.12297921478060046</v>
      </c>
      <c r="E16" s="16">
        <f>L_r!E16/L_r!$H16</f>
        <v>0.45583140877598155</v>
      </c>
      <c r="F16" s="16">
        <f>L_r!F16/L_r!$H16</f>
        <v>7.7944572748267896E-2</v>
      </c>
      <c r="G16" s="16">
        <f>L_r!G16/L_r!$H16</f>
        <v>0.1997690531177829</v>
      </c>
      <c r="J16" s="10" t="s">
        <v>18</v>
      </c>
      <c r="K16" s="16">
        <f>L_r!M16/L_r!$S16</f>
        <v>1.0718113612004287E-2</v>
      </c>
      <c r="L16" s="16">
        <f>L_r!N16/L_r!$S16</f>
        <v>7.1596998928188632E-2</v>
      </c>
      <c r="M16" s="16">
        <f>L_r!O16/L_r!$S16</f>
        <v>9.4962486602357982E-2</v>
      </c>
      <c r="N16" s="16">
        <f>L_r!P16/L_r!$S16</f>
        <v>0.42186495176848871</v>
      </c>
      <c r="O16" s="16">
        <f>L_r!Q16/L_r!$S16</f>
        <v>0.13054662379421222</v>
      </c>
      <c r="P16" s="16">
        <f>L_r!R16/L_r!$S16</f>
        <v>0.27031082529474815</v>
      </c>
    </row>
    <row r="17" spans="1:16" x14ac:dyDescent="0.2">
      <c r="A17" s="10" t="s">
        <v>19</v>
      </c>
      <c r="B17" s="16">
        <f>L_r!B17/L_r!$H17</f>
        <v>0.11304307290695506</v>
      </c>
      <c r="C17" s="16">
        <f>L_r!C17/L_r!$H17</f>
        <v>0.13285474547827708</v>
      </c>
      <c r="D17" s="16">
        <f>L_r!D17/L_r!$H17</f>
        <v>0.11910311392877121</v>
      </c>
      <c r="E17" s="16">
        <f>L_r!E17/L_r!$H17</f>
        <v>0.29628939026664181</v>
      </c>
      <c r="F17" s="16">
        <f>L_r!F17/L_r!$H17</f>
        <v>7.9200074585120267E-2</v>
      </c>
      <c r="G17" s="16">
        <f>L_r!G17/L_r!$H17</f>
        <v>0.25950960283423458</v>
      </c>
      <c r="J17" s="10" t="s">
        <v>19</v>
      </c>
      <c r="K17" s="16">
        <f>L_r!M17/L_r!$S17</f>
        <v>7.5805719473445304E-2</v>
      </c>
      <c r="L17" s="16">
        <f>L_r!N17/L_r!$S17</f>
        <v>8.9915267060069595E-2</v>
      </c>
      <c r="M17" s="16">
        <f>L_r!O17/L_r!$S17</f>
        <v>5.9350885156604631E-2</v>
      </c>
      <c r="N17" s="16">
        <f>L_r!P17/L_r!$S17</f>
        <v>0.33136631865637767</v>
      </c>
      <c r="O17" s="16">
        <f>L_r!Q17/L_r!$S17</f>
        <v>0.11329247995158118</v>
      </c>
      <c r="P17" s="16">
        <f>L_r!R17/L_r!$S17</f>
        <v>0.33026932970192163</v>
      </c>
    </row>
    <row r="18" spans="1:16" x14ac:dyDescent="0.2">
      <c r="A18" s="10" t="s">
        <v>20</v>
      </c>
      <c r="B18" s="16">
        <f>L_r!B18/L_r!$H18</f>
        <v>0.14690658121764852</v>
      </c>
      <c r="C18" s="16">
        <f>L_r!C18/L_r!$H18</f>
        <v>0.17328074932215923</v>
      </c>
      <c r="D18" s="16">
        <f>L_r!D18/L_r!$H18</f>
        <v>0.1059896475228001</v>
      </c>
      <c r="E18" s="16">
        <f>L_r!E18/L_r!$H18</f>
        <v>0.30663051515898448</v>
      </c>
      <c r="F18" s="16">
        <f>L_r!F18/L_r!$H18</f>
        <v>6.4826226275573079E-2</v>
      </c>
      <c r="G18" s="16">
        <f>L_r!G18/L_r!$H18</f>
        <v>0.20236628050283462</v>
      </c>
      <c r="J18" s="10" t="s">
        <v>20</v>
      </c>
      <c r="K18" s="16">
        <f>L_r!M18/L_r!$S18</f>
        <v>0.12297116669849152</v>
      </c>
      <c r="L18" s="16">
        <f>L_r!N18/L_r!$S18</f>
        <v>0.13423715867863281</v>
      </c>
      <c r="M18" s="16">
        <f>L_r!O18/L_r!$S18</f>
        <v>6.3967920565209085E-2</v>
      </c>
      <c r="N18" s="16">
        <f>L_r!P18/L_r!$S18</f>
        <v>0.29272484246706132</v>
      </c>
      <c r="O18" s="16">
        <f>L_r!Q18/L_r!$S18</f>
        <v>0.11686079816688943</v>
      </c>
      <c r="P18" s="16">
        <f>L_r!R18/L_r!$S18</f>
        <v>0.26923811342371584</v>
      </c>
    </row>
    <row r="19" spans="1:16" x14ac:dyDescent="0.2">
      <c r="A19" s="10" t="s">
        <v>21</v>
      </c>
      <c r="B19" s="16">
        <f>L_r!B19/L_r!$H19</f>
        <v>0</v>
      </c>
      <c r="C19" s="16">
        <f>L_r!C19/L_r!$H19</f>
        <v>0</v>
      </c>
      <c r="D19" s="16">
        <f>L_r!D19/L_r!$H19</f>
        <v>0</v>
      </c>
      <c r="E19" s="16">
        <f>L_r!E19/L_r!$H19</f>
        <v>0.40112994350282488</v>
      </c>
      <c r="F19" s="16">
        <f>L_r!F19/L_r!$H19</f>
        <v>0</v>
      </c>
      <c r="G19" s="16">
        <f>L_r!G19/L_r!$H19</f>
        <v>0.59887005649717517</v>
      </c>
      <c r="J19" s="10" t="s">
        <v>21</v>
      </c>
      <c r="K19" s="16">
        <f>L_r!M19/L_r!$S19</f>
        <v>0</v>
      </c>
      <c r="L19" s="16">
        <f>L_r!N19/L_r!$S19</f>
        <v>0</v>
      </c>
      <c r="M19" s="16">
        <f>L_r!O19/L_r!$S19</f>
        <v>4.7619047619047616E-2</v>
      </c>
      <c r="N19" s="16">
        <f>L_r!P19/L_r!$S19</f>
        <v>0.31601731601731603</v>
      </c>
      <c r="O19" s="16">
        <f>L_r!Q19/L_r!$S19</f>
        <v>8.2251082251082255E-2</v>
      </c>
      <c r="P19" s="16">
        <f>L_r!R19/L_r!$S19</f>
        <v>0.55411255411255411</v>
      </c>
    </row>
    <row r="20" spans="1:16" x14ac:dyDescent="0.2">
      <c r="A20" s="10" t="s">
        <v>22</v>
      </c>
      <c r="B20" s="16">
        <f>L_r!B20/L_r!$H20</f>
        <v>0</v>
      </c>
      <c r="C20" s="16">
        <f>L_r!C20/L_r!$H20</f>
        <v>0</v>
      </c>
      <c r="D20" s="16">
        <f>L_r!D20/L_r!$H20</f>
        <v>0</v>
      </c>
      <c r="E20" s="16">
        <f>L_r!E20/L_r!$H20</f>
        <v>0.33544303797468356</v>
      </c>
      <c r="F20" s="16">
        <f>L_r!F20/L_r!$H20</f>
        <v>0</v>
      </c>
      <c r="G20" s="16">
        <f>L_r!G20/L_r!$H20</f>
        <v>0.66455696202531644</v>
      </c>
      <c r="J20" s="10" t="s">
        <v>22</v>
      </c>
      <c r="K20" s="16">
        <f>L_r!M20/L_r!$S20</f>
        <v>0</v>
      </c>
      <c r="L20" s="16">
        <f>L_r!N20/L_r!$S20</f>
        <v>0</v>
      </c>
      <c r="M20" s="16">
        <f>L_r!O20/L_r!$S20</f>
        <v>6.910569105691057E-2</v>
      </c>
      <c r="N20" s="16">
        <f>L_r!P20/L_r!$S20</f>
        <v>0.23577235772357724</v>
      </c>
      <c r="O20" s="16">
        <f>L_r!Q20/L_r!$S20</f>
        <v>0.11788617886178862</v>
      </c>
      <c r="P20" s="16">
        <f>L_r!R20/L_r!$S20</f>
        <v>0.57723577235772361</v>
      </c>
    </row>
    <row r="21" spans="1:16" x14ac:dyDescent="0.2">
      <c r="A21" s="10" t="s">
        <v>23</v>
      </c>
      <c r="B21" s="16">
        <f>L_r!B21/L_r!$H21</f>
        <v>6.2610370846042707E-2</v>
      </c>
      <c r="C21" s="16">
        <f>L_r!C21/L_r!$H21</f>
        <v>7.1600577941884735E-2</v>
      </c>
      <c r="D21" s="16">
        <f>L_r!D21/L_r!$H21</f>
        <v>0.12714721464119441</v>
      </c>
      <c r="E21" s="16">
        <f>L_r!E21/L_r!$H21</f>
        <v>0.40953604109808955</v>
      </c>
      <c r="F21" s="16">
        <f>L_r!F21/L_r!$H21</f>
        <v>7.7861615026489001E-2</v>
      </c>
      <c r="G21" s="16">
        <f>L_r!G21/L_r!$H21</f>
        <v>0.25124418044629959</v>
      </c>
      <c r="J21" s="10" t="s">
        <v>23</v>
      </c>
      <c r="K21" s="16">
        <f>L_r!M21/L_r!$S21</f>
        <v>2.7494215325983395E-2</v>
      </c>
      <c r="L21" s="16">
        <f>L_r!N21/L_r!$S21</f>
        <v>5.1177351299850279E-2</v>
      </c>
      <c r="M21" s="16">
        <f>L_r!O21/L_r!$S21</f>
        <v>5.8799510004083302E-2</v>
      </c>
      <c r="N21" s="16">
        <f>L_r!P21/L_r!$S21</f>
        <v>0.44821015380427387</v>
      </c>
      <c r="O21" s="16">
        <f>L_r!Q21/L_r!$S21</f>
        <v>0.1171906900775827</v>
      </c>
      <c r="P21" s="16">
        <f>L_r!R21/L_r!$S21</f>
        <v>0.29712807948822645</v>
      </c>
    </row>
  </sheetData>
  <mergeCells count="2">
    <mergeCell ref="A1:G1"/>
    <mergeCell ref="J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EDAB-650E-144F-8D86-0D6AEFF8CB51}">
  <dimension ref="A1:R21"/>
  <sheetViews>
    <sheetView tabSelected="1" workbookViewId="0">
      <selection activeCell="G27" sqref="G27"/>
    </sheetView>
  </sheetViews>
  <sheetFormatPr baseColWidth="10" defaultRowHeight="16" x14ac:dyDescent="0.2"/>
  <cols>
    <col min="1" max="1" width="24.5" bestFit="1" customWidth="1"/>
    <col min="8" max="8" width="18.33203125" bestFit="1" customWidth="1"/>
    <col min="11" max="11" width="24.5" bestFit="1" customWidth="1"/>
    <col min="12" max="12" width="11" bestFit="1" customWidth="1"/>
    <col min="13" max="13" width="12.6640625" bestFit="1" customWidth="1"/>
    <col min="14" max="17" width="11" bestFit="1" customWidth="1"/>
    <col min="18" max="18" width="18.5" bestFit="1" customWidth="1"/>
  </cols>
  <sheetData>
    <row r="1" spans="1:18" s="5" customFormat="1" x14ac:dyDescent="0.2">
      <c r="A1" s="17" t="s">
        <v>46</v>
      </c>
      <c r="B1" s="17"/>
      <c r="C1" s="17"/>
      <c r="D1" s="17"/>
      <c r="E1" s="17"/>
      <c r="F1" s="17"/>
      <c r="G1" s="17"/>
      <c r="H1" s="17"/>
      <c r="K1" s="17" t="s">
        <v>47</v>
      </c>
      <c r="L1" s="17"/>
      <c r="M1" s="17"/>
      <c r="N1" s="17"/>
      <c r="O1" s="17"/>
      <c r="P1" s="17"/>
      <c r="Q1" s="17"/>
      <c r="R1" s="17"/>
    </row>
    <row r="2" spans="1:18" s="5" customFormat="1" x14ac:dyDescent="0.2">
      <c r="A2" s="10"/>
      <c r="B2" s="6" t="s">
        <v>4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72</v>
      </c>
      <c r="K2" s="10"/>
      <c r="L2" s="10" t="s">
        <v>4</v>
      </c>
      <c r="M2" s="10" t="s">
        <v>24</v>
      </c>
      <c r="N2" s="10" t="s">
        <v>25</v>
      </c>
      <c r="O2" s="10" t="s">
        <v>26</v>
      </c>
      <c r="P2" s="10" t="s">
        <v>27</v>
      </c>
      <c r="Q2" s="10" t="s">
        <v>28</v>
      </c>
      <c r="R2" s="10" t="s">
        <v>73</v>
      </c>
    </row>
    <row r="3" spans="1:18" x14ac:dyDescent="0.2">
      <c r="A3" s="10" t="s">
        <v>5</v>
      </c>
      <c r="B3" s="11">
        <f>s_ri!B3*shock_i!$E$2</f>
        <v>36.32935100960777</v>
      </c>
      <c r="C3" s="11">
        <f>shock_i!$E$3*s_ri!C3</f>
        <v>1374.6604631950509</v>
      </c>
      <c r="D3" s="11">
        <f>s_ri!D3*shock_i!$E$4</f>
        <v>0</v>
      </c>
      <c r="E3" s="11">
        <f>s_ri!E3*shock_i!$E$5</f>
        <v>0</v>
      </c>
      <c r="F3" s="11">
        <f>s_ri!F3*shock_i!$E$6</f>
        <v>8.2424677770591374E-3</v>
      </c>
      <c r="G3" s="11">
        <f>s_ri!G3*shock_i!$E$7</f>
        <v>1.5305420576837938</v>
      </c>
      <c r="H3" s="11">
        <f>SUM(B3:G3)/1000</f>
        <v>1.4125285987301195</v>
      </c>
      <c r="K3" s="15" t="s">
        <v>5</v>
      </c>
      <c r="L3" s="11">
        <f>s_ri!K3*shock_i!$E$8</f>
        <v>7.9824897856131445</v>
      </c>
      <c r="M3" s="11">
        <f>s_ri!L3*shock_i!$E$9</f>
        <v>622.25597571062303</v>
      </c>
      <c r="N3" s="11">
        <f>s_ri!M3*shock_i!$E$10</f>
        <v>0</v>
      </c>
      <c r="O3" s="11">
        <f>s_ri!E3*shock_i!$E$11</f>
        <v>0</v>
      </c>
      <c r="P3" s="11">
        <f>s_ri!O3*shock_i!$E$12</f>
        <v>3.9559532036724642E-3</v>
      </c>
      <c r="Q3" s="11">
        <f>shock_i!$E$13*s_ri!P3</f>
        <v>-8.2182131550539245E-2</v>
      </c>
      <c r="R3" s="11">
        <f>SUM(L3:Q3)/1000</f>
        <v>0.63016023931788923</v>
      </c>
    </row>
    <row r="4" spans="1:18" x14ac:dyDescent="0.2">
      <c r="A4" s="10" t="s">
        <v>6</v>
      </c>
      <c r="B4" s="11">
        <f>s_ri!B4*shock_i!$E$2</f>
        <v>18.992383735436341</v>
      </c>
      <c r="C4" s="11">
        <f>shock_i!$E$3*s_ri!C4</f>
        <v>1500.1990240456619</v>
      </c>
      <c r="D4" s="11">
        <f>s_ri!D4*shock_i!$E$4</f>
        <v>0</v>
      </c>
      <c r="E4" s="11">
        <f>s_ri!E4*shock_i!$E$5</f>
        <v>0</v>
      </c>
      <c r="F4" s="11">
        <f>s_ri!F4*shock_i!$E$6</f>
        <v>9.1567198452805268E-3</v>
      </c>
      <c r="G4" s="11">
        <f>s_ri!G4*shock_i!$E$7</f>
        <v>1.7922884020765986</v>
      </c>
      <c r="H4" s="11">
        <f t="shared" ref="H4:H21" si="0">SUM(B4:G4)/1000</f>
        <v>1.5209928529030201</v>
      </c>
      <c r="K4" s="15" t="s">
        <v>6</v>
      </c>
      <c r="L4" s="11">
        <f>s_ri!K4*shock_i!$E$8</f>
        <v>4.6415529792816574</v>
      </c>
      <c r="M4" s="11">
        <f>s_ri!L4*shock_i!$E$9</f>
        <v>586.76176344520411</v>
      </c>
      <c r="N4" s="11">
        <f>s_ri!M4*shock_i!$E$10</f>
        <v>0</v>
      </c>
      <c r="O4" s="11">
        <f>s_ri!E4*shock_i!$E$11</f>
        <v>0</v>
      </c>
      <c r="P4" s="11">
        <f>s_ri!O4*shock_i!$E$12</f>
        <v>4.4156228495163315E-3</v>
      </c>
      <c r="Q4" s="11">
        <f>shock_i!$E$13*s_ri!P4</f>
        <v>-8.7157196275494536E-2</v>
      </c>
      <c r="R4" s="11">
        <f t="shared" ref="R4:R21" si="1">SUM(L4:Q4)/1000</f>
        <v>0.59132057485105971</v>
      </c>
    </row>
    <row r="5" spans="1:18" x14ac:dyDescent="0.2">
      <c r="A5" s="10" t="s">
        <v>7</v>
      </c>
      <c r="B5" s="11">
        <f>s_ri!B5*shock_i!$E$2</f>
        <v>16.811809098328201</v>
      </c>
      <c r="C5" s="11">
        <f>shock_i!$E$3*s_ri!C5</f>
        <v>1657.0662622090324</v>
      </c>
      <c r="D5" s="11">
        <f>s_ri!D5*shock_i!$E$4</f>
        <v>0</v>
      </c>
      <c r="E5" s="11">
        <f>s_ri!E5*shock_i!$E$5</f>
        <v>0</v>
      </c>
      <c r="F5" s="11">
        <f>s_ri!F5*shock_i!$E$6</f>
        <v>8.1938583752983202E-3</v>
      </c>
      <c r="G5" s="11">
        <f>s_ri!G5*shock_i!$E$7</f>
        <v>1.5776264404676366</v>
      </c>
      <c r="H5" s="11">
        <f t="shared" si="0"/>
        <v>1.6754638916062035</v>
      </c>
      <c r="K5" s="15" t="s">
        <v>7</v>
      </c>
      <c r="L5" s="11">
        <f>s_ri!K5*shock_i!$E$8</f>
        <v>3.3182723947461534</v>
      </c>
      <c r="M5" s="11">
        <f>s_ri!L5*shock_i!$E$9</f>
        <v>643.12773053307603</v>
      </c>
      <c r="N5" s="11">
        <f>s_ri!M5*shock_i!$E$10</f>
        <v>0</v>
      </c>
      <c r="O5" s="11">
        <f>s_ri!E5*shock_i!$E$11</f>
        <v>0</v>
      </c>
      <c r="P5" s="11">
        <f>s_ri!O5*shock_i!$E$12</f>
        <v>4.6699823235587723E-3</v>
      </c>
      <c r="Q5" s="11">
        <f>shock_i!$E$13*s_ri!P5</f>
        <v>-8.4805312085748763E-2</v>
      </c>
      <c r="R5" s="11">
        <f t="shared" si="1"/>
        <v>0.64636586759805992</v>
      </c>
    </row>
    <row r="6" spans="1:18" x14ac:dyDescent="0.2">
      <c r="A6" s="10" t="s">
        <v>8</v>
      </c>
      <c r="B6" s="11">
        <f>s_ri!B6*shock_i!$E$2</f>
        <v>4.2799992854611997</v>
      </c>
      <c r="C6" s="11">
        <f>shock_i!$E$3*s_ri!C6</f>
        <v>2181.1645626568225</v>
      </c>
      <c r="D6" s="11">
        <f>s_ri!D6*shock_i!$E$4</f>
        <v>0</v>
      </c>
      <c r="E6" s="11">
        <f>s_ri!E6*shock_i!$E$5</f>
        <v>0</v>
      </c>
      <c r="F6" s="11">
        <f>s_ri!F6*shock_i!$E$6</f>
        <v>1.2534392385929934E-2</v>
      </c>
      <c r="G6" s="11">
        <f>s_ri!G6*shock_i!$E$7</f>
        <v>1.7040578004083229</v>
      </c>
      <c r="H6" s="11">
        <f t="shared" si="0"/>
        <v>2.1871611541350782</v>
      </c>
      <c r="K6" s="15" t="s">
        <v>8</v>
      </c>
      <c r="L6" s="11">
        <f>s_ri!K6*shock_i!$E$8</f>
        <v>1.356967874576505</v>
      </c>
      <c r="M6" s="11">
        <f>s_ri!L6*shock_i!$E$9</f>
        <v>809.97988882259176</v>
      </c>
      <c r="N6" s="11">
        <f>s_ri!M6*shock_i!$E$10</f>
        <v>0</v>
      </c>
      <c r="O6" s="11">
        <f>s_ri!E6*shock_i!$E$11</f>
        <v>0</v>
      </c>
      <c r="P6" s="11">
        <f>s_ri!O6*shock_i!$E$12</f>
        <v>5.4693305732516038E-3</v>
      </c>
      <c r="Q6" s="11">
        <f>shock_i!$E$13*s_ri!P6</f>
        <v>-8.6739300920161869E-2</v>
      </c>
      <c r="R6" s="11">
        <f t="shared" si="1"/>
        <v>0.81125558672682141</v>
      </c>
    </row>
    <row r="7" spans="1:18" x14ac:dyDescent="0.2">
      <c r="A7" s="10" t="s">
        <v>9</v>
      </c>
      <c r="B7" s="11">
        <f>s_ri!B7*shock_i!$E$2</f>
        <v>15.515718757991026</v>
      </c>
      <c r="C7" s="11">
        <f>shock_i!$E$3*s_ri!C7</f>
        <v>2218.6558168092361</v>
      </c>
      <c r="D7" s="11">
        <f>s_ri!D7*shock_i!$E$4</f>
        <v>0</v>
      </c>
      <c r="E7" s="11">
        <f>s_ri!E7*shock_i!$E$5</f>
        <v>0</v>
      </c>
      <c r="F7" s="11">
        <f>s_ri!F7*shock_i!$E$6</f>
        <v>1.0324458836785403E-2</v>
      </c>
      <c r="G7" s="11">
        <f>s_ri!G7*shock_i!$E$7</f>
        <v>1.6664874892070549</v>
      </c>
      <c r="H7" s="11">
        <f t="shared" si="0"/>
        <v>2.2358483475152711</v>
      </c>
      <c r="K7" s="15" t="s">
        <v>9</v>
      </c>
      <c r="L7" s="11">
        <f>s_ri!K7*shock_i!$E$8</f>
        <v>3.6724604204199323</v>
      </c>
      <c r="M7" s="11">
        <f>s_ri!L7*shock_i!$E$9</f>
        <v>1010.7277927178894</v>
      </c>
      <c r="N7" s="11">
        <f>s_ri!M7*shock_i!$E$10</f>
        <v>0</v>
      </c>
      <c r="O7" s="11">
        <f>s_ri!E7*shock_i!$E$11</f>
        <v>0</v>
      </c>
      <c r="P7" s="11">
        <f>s_ri!O7*shock_i!$E$12</f>
        <v>4.1785447416693112E-3</v>
      </c>
      <c r="Q7" s="11">
        <f>shock_i!$E$13*s_ri!P7</f>
        <v>-8.0184669620020646E-2</v>
      </c>
      <c r="R7" s="11">
        <f t="shared" si="1"/>
        <v>1.014324247013431</v>
      </c>
    </row>
    <row r="8" spans="1:18" x14ac:dyDescent="0.2">
      <c r="A8" s="10" t="s">
        <v>10</v>
      </c>
      <c r="B8" s="11">
        <f>s_ri!B8*shock_i!$E$2</f>
        <v>21.965053277680241</v>
      </c>
      <c r="C8" s="11">
        <f>shock_i!$E$3*s_ri!C8</f>
        <v>2488.9535466134375</v>
      </c>
      <c r="D8" s="11">
        <f>s_ri!D8*shock_i!$E$4</f>
        <v>0</v>
      </c>
      <c r="E8" s="11">
        <f>s_ri!E8*shock_i!$E$5</f>
        <v>0</v>
      </c>
      <c r="F8" s="11">
        <f>s_ri!F8*shock_i!$E$6</f>
        <v>1.0276220896000183E-2</v>
      </c>
      <c r="G8" s="11">
        <f>s_ri!G8*shock_i!$E$7</f>
        <v>1.2290207140686966</v>
      </c>
      <c r="H8" s="11">
        <f t="shared" si="0"/>
        <v>2.5121578968260825</v>
      </c>
      <c r="K8" s="15" t="s">
        <v>10</v>
      </c>
      <c r="L8" s="11">
        <f>s_ri!K8*shock_i!$E$8</f>
        <v>5.8850523891246427</v>
      </c>
      <c r="M8" s="11">
        <f>s_ri!L8*shock_i!$E$9</f>
        <v>942.76150253318121</v>
      </c>
      <c r="N8" s="11">
        <f>s_ri!M8*shock_i!$E$10</f>
        <v>0</v>
      </c>
      <c r="O8" s="11">
        <f>s_ri!E8*shock_i!$E$11</f>
        <v>0</v>
      </c>
      <c r="P8" s="11">
        <f>s_ri!O8*shock_i!$E$12</f>
        <v>3.7083972906038622E-3</v>
      </c>
      <c r="Q8" s="11">
        <f>shock_i!$E$13*s_ri!P8</f>
        <v>-7.7801307104908624E-2</v>
      </c>
      <c r="R8" s="11">
        <f t="shared" si="1"/>
        <v>0.94857246201249157</v>
      </c>
    </row>
    <row r="9" spans="1:18" x14ac:dyDescent="0.2">
      <c r="A9" s="10" t="s">
        <v>11</v>
      </c>
      <c r="B9" s="11">
        <f>s_ri!B9*shock_i!$E$2</f>
        <v>16.452590051058515</v>
      </c>
      <c r="C9" s="11">
        <f>shock_i!$E$3*s_ri!C9</f>
        <v>1904.0071756098816</v>
      </c>
      <c r="D9" s="11">
        <f>s_ri!D9*shock_i!$E$4</f>
        <v>0</v>
      </c>
      <c r="E9" s="11">
        <f>s_ri!E9*shock_i!$E$5</f>
        <v>0</v>
      </c>
      <c r="F9" s="11">
        <f>s_ri!F9*shock_i!$E$6</f>
        <v>1.1432125798041046E-2</v>
      </c>
      <c r="G9" s="11">
        <f>s_ri!G9*shock_i!$E$7</f>
        <v>1.6958454995552299</v>
      </c>
      <c r="H9" s="11">
        <f t="shared" si="0"/>
        <v>1.9221670432862934</v>
      </c>
      <c r="K9" s="15" t="s">
        <v>11</v>
      </c>
      <c r="L9" s="11">
        <f>s_ri!K9*shock_i!$E$8</f>
        <v>6.1549161156566834</v>
      </c>
      <c r="M9" s="11">
        <f>s_ri!L9*shock_i!$E$9</f>
        <v>713.57212527854972</v>
      </c>
      <c r="N9" s="11">
        <f>s_ri!M9*shock_i!$E$10</f>
        <v>0</v>
      </c>
      <c r="O9" s="11">
        <f>s_ri!E9*shock_i!$E$11</f>
        <v>0</v>
      </c>
      <c r="P9" s="11">
        <f>s_ri!O9*shock_i!$E$12</f>
        <v>4.332282908175041E-3</v>
      </c>
      <c r="Q9" s="11">
        <f>shock_i!$E$13*s_ri!P9</f>
        <v>-8.4907705335472428E-2</v>
      </c>
      <c r="R9" s="11">
        <f t="shared" si="1"/>
        <v>0.71964646597177906</v>
      </c>
    </row>
    <row r="10" spans="1:18" x14ac:dyDescent="0.2">
      <c r="A10" s="10" t="s">
        <v>12</v>
      </c>
      <c r="B10" s="11">
        <f>s_ri!B10*shock_i!$E$2</f>
        <v>1.9661877937640557</v>
      </c>
      <c r="C10" s="11">
        <f>shock_i!$E$3*s_ri!C10</f>
        <v>1245.7006401205506</v>
      </c>
      <c r="D10" s="11">
        <f>s_ri!D10*shock_i!$E$4</f>
        <v>0</v>
      </c>
      <c r="E10" s="11">
        <f>s_ri!E10*shock_i!$E$5</f>
        <v>0</v>
      </c>
      <c r="F10" s="11">
        <f>s_ri!F10*shock_i!$E$6</f>
        <v>2.2245949644753682E-2</v>
      </c>
      <c r="G10" s="11">
        <f>s_ri!G10*shock_i!$E$7</f>
        <v>2.0418039740495937</v>
      </c>
      <c r="H10" s="11">
        <f t="shared" si="0"/>
        <v>1.2497308778380087</v>
      </c>
      <c r="K10" s="15" t="s">
        <v>12</v>
      </c>
      <c r="L10" s="11">
        <f>s_ri!K10*shock_i!$E$8</f>
        <v>0.30687218664442839</v>
      </c>
      <c r="M10" s="11">
        <f>s_ri!L10*shock_i!$E$9</f>
        <v>377.23520448248303</v>
      </c>
      <c r="N10" s="11">
        <f>s_ri!M10*shock_i!$E$10</f>
        <v>0</v>
      </c>
      <c r="O10" s="11">
        <f>s_ri!E10*shock_i!$E$11</f>
        <v>0</v>
      </c>
      <c r="P10" s="11">
        <f>s_ri!O10*shock_i!$E$12</f>
        <v>7.8798040505192561E-3</v>
      </c>
      <c r="Q10" s="11">
        <f>shock_i!$E$13*s_ri!P10</f>
        <v>-9.1911035028192048E-2</v>
      </c>
      <c r="R10" s="11">
        <f t="shared" si="1"/>
        <v>0.37745804543814976</v>
      </c>
    </row>
    <row r="11" spans="1:18" x14ac:dyDescent="0.2">
      <c r="A11" s="10" t="s">
        <v>13</v>
      </c>
      <c r="B11" s="11">
        <f>s_ri!B11*shock_i!$E$2</f>
        <v>21.915754509454189</v>
      </c>
      <c r="C11" s="11">
        <f>shock_i!$E$3*s_ri!C11</f>
        <v>1390.4553957195828</v>
      </c>
      <c r="D11" s="11">
        <f>s_ri!D11*shock_i!$E$4</f>
        <v>0</v>
      </c>
      <c r="E11" s="11">
        <f>s_ri!E11*shock_i!$E$5</f>
        <v>0</v>
      </c>
      <c r="F11" s="11">
        <f>s_ri!F11*shock_i!$E$6</f>
        <v>9.8063064034455694E-3</v>
      </c>
      <c r="G11" s="11">
        <f>s_ri!G11*shock_i!$E$7</f>
        <v>1.8463631867918209</v>
      </c>
      <c r="H11" s="11">
        <f t="shared" si="0"/>
        <v>1.4142273197222324</v>
      </c>
      <c r="K11" s="15" t="s">
        <v>13</v>
      </c>
      <c r="L11" s="11">
        <f>s_ri!K11*shock_i!$E$8</f>
        <v>7.6813986764035249</v>
      </c>
      <c r="M11" s="11">
        <f>s_ri!L11*shock_i!$E$9</f>
        <v>620.91039247581921</v>
      </c>
      <c r="N11" s="11">
        <f>s_ri!M11*shock_i!$E$10</f>
        <v>0</v>
      </c>
      <c r="O11" s="11">
        <f>s_ri!E11*shock_i!$E$11</f>
        <v>0</v>
      </c>
      <c r="P11" s="11">
        <f>s_ri!O11*shock_i!$E$12</f>
        <v>3.6907035734821941E-3</v>
      </c>
      <c r="Q11" s="11">
        <f>shock_i!$E$13*s_ri!P11</f>
        <v>-8.6452383145928111E-2</v>
      </c>
      <c r="R11" s="11">
        <f t="shared" si="1"/>
        <v>0.6285090294726503</v>
      </c>
    </row>
    <row r="12" spans="1:18" x14ac:dyDescent="0.2">
      <c r="A12" s="10" t="s">
        <v>14</v>
      </c>
      <c r="B12" s="11">
        <f>s_ri!B12*shock_i!$E$2</f>
        <v>22.905057371820082</v>
      </c>
      <c r="C12" s="11">
        <f>shock_i!$E$3*s_ri!C12</f>
        <v>1524.9360693798042</v>
      </c>
      <c r="D12" s="11">
        <f>s_ri!D12*shock_i!$E$4</f>
        <v>0</v>
      </c>
      <c r="E12" s="11">
        <f>s_ri!E12*shock_i!$E$5</f>
        <v>0</v>
      </c>
      <c r="F12" s="11">
        <f>s_ri!F12*shock_i!$E$6</f>
        <v>7.1978129431075535E-3</v>
      </c>
      <c r="G12" s="11">
        <f>s_ri!G12*shock_i!$E$7</f>
        <v>1.6052430248867693</v>
      </c>
      <c r="H12" s="11">
        <f t="shared" si="0"/>
        <v>1.5494535675894541</v>
      </c>
      <c r="K12" s="15" t="s">
        <v>14</v>
      </c>
      <c r="L12" s="11">
        <f>s_ri!K12*shock_i!$E$8</f>
        <v>7.5493285714472913</v>
      </c>
      <c r="M12" s="11">
        <f>s_ri!L12*shock_i!$E$9</f>
        <v>657.54298539084346</v>
      </c>
      <c r="N12" s="11">
        <f>s_ri!M12*shock_i!$E$10</f>
        <v>0</v>
      </c>
      <c r="O12" s="11">
        <f>s_ri!E12*shock_i!$E$11</f>
        <v>0</v>
      </c>
      <c r="P12" s="11">
        <f>s_ri!O12*shock_i!$E$12</f>
        <v>3.6309165428074384E-3</v>
      </c>
      <c r="Q12" s="11">
        <f>shock_i!$E$13*s_ri!P12</f>
        <v>-8.3336662078023413E-2</v>
      </c>
      <c r="R12" s="11">
        <f t="shared" si="1"/>
        <v>0.66501260821675545</v>
      </c>
    </row>
    <row r="13" spans="1:18" x14ac:dyDescent="0.2">
      <c r="A13" s="10" t="s">
        <v>15</v>
      </c>
      <c r="B13" s="11">
        <f>s_ri!B13*shock_i!$E$2</f>
        <v>30.480995163243875</v>
      </c>
      <c r="C13" s="11">
        <f>shock_i!$E$3*s_ri!C13</f>
        <v>846.20642504175703</v>
      </c>
      <c r="D13" s="11">
        <f>s_ri!D13*shock_i!$E$4</f>
        <v>0</v>
      </c>
      <c r="E13" s="11">
        <f>s_ri!E13*shock_i!$E$5</f>
        <v>0</v>
      </c>
      <c r="F13" s="11">
        <f>s_ri!F13*shock_i!$E$6</f>
        <v>7.1479335870329183E-3</v>
      </c>
      <c r="G13" s="11">
        <f>s_ri!G13*shock_i!$E$7</f>
        <v>1.8150662317900843</v>
      </c>
      <c r="H13" s="11">
        <f t="shared" si="0"/>
        <v>0.87850963437037799</v>
      </c>
      <c r="K13" s="15" t="s">
        <v>15</v>
      </c>
      <c r="L13" s="11">
        <f>s_ri!K13*shock_i!$E$8</f>
        <v>11.794603414880935</v>
      </c>
      <c r="M13" s="11">
        <f>s_ri!L13*shock_i!$E$9</f>
        <v>448.22483622572429</v>
      </c>
      <c r="N13" s="11">
        <f>s_ri!M13*shock_i!$E$10</f>
        <v>0</v>
      </c>
      <c r="O13" s="11">
        <f>s_ri!E13*shock_i!$E$11</f>
        <v>0</v>
      </c>
      <c r="P13" s="11">
        <f>s_ri!O13*shock_i!$E$12</f>
        <v>2.8895432339990281E-3</v>
      </c>
      <c r="Q13" s="11">
        <f>shock_i!$E$13*s_ri!P13</f>
        <v>-0.10153528833215765</v>
      </c>
      <c r="R13" s="11">
        <f t="shared" si="1"/>
        <v>0.45992079389550705</v>
      </c>
    </row>
    <row r="14" spans="1:18" x14ac:dyDescent="0.2">
      <c r="A14" s="10" t="s">
        <v>16</v>
      </c>
      <c r="B14" s="11">
        <f>s_ri!B14*shock_i!$E$2</f>
        <v>6.6328147549435199</v>
      </c>
      <c r="C14" s="11">
        <f>shock_i!$E$3*s_ri!C14</f>
        <v>2070.3378326566799</v>
      </c>
      <c r="D14" s="11">
        <f>s_ri!D14*shock_i!$E$4</f>
        <v>0</v>
      </c>
      <c r="E14" s="11">
        <f>s_ri!E14*shock_i!$E$5</f>
        <v>0</v>
      </c>
      <c r="F14" s="11">
        <f>s_ri!F14*shock_i!$E$6</f>
        <v>1.3550010576393132E-2</v>
      </c>
      <c r="G14" s="11">
        <f>s_ri!G14*shock_i!$E$7</f>
        <v>1.5642923741212451</v>
      </c>
      <c r="H14" s="11">
        <f t="shared" si="0"/>
        <v>2.0785484897963205</v>
      </c>
      <c r="K14" s="15" t="s">
        <v>16</v>
      </c>
      <c r="L14" s="11">
        <f>s_ri!K14*shock_i!$E$8</f>
        <v>1.9397772743630175</v>
      </c>
      <c r="M14" s="11">
        <f>s_ri!L14*shock_i!$E$9</f>
        <v>731.94339054701334</v>
      </c>
      <c r="N14" s="11">
        <f>s_ri!M14*shock_i!$E$10</f>
        <v>0</v>
      </c>
      <c r="O14" s="11">
        <f>s_ri!E14*shock_i!$E$11</f>
        <v>0</v>
      </c>
      <c r="P14" s="11">
        <f>s_ri!O14*shock_i!$E$12</f>
        <v>5.3809615269578776E-3</v>
      </c>
      <c r="Q14" s="11">
        <f>shock_i!$E$13*s_ri!P14</f>
        <v>-7.8387073144730354E-2</v>
      </c>
      <c r="R14" s="11">
        <f t="shared" si="1"/>
        <v>0.73381016170975855</v>
      </c>
    </row>
    <row r="15" spans="1:18" x14ac:dyDescent="0.2">
      <c r="A15" s="10" t="s">
        <v>17</v>
      </c>
      <c r="B15" s="11">
        <f>s_ri!B15*shock_i!$E$2</f>
        <v>10.183916729109272</v>
      </c>
      <c r="C15" s="11">
        <f>shock_i!$E$3*s_ri!C15</f>
        <v>1836.1190999489345</v>
      </c>
      <c r="D15" s="11">
        <f>s_ri!D15*shock_i!$E$4</f>
        <v>0</v>
      </c>
      <c r="E15" s="11">
        <f>s_ri!E15*shock_i!$E$5</f>
        <v>0</v>
      </c>
      <c r="F15" s="11">
        <f>s_ri!F15*shock_i!$E$6</f>
        <v>1.177747669697635E-2</v>
      </c>
      <c r="G15" s="11">
        <f>s_ri!G15*shock_i!$E$7</f>
        <v>1.4797018002904232</v>
      </c>
      <c r="H15" s="11">
        <f t="shared" si="0"/>
        <v>1.8477944959550314</v>
      </c>
      <c r="K15" s="15" t="s">
        <v>17</v>
      </c>
      <c r="L15" s="11">
        <f>s_ri!K15*shock_i!$E$8</f>
        <v>3.6353470242232908</v>
      </c>
      <c r="M15" s="11">
        <f>s_ri!L15*shock_i!$E$9</f>
        <v>681.94223705157526</v>
      </c>
      <c r="N15" s="11">
        <f>s_ri!M15*shock_i!$E$10</f>
        <v>0</v>
      </c>
      <c r="O15" s="11">
        <f>s_ri!E15*shock_i!$E$11</f>
        <v>0</v>
      </c>
      <c r="P15" s="11">
        <f>s_ri!O15*shock_i!$E$12</f>
        <v>4.4994662940287472E-3</v>
      </c>
      <c r="Q15" s="11">
        <f>shock_i!$E$13*s_ri!P15</f>
        <v>-7.8482364127612045E-2</v>
      </c>
      <c r="R15" s="11">
        <f t="shared" si="1"/>
        <v>0.68550360117796505</v>
      </c>
    </row>
    <row r="16" spans="1:18" x14ac:dyDescent="0.2">
      <c r="A16" s="10" t="s">
        <v>18</v>
      </c>
      <c r="B16" s="11">
        <f>s_ri!B16*shock_i!$E$2</f>
        <v>4.3048714405938551</v>
      </c>
      <c r="C16" s="11">
        <f>shock_i!$E$3*s_ri!C16</f>
        <v>908.62833943020064</v>
      </c>
      <c r="D16" s="11">
        <f>s_ri!D16*shock_i!$E$4</f>
        <v>0</v>
      </c>
      <c r="E16" s="11">
        <f>s_ri!E16*shock_i!$E$5</f>
        <v>0</v>
      </c>
      <c r="F16" s="11">
        <f>s_ri!F16*shock_i!$E$6</f>
        <v>1.0116025766559072E-2</v>
      </c>
      <c r="G16" s="11">
        <f>s_ri!G16*shock_i!$E$7</f>
        <v>1.4190241316995071</v>
      </c>
      <c r="H16" s="11">
        <f t="shared" si="0"/>
        <v>0.91436235102826058</v>
      </c>
      <c r="K16" s="15" t="s">
        <v>18</v>
      </c>
      <c r="L16" s="11">
        <f>s_ri!K16*shock_i!$E$8</f>
        <v>1.14452142709105</v>
      </c>
      <c r="M16" s="11">
        <f>s_ri!L16*shock_i!$E$9</f>
        <v>280.75952042053126</v>
      </c>
      <c r="N16" s="11">
        <f>s_ri!M16*shock_i!$E$10</f>
        <v>0</v>
      </c>
      <c r="O16" s="11">
        <f>s_ri!E16*shock_i!$E$11</f>
        <v>0</v>
      </c>
      <c r="P16" s="11">
        <f>s_ri!O16*shock_i!$E$12</f>
        <v>5.1365819488294467E-3</v>
      </c>
      <c r="Q16" s="11">
        <f>shock_i!$E$13*s_ri!P16</f>
        <v>-7.566158185844131E-2</v>
      </c>
      <c r="R16" s="11">
        <f t="shared" si="1"/>
        <v>0.28183351684771263</v>
      </c>
    </row>
    <row r="17" spans="1:18" x14ac:dyDescent="0.2">
      <c r="A17" s="10" t="s">
        <v>19</v>
      </c>
      <c r="B17" s="11">
        <f>s_ri!B17*shock_i!$E$2</f>
        <v>23.091873207387824</v>
      </c>
      <c r="C17" s="11">
        <f>shock_i!$E$3*s_ri!C17</f>
        <v>986.22356737977475</v>
      </c>
      <c r="D17" s="11">
        <f>s_ri!D17*shock_i!$E$4</f>
        <v>0</v>
      </c>
      <c r="E17" s="11">
        <f>s_ri!E17*shock_i!$E$5</f>
        <v>0</v>
      </c>
      <c r="F17" s="11">
        <f>s_ri!F17*shock_i!$E$6</f>
        <v>1.0278970901592133E-2</v>
      </c>
      <c r="G17" s="11">
        <f>s_ri!G17*shock_i!$E$7</f>
        <v>1.8433805591120009</v>
      </c>
      <c r="H17" s="11">
        <f t="shared" si="0"/>
        <v>1.0111691001171761</v>
      </c>
      <c r="K17" s="15" t="s">
        <v>19</v>
      </c>
      <c r="L17" s="11">
        <f>s_ri!K17*shock_i!$E$8</f>
        <v>8.0948265127772849</v>
      </c>
      <c r="M17" s="11">
        <f>s_ri!L17*shock_i!$E$9</f>
        <v>352.59253371205244</v>
      </c>
      <c r="N17" s="11">
        <f>s_ri!M17*shock_i!$E$10</f>
        <v>0</v>
      </c>
      <c r="O17" s="11">
        <f>s_ri!E17*shock_i!$E$11</f>
        <v>0</v>
      </c>
      <c r="P17" s="11">
        <f>s_ri!O17*shock_i!$E$12</f>
        <v>4.4576879167304365E-3</v>
      </c>
      <c r="Q17" s="11">
        <f>shock_i!$E$13*s_ri!P17</f>
        <v>-9.2444318119064214E-2</v>
      </c>
      <c r="R17" s="11">
        <f t="shared" si="1"/>
        <v>0.36059937359462735</v>
      </c>
    </row>
    <row r="18" spans="1:18" x14ac:dyDescent="0.2">
      <c r="A18" s="10" t="s">
        <v>20</v>
      </c>
      <c r="B18" s="11">
        <f>s_ri!B18*shock_i!$E$2</f>
        <v>30.009341214573833</v>
      </c>
      <c r="C18" s="11">
        <f>shock_i!$E$3*s_ri!C18</f>
        <v>1286.3188148795405</v>
      </c>
      <c r="D18" s="11">
        <f>s_ri!D18*shock_i!$E$4</f>
        <v>0</v>
      </c>
      <c r="E18" s="11">
        <f>s_ri!E18*shock_i!$E$5</f>
        <v>0</v>
      </c>
      <c r="F18" s="11">
        <f>s_ri!F18*shock_i!$E$6</f>
        <v>8.4134629548926355E-3</v>
      </c>
      <c r="G18" s="11">
        <f>s_ri!G18*shock_i!$E$7</f>
        <v>1.4374730770059967</v>
      </c>
      <c r="H18" s="11">
        <f t="shared" si="0"/>
        <v>1.3177740426340752</v>
      </c>
      <c r="K18" s="15" t="s">
        <v>20</v>
      </c>
      <c r="L18" s="11">
        <f>s_ri!K18*shock_i!$E$8</f>
        <v>13.131334514235473</v>
      </c>
      <c r="M18" s="11">
        <f>s_ri!L18*shock_i!$E$9</f>
        <v>526.39581068235702</v>
      </c>
      <c r="N18" s="11">
        <f>s_ri!M18*shock_i!$E$10</f>
        <v>0</v>
      </c>
      <c r="O18" s="11">
        <f>s_ri!E18*shock_i!$E$11</f>
        <v>0</v>
      </c>
      <c r="P18" s="11">
        <f>s_ri!O18*shock_i!$E$12</f>
        <v>4.5980895479616254E-3</v>
      </c>
      <c r="Q18" s="11">
        <f>shock_i!$E$13*s_ri!P18</f>
        <v>-7.5361323528231522E-2</v>
      </c>
      <c r="R18" s="11">
        <f t="shared" si="1"/>
        <v>0.53945638196261225</v>
      </c>
    </row>
    <row r="19" spans="1:18" x14ac:dyDescent="0.2">
      <c r="A19" s="10" t="s">
        <v>21</v>
      </c>
      <c r="B19" s="11">
        <f>s_ri!B19*shock_i!$E$2</f>
        <v>0</v>
      </c>
      <c r="C19" s="11">
        <f>shock_i!$E$3*s_ri!C19</f>
        <v>0</v>
      </c>
      <c r="D19" s="11">
        <f>s_ri!D19*shock_i!$E$4</f>
        <v>0</v>
      </c>
      <c r="E19" s="11">
        <f>s_ri!E19*shock_i!$E$5</f>
        <v>0</v>
      </c>
      <c r="F19" s="11">
        <f>s_ri!F19*shock_i!$E$6</f>
        <v>0</v>
      </c>
      <c r="G19" s="11">
        <f>s_ri!G19*shock_i!$E$7</f>
        <v>4.2539675122787619</v>
      </c>
      <c r="H19" s="11">
        <f t="shared" si="0"/>
        <v>4.2539675122787619E-3</v>
      </c>
      <c r="K19" s="15" t="s">
        <v>21</v>
      </c>
      <c r="L19" s="11">
        <f>s_ri!K19*shock_i!$E$8</f>
        <v>0</v>
      </c>
      <c r="M19" s="11">
        <f>s_ri!L19*shock_i!$E$9</f>
        <v>0</v>
      </c>
      <c r="N19" s="11">
        <f>s_ri!M19*shock_i!$E$10</f>
        <v>0</v>
      </c>
      <c r="O19" s="11">
        <f>s_ri!E19*shock_i!$E$11</f>
        <v>0</v>
      </c>
      <c r="P19" s="11">
        <f>s_ri!O19*shock_i!$E$12</f>
        <v>3.2363106151913081E-3</v>
      </c>
      <c r="Q19" s="11">
        <f>shock_i!$E$13*s_ri!P19</f>
        <v>-0.15509934656172855</v>
      </c>
      <c r="R19" s="11">
        <f t="shared" si="1"/>
        <v>-1.5186303594653724E-4</v>
      </c>
    </row>
    <row r="20" spans="1:18" x14ac:dyDescent="0.2">
      <c r="A20" s="10" t="s">
        <v>22</v>
      </c>
      <c r="B20" s="11">
        <f>s_ri!B20*shock_i!$E$2</f>
        <v>0</v>
      </c>
      <c r="C20" s="11">
        <f>shock_i!$E$3*s_ri!C20</f>
        <v>0</v>
      </c>
      <c r="D20" s="11">
        <f>s_ri!D20*shock_i!$E$4</f>
        <v>0</v>
      </c>
      <c r="E20" s="11">
        <f>s_ri!E20*shock_i!$E$5</f>
        <v>0</v>
      </c>
      <c r="F20" s="11">
        <f>s_ri!F20*shock_i!$E$6</f>
        <v>0</v>
      </c>
      <c r="G20" s="11">
        <f>s_ri!G20*shock_i!$E$7</f>
        <v>4.7205628263494619</v>
      </c>
      <c r="H20" s="11">
        <f t="shared" si="0"/>
        <v>4.7205628263494621E-3</v>
      </c>
      <c r="K20" s="15" t="s">
        <v>22</v>
      </c>
      <c r="L20" s="11">
        <f>s_ri!K20*shock_i!$E$8</f>
        <v>0</v>
      </c>
      <c r="M20" s="11">
        <f>s_ri!L20*shock_i!$E$9</f>
        <v>0</v>
      </c>
      <c r="N20" s="11">
        <f>s_ri!M20*shock_i!$E$10</f>
        <v>0</v>
      </c>
      <c r="O20" s="11">
        <f>s_ri!E20*shock_i!$E$11</f>
        <v>0</v>
      </c>
      <c r="P20" s="11">
        <f>s_ri!O20*shock_i!$E$12</f>
        <v>4.638434918948775E-3</v>
      </c>
      <c r="Q20" s="11">
        <f>shock_i!$E$13*s_ri!P20</f>
        <v>-0.1615716706655812</v>
      </c>
      <c r="R20" s="11">
        <f t="shared" si="1"/>
        <v>-1.5693323574663242E-4</v>
      </c>
    </row>
    <row r="21" spans="1:18" x14ac:dyDescent="0.2">
      <c r="A21" s="10" t="s">
        <v>23</v>
      </c>
      <c r="B21" s="11">
        <f>s_ri!B21*shock_i!$E$2</f>
        <v>12.789733221728405</v>
      </c>
      <c r="C21" s="11">
        <f>shock_i!$E$3*s_ri!C21</f>
        <v>531.51415216737746</v>
      </c>
      <c r="D21" s="11">
        <f>s_ri!D21*shock_i!$E$4</f>
        <v>0</v>
      </c>
      <c r="E21" s="11">
        <f>s_ri!E21*shock_i!$E$5</f>
        <v>0</v>
      </c>
      <c r="F21" s="11">
        <f>s_ri!F21*shock_i!$E$6</f>
        <v>1.0105259109927819E-2</v>
      </c>
      <c r="G21" s="11">
        <f>s_ri!G21*shock_i!$E$7</f>
        <v>1.7846685932488306</v>
      </c>
      <c r="H21" s="11">
        <f t="shared" si="0"/>
        <v>0.54609865924146461</v>
      </c>
      <c r="K21" s="15" t="s">
        <v>23</v>
      </c>
      <c r="L21" s="11">
        <f>s_ri!K21*shock_i!$E$8</f>
        <v>2.9359381418013042</v>
      </c>
      <c r="M21" s="11">
        <f>s_ri!L21*shock_i!$E$9</f>
        <v>200.68618548873209</v>
      </c>
      <c r="N21" s="11">
        <f>s_ri!M21*shock_i!$E$10</f>
        <v>0</v>
      </c>
      <c r="O21" s="11">
        <f>s_ri!E21*shock_i!$E$11</f>
        <v>0</v>
      </c>
      <c r="P21" s="11">
        <f>s_ri!O21*shock_i!$E$12</f>
        <v>4.6110697138539505E-3</v>
      </c>
      <c r="Q21" s="11">
        <f>shock_i!$E$13*s_ri!P21</f>
        <v>-8.3167888241717003E-2</v>
      </c>
      <c r="R21" s="11">
        <f t="shared" si="1"/>
        <v>0.20354356681200553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4584-28E6-5347-BAED-8C22A9E31628}">
  <dimension ref="A1:W40"/>
  <sheetViews>
    <sheetView topLeftCell="E1" workbookViewId="0">
      <selection activeCell="W3" sqref="W3:W26"/>
    </sheetView>
  </sheetViews>
  <sheetFormatPr baseColWidth="10" defaultRowHeight="16" x14ac:dyDescent="0.2"/>
  <cols>
    <col min="1" max="2" width="10.83203125" style="1"/>
    <col min="3" max="3" width="17.5" style="2" bestFit="1" customWidth="1"/>
    <col min="4" max="6" width="10.83203125" style="1"/>
    <col min="7" max="7" width="15.6640625" style="2" bestFit="1" customWidth="1"/>
    <col min="8" max="10" width="10.83203125" style="1"/>
    <col min="11" max="11" width="17.83203125" style="2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5.6640625" style="1" bestFit="1" customWidth="1"/>
  </cols>
  <sheetData>
    <row r="1" spans="1:23" s="12" customFormat="1" x14ac:dyDescent="0.2">
      <c r="A1" s="17" t="s">
        <v>38</v>
      </c>
      <c r="B1" s="17"/>
      <c r="C1" s="17"/>
      <c r="E1" s="17" t="s">
        <v>39</v>
      </c>
      <c r="F1" s="17"/>
      <c r="G1" s="17"/>
      <c r="I1" s="17" t="s">
        <v>40</v>
      </c>
      <c r="J1" s="17"/>
      <c r="K1" s="17"/>
      <c r="M1" s="17" t="s">
        <v>41</v>
      </c>
      <c r="N1" s="17"/>
      <c r="O1" s="17"/>
      <c r="Q1" s="17" t="s">
        <v>42</v>
      </c>
      <c r="R1" s="17"/>
      <c r="S1" s="17"/>
      <c r="U1" s="17" t="s">
        <v>43</v>
      </c>
      <c r="V1" s="17"/>
      <c r="W1" s="17"/>
    </row>
    <row r="2" spans="1:23" s="5" customFormat="1" x14ac:dyDescent="0.2">
      <c r="A2" s="6" t="s">
        <v>1</v>
      </c>
      <c r="B2" s="6" t="s">
        <v>2</v>
      </c>
      <c r="C2" s="7" t="s">
        <v>29</v>
      </c>
      <c r="D2" s="4"/>
      <c r="E2" s="6" t="s">
        <v>1</v>
      </c>
      <c r="F2" s="6" t="s">
        <v>2</v>
      </c>
      <c r="G2" s="7" t="s">
        <v>29</v>
      </c>
      <c r="H2" s="4"/>
      <c r="I2" s="6" t="s">
        <v>1</v>
      </c>
      <c r="J2" s="6" t="s">
        <v>2</v>
      </c>
      <c r="K2" s="7" t="s">
        <v>29</v>
      </c>
      <c r="L2" s="4"/>
      <c r="M2" s="6" t="s">
        <v>1</v>
      </c>
      <c r="N2" s="6" t="s">
        <v>2</v>
      </c>
      <c r="O2" s="13" t="s">
        <v>29</v>
      </c>
      <c r="P2" s="4"/>
      <c r="Q2" s="6" t="s">
        <v>1</v>
      </c>
      <c r="R2" s="6" t="s">
        <v>2</v>
      </c>
      <c r="S2" s="6" t="s">
        <v>29</v>
      </c>
      <c r="T2" s="4"/>
      <c r="U2" s="6" t="s">
        <v>1</v>
      </c>
      <c r="V2" s="6" t="s">
        <v>2</v>
      </c>
      <c r="W2" s="13" t="s">
        <v>29</v>
      </c>
    </row>
    <row r="3" spans="1:23" x14ac:dyDescent="0.2">
      <c r="A3" s="8">
        <v>1999</v>
      </c>
      <c r="B3" s="8" t="s">
        <v>4</v>
      </c>
      <c r="C3" s="9">
        <v>31366299</v>
      </c>
      <c r="E3" s="8">
        <v>1999</v>
      </c>
      <c r="F3" s="8" t="s">
        <v>4</v>
      </c>
      <c r="G3" s="9">
        <v>1907415</v>
      </c>
      <c r="I3" s="8">
        <v>1999</v>
      </c>
      <c r="J3" s="8" t="s">
        <v>4</v>
      </c>
      <c r="K3" s="9">
        <v>1643501884</v>
      </c>
      <c r="M3" s="8">
        <v>1999</v>
      </c>
      <c r="N3" s="8" t="s">
        <v>4</v>
      </c>
      <c r="O3" s="9">
        <v>1125099</v>
      </c>
      <c r="Q3" s="8">
        <v>1999</v>
      </c>
      <c r="R3" s="8" t="s">
        <v>4</v>
      </c>
      <c r="S3" s="9">
        <v>8132064</v>
      </c>
      <c r="U3" s="8">
        <v>1999</v>
      </c>
      <c r="V3" s="8" t="s">
        <v>4</v>
      </c>
      <c r="W3" s="9">
        <v>1414721</v>
      </c>
    </row>
    <row r="4" spans="1:23" x14ac:dyDescent="0.2">
      <c r="A4" s="8">
        <v>1999</v>
      </c>
      <c r="B4" s="8" t="s">
        <v>24</v>
      </c>
      <c r="C4" s="9">
        <v>4170822649</v>
      </c>
      <c r="E4" s="8">
        <v>1999</v>
      </c>
      <c r="F4" s="8" t="s">
        <v>24</v>
      </c>
      <c r="G4" s="9">
        <v>723830435</v>
      </c>
      <c r="I4" s="8">
        <v>1999</v>
      </c>
      <c r="J4" s="8" t="s">
        <v>24</v>
      </c>
      <c r="K4" s="9">
        <v>40528188750</v>
      </c>
      <c r="M4" s="8">
        <v>1999</v>
      </c>
      <c r="N4" s="8" t="s">
        <v>24</v>
      </c>
      <c r="O4" s="9">
        <v>920711827</v>
      </c>
      <c r="Q4" s="8">
        <v>1999</v>
      </c>
      <c r="R4" s="8" t="s">
        <v>24</v>
      </c>
      <c r="S4" s="9">
        <v>745304253</v>
      </c>
      <c r="U4" s="8">
        <v>1999</v>
      </c>
      <c r="V4" s="8" t="s">
        <v>24</v>
      </c>
      <c r="W4" s="9">
        <v>757645750</v>
      </c>
    </row>
    <row r="5" spans="1:23" x14ac:dyDescent="0.2">
      <c r="A5" s="8">
        <v>1999</v>
      </c>
      <c r="B5" s="8" t="s">
        <v>25</v>
      </c>
      <c r="C5" s="9">
        <v>0</v>
      </c>
      <c r="E5" s="8">
        <v>1999</v>
      </c>
      <c r="F5" s="8" t="s">
        <v>25</v>
      </c>
      <c r="G5" s="9">
        <v>0</v>
      </c>
      <c r="I5" s="8">
        <v>1999</v>
      </c>
      <c r="J5" s="8" t="s">
        <v>25</v>
      </c>
      <c r="K5" s="9">
        <v>0</v>
      </c>
      <c r="M5" s="8">
        <v>1999</v>
      </c>
      <c r="N5" s="8" t="s">
        <v>25</v>
      </c>
      <c r="O5" s="9">
        <v>0</v>
      </c>
      <c r="Q5" s="8">
        <v>1999</v>
      </c>
      <c r="R5" s="8" t="s">
        <v>25</v>
      </c>
      <c r="S5" s="9">
        <v>0</v>
      </c>
      <c r="U5" s="8">
        <v>1999</v>
      </c>
      <c r="V5" s="8" t="s">
        <v>25</v>
      </c>
      <c r="W5" s="9">
        <v>0</v>
      </c>
    </row>
    <row r="6" spans="1:23" x14ac:dyDescent="0.2">
      <c r="A6" s="8">
        <v>1999</v>
      </c>
      <c r="B6" s="8" t="s">
        <v>26</v>
      </c>
      <c r="C6" s="9">
        <v>0</v>
      </c>
      <c r="E6" s="8">
        <v>1999</v>
      </c>
      <c r="F6" s="8" t="s">
        <v>26</v>
      </c>
      <c r="G6" s="9">
        <v>0</v>
      </c>
      <c r="I6" s="8">
        <v>1999</v>
      </c>
      <c r="J6" s="8" t="s">
        <v>26</v>
      </c>
      <c r="K6" s="9">
        <v>0</v>
      </c>
      <c r="M6" s="8">
        <v>1999</v>
      </c>
      <c r="N6" s="8" t="s">
        <v>26</v>
      </c>
      <c r="O6" s="9">
        <v>0</v>
      </c>
      <c r="Q6" s="8">
        <v>1999</v>
      </c>
      <c r="R6" s="8" t="s">
        <v>26</v>
      </c>
      <c r="S6" s="9">
        <v>0</v>
      </c>
      <c r="U6" s="8">
        <v>1999</v>
      </c>
      <c r="V6" s="8" t="s">
        <v>26</v>
      </c>
      <c r="W6" s="9">
        <v>0</v>
      </c>
    </row>
    <row r="7" spans="1:23" x14ac:dyDescent="0.2">
      <c r="A7" s="8">
        <v>1999</v>
      </c>
      <c r="B7" s="8" t="s">
        <v>27</v>
      </c>
      <c r="C7" s="9">
        <v>13735</v>
      </c>
      <c r="E7" s="8">
        <v>1999</v>
      </c>
      <c r="F7" s="8" t="s">
        <v>27</v>
      </c>
      <c r="G7" s="9">
        <v>0</v>
      </c>
      <c r="I7" s="8">
        <v>1999</v>
      </c>
      <c r="J7" s="8" t="s">
        <v>27</v>
      </c>
      <c r="K7" s="9">
        <v>399015</v>
      </c>
      <c r="M7" s="8">
        <v>1999</v>
      </c>
      <c r="N7" s="8" t="s">
        <v>27</v>
      </c>
      <c r="O7" s="9">
        <v>4382</v>
      </c>
      <c r="Q7" s="8">
        <v>1999</v>
      </c>
      <c r="R7" s="8" t="s">
        <v>27</v>
      </c>
      <c r="S7" s="9">
        <v>0</v>
      </c>
      <c r="U7" s="8">
        <v>1999</v>
      </c>
      <c r="V7" s="8" t="s">
        <v>27</v>
      </c>
      <c r="W7" s="9">
        <v>1451</v>
      </c>
    </row>
    <row r="8" spans="1:23" x14ac:dyDescent="0.2">
      <c r="A8" s="8">
        <v>1999</v>
      </c>
      <c r="B8" s="8" t="s">
        <v>28</v>
      </c>
      <c r="C8" s="9">
        <v>11992818</v>
      </c>
      <c r="E8" s="8">
        <v>1999</v>
      </c>
      <c r="F8" s="8" t="s">
        <v>28</v>
      </c>
      <c r="G8" s="9">
        <v>916058</v>
      </c>
      <c r="I8" s="8">
        <v>1999</v>
      </c>
      <c r="J8" s="8" t="s">
        <v>28</v>
      </c>
      <c r="K8" s="9">
        <v>313452422</v>
      </c>
      <c r="M8" s="8">
        <v>1999</v>
      </c>
      <c r="N8" s="8" t="s">
        <v>28</v>
      </c>
      <c r="O8" s="9">
        <v>310766</v>
      </c>
      <c r="Q8" s="8">
        <v>1999</v>
      </c>
      <c r="R8" s="8" t="s">
        <v>28</v>
      </c>
      <c r="S8" s="9">
        <v>1466967</v>
      </c>
      <c r="U8" s="8">
        <v>1999</v>
      </c>
      <c r="V8" s="8" t="s">
        <v>28</v>
      </c>
      <c r="W8" s="9">
        <v>2039185</v>
      </c>
    </row>
    <row r="9" spans="1:23" x14ac:dyDescent="0.2">
      <c r="A9" s="8">
        <v>2011</v>
      </c>
      <c r="B9" s="8" t="s">
        <v>4</v>
      </c>
      <c r="C9" s="9">
        <v>126210268</v>
      </c>
      <c r="E9" s="8">
        <v>2011</v>
      </c>
      <c r="F9" s="8" t="s">
        <v>4</v>
      </c>
      <c r="G9" s="9">
        <v>2661830</v>
      </c>
      <c r="I9" s="8">
        <v>2011</v>
      </c>
      <c r="J9" s="8" t="s">
        <v>4</v>
      </c>
      <c r="K9" s="9">
        <v>1871215480</v>
      </c>
      <c r="M9" s="8">
        <v>2011</v>
      </c>
      <c r="N9" s="8" t="s">
        <v>4</v>
      </c>
      <c r="O9" s="9">
        <v>14453257</v>
      </c>
      <c r="Q9" s="14">
        <v>2011</v>
      </c>
      <c r="R9" s="14" t="s">
        <v>4</v>
      </c>
      <c r="S9" s="9">
        <v>23104718.137999993</v>
      </c>
      <c r="U9" s="8">
        <v>2011</v>
      </c>
      <c r="V9" s="8" t="s">
        <v>4</v>
      </c>
      <c r="W9" s="9">
        <v>10454215</v>
      </c>
    </row>
    <row r="10" spans="1:23" x14ac:dyDescent="0.2">
      <c r="A10" s="8">
        <v>2011</v>
      </c>
      <c r="B10" s="8" t="s">
        <v>24</v>
      </c>
      <c r="C10" s="9">
        <v>42571628341</v>
      </c>
      <c r="E10" s="8">
        <v>2011</v>
      </c>
      <c r="F10" s="8" t="s">
        <v>24</v>
      </c>
      <c r="G10" s="9">
        <v>3030544423</v>
      </c>
      <c r="I10" s="8">
        <v>2011</v>
      </c>
      <c r="J10" s="8" t="s">
        <v>24</v>
      </c>
      <c r="K10" s="9">
        <v>178004922182</v>
      </c>
      <c r="M10" s="8">
        <v>2011</v>
      </c>
      <c r="N10" s="8" t="s">
        <v>24</v>
      </c>
      <c r="O10" s="9">
        <v>8239528662</v>
      </c>
      <c r="Q10" s="14">
        <v>2011</v>
      </c>
      <c r="R10" s="14" t="s">
        <v>24</v>
      </c>
      <c r="S10" s="9">
        <v>5835469332.3119984</v>
      </c>
      <c r="U10" s="8">
        <v>2011</v>
      </c>
      <c r="V10" s="8" t="s">
        <v>24</v>
      </c>
      <c r="W10" s="9">
        <v>6831335381</v>
      </c>
    </row>
    <row r="11" spans="1:23" x14ac:dyDescent="0.2">
      <c r="A11" s="8">
        <v>2011</v>
      </c>
      <c r="B11" s="8" t="s">
        <v>25</v>
      </c>
      <c r="C11" s="9">
        <v>0</v>
      </c>
      <c r="E11" s="8">
        <v>2011</v>
      </c>
      <c r="F11" s="8" t="s">
        <v>25</v>
      </c>
      <c r="G11" s="9">
        <v>0</v>
      </c>
      <c r="I11" s="8">
        <v>2011</v>
      </c>
      <c r="J11" s="8" t="s">
        <v>25</v>
      </c>
      <c r="K11" s="9">
        <v>0</v>
      </c>
      <c r="M11" s="8">
        <v>2011</v>
      </c>
      <c r="N11" s="8" t="s">
        <v>25</v>
      </c>
      <c r="O11" s="9">
        <v>0</v>
      </c>
      <c r="Q11" s="14">
        <v>2011</v>
      </c>
      <c r="R11" s="14" t="s">
        <v>25</v>
      </c>
      <c r="S11" s="9">
        <v>0</v>
      </c>
      <c r="U11" s="8">
        <v>2011</v>
      </c>
      <c r="V11" s="8" t="s">
        <v>25</v>
      </c>
      <c r="W11" s="9">
        <v>0</v>
      </c>
    </row>
    <row r="12" spans="1:23" x14ac:dyDescent="0.2">
      <c r="A12" s="8">
        <v>2011</v>
      </c>
      <c r="B12" s="8" t="s">
        <v>26</v>
      </c>
      <c r="C12" s="9">
        <v>0</v>
      </c>
      <c r="E12" s="8">
        <v>2011</v>
      </c>
      <c r="F12" s="8" t="s">
        <v>26</v>
      </c>
      <c r="G12" s="9">
        <v>0</v>
      </c>
      <c r="I12" s="8">
        <v>2011</v>
      </c>
      <c r="J12" s="8" t="s">
        <v>26</v>
      </c>
      <c r="K12" s="9">
        <v>0</v>
      </c>
      <c r="M12" s="8">
        <v>2011</v>
      </c>
      <c r="N12" s="8" t="s">
        <v>26</v>
      </c>
      <c r="O12" s="9">
        <v>0</v>
      </c>
      <c r="Q12" s="14">
        <v>2011</v>
      </c>
      <c r="R12" s="14" t="s">
        <v>26</v>
      </c>
      <c r="S12" s="9">
        <v>0</v>
      </c>
      <c r="U12" s="8">
        <v>2011</v>
      </c>
      <c r="V12" s="8" t="s">
        <v>26</v>
      </c>
      <c r="W12" s="9">
        <v>0</v>
      </c>
    </row>
    <row r="13" spans="1:23" x14ac:dyDescent="0.2">
      <c r="A13" s="8">
        <v>2011</v>
      </c>
      <c r="B13" s="8" t="s">
        <v>27</v>
      </c>
      <c r="C13" s="9">
        <v>12361</v>
      </c>
      <c r="E13" s="8">
        <v>2011</v>
      </c>
      <c r="F13" s="8" t="s">
        <v>27</v>
      </c>
      <c r="G13" s="9">
        <v>2351</v>
      </c>
      <c r="I13" s="8">
        <v>2011</v>
      </c>
      <c r="J13" s="8" t="s">
        <v>27</v>
      </c>
      <c r="K13" s="9">
        <v>761578</v>
      </c>
      <c r="M13" s="8">
        <v>2011</v>
      </c>
      <c r="N13" s="8" t="s">
        <v>27</v>
      </c>
      <c r="O13" s="9">
        <v>2049</v>
      </c>
      <c r="Q13" s="14">
        <v>2011</v>
      </c>
      <c r="R13" s="14" t="s">
        <v>27</v>
      </c>
      <c r="S13" s="9">
        <v>119105.481</v>
      </c>
      <c r="U13" s="8">
        <v>2011</v>
      </c>
      <c r="V13" s="8" t="s">
        <v>27</v>
      </c>
      <c r="W13" s="9">
        <v>1541</v>
      </c>
    </row>
    <row r="14" spans="1:23" x14ac:dyDescent="0.2">
      <c r="A14" s="8">
        <v>2011</v>
      </c>
      <c r="B14" s="8" t="s">
        <v>28</v>
      </c>
      <c r="C14" s="9">
        <v>13383600</v>
      </c>
      <c r="E14" s="8">
        <v>2011</v>
      </c>
      <c r="F14" s="8" t="s">
        <v>28</v>
      </c>
      <c r="G14" s="9">
        <v>2764490</v>
      </c>
      <c r="I14" s="8">
        <v>2011</v>
      </c>
      <c r="J14" s="8" t="s">
        <v>28</v>
      </c>
      <c r="K14" s="9">
        <v>598610981</v>
      </c>
      <c r="M14" s="8">
        <v>2011</v>
      </c>
      <c r="N14" s="8" t="s">
        <v>28</v>
      </c>
      <c r="O14" s="9">
        <v>32414433</v>
      </c>
      <c r="Q14" s="14">
        <v>2011</v>
      </c>
      <c r="R14" s="14" t="s">
        <v>28</v>
      </c>
      <c r="S14" s="9">
        <v>2539302.148</v>
      </c>
      <c r="U14" s="8">
        <v>2011</v>
      </c>
      <c r="V14" s="8" t="s">
        <v>28</v>
      </c>
      <c r="W14" s="9">
        <v>3199406</v>
      </c>
    </row>
    <row r="15" spans="1:23" x14ac:dyDescent="0.2">
      <c r="A15" s="8">
        <v>2012</v>
      </c>
      <c r="B15" s="8" t="s">
        <v>4</v>
      </c>
      <c r="C15" s="9">
        <v>113128043</v>
      </c>
      <c r="E15" s="8">
        <v>2012</v>
      </c>
      <c r="F15" s="8" t="s">
        <v>4</v>
      </c>
      <c r="G15" s="9">
        <v>7005283</v>
      </c>
      <c r="I15" s="8">
        <v>2012</v>
      </c>
      <c r="J15" s="8" t="s">
        <v>4</v>
      </c>
      <c r="K15" s="9">
        <v>1945974614</v>
      </c>
      <c r="M15" s="8">
        <v>2012</v>
      </c>
      <c r="N15" s="8" t="s">
        <v>4</v>
      </c>
      <c r="O15" s="9">
        <v>13598740</v>
      </c>
      <c r="Q15" s="8">
        <v>2012</v>
      </c>
      <c r="R15" s="8" t="s">
        <v>4</v>
      </c>
      <c r="S15" s="9">
        <v>21088671.141000003</v>
      </c>
      <c r="U15" s="8">
        <v>2012</v>
      </c>
      <c r="V15" s="8" t="s">
        <v>4</v>
      </c>
      <c r="W15" s="9">
        <v>11961046.121999998</v>
      </c>
    </row>
    <row r="16" spans="1:23" x14ac:dyDescent="0.2">
      <c r="A16" s="8">
        <v>2012</v>
      </c>
      <c r="B16" s="8" t="s">
        <v>24</v>
      </c>
      <c r="C16" s="9">
        <v>44967001411</v>
      </c>
      <c r="E16" s="8">
        <v>2012</v>
      </c>
      <c r="F16" s="8" t="s">
        <v>24</v>
      </c>
      <c r="G16" s="9">
        <v>5857709242</v>
      </c>
      <c r="I16" s="8">
        <v>2012</v>
      </c>
      <c r="J16" s="8" t="s">
        <v>24</v>
      </c>
      <c r="K16" s="9">
        <v>183922128298</v>
      </c>
      <c r="M16" s="8">
        <v>2012</v>
      </c>
      <c r="N16" s="8" t="s">
        <v>24</v>
      </c>
      <c r="O16" s="9">
        <v>8057038925</v>
      </c>
      <c r="Q16" s="8">
        <v>2012</v>
      </c>
      <c r="R16" s="8" t="s">
        <v>24</v>
      </c>
      <c r="S16" s="9">
        <v>6182173750.6299992</v>
      </c>
      <c r="U16" s="8">
        <v>2012</v>
      </c>
      <c r="V16" s="8" t="s">
        <v>24</v>
      </c>
      <c r="W16" s="9">
        <v>8033882883.1989965</v>
      </c>
    </row>
    <row r="17" spans="1:23" x14ac:dyDescent="0.2">
      <c r="A17" s="8">
        <v>2012</v>
      </c>
      <c r="B17" s="8" t="s">
        <v>25</v>
      </c>
      <c r="C17" s="9">
        <v>0</v>
      </c>
      <c r="E17" s="8">
        <v>2012</v>
      </c>
      <c r="F17" s="8" t="s">
        <v>25</v>
      </c>
      <c r="G17" s="9">
        <v>0</v>
      </c>
      <c r="I17" s="8">
        <v>2012</v>
      </c>
      <c r="J17" s="8" t="s">
        <v>25</v>
      </c>
      <c r="K17" s="9">
        <v>0</v>
      </c>
      <c r="M17" s="8">
        <v>2012</v>
      </c>
      <c r="N17" s="8" t="s">
        <v>25</v>
      </c>
      <c r="O17" s="9">
        <v>0</v>
      </c>
      <c r="Q17" s="8">
        <v>2012</v>
      </c>
      <c r="R17" s="8" t="s">
        <v>25</v>
      </c>
      <c r="S17" s="9">
        <v>0</v>
      </c>
      <c r="U17" s="8">
        <v>2012</v>
      </c>
      <c r="V17" s="8" t="s">
        <v>25</v>
      </c>
      <c r="W17" s="9">
        <v>0</v>
      </c>
    </row>
    <row r="18" spans="1:23" x14ac:dyDescent="0.2">
      <c r="A18" s="8">
        <v>2012</v>
      </c>
      <c r="B18" s="8" t="s">
        <v>26</v>
      </c>
      <c r="C18" s="9">
        <v>0</v>
      </c>
      <c r="E18" s="8">
        <v>2012</v>
      </c>
      <c r="F18" s="8" t="s">
        <v>26</v>
      </c>
      <c r="G18" s="9">
        <v>0</v>
      </c>
      <c r="I18" s="8">
        <v>2012</v>
      </c>
      <c r="J18" s="8" t="s">
        <v>26</v>
      </c>
      <c r="K18" s="9">
        <v>0</v>
      </c>
      <c r="M18" s="8">
        <v>2012</v>
      </c>
      <c r="N18" s="8" t="s">
        <v>26</v>
      </c>
      <c r="O18" s="9">
        <v>0</v>
      </c>
      <c r="Q18" s="8">
        <v>2012</v>
      </c>
      <c r="R18" s="8" t="s">
        <v>26</v>
      </c>
      <c r="S18" s="9">
        <v>0</v>
      </c>
      <c r="U18" s="8">
        <v>2012</v>
      </c>
      <c r="V18" s="8" t="s">
        <v>26</v>
      </c>
      <c r="W18" s="9">
        <v>0</v>
      </c>
    </row>
    <row r="19" spans="1:23" x14ac:dyDescent="0.2">
      <c r="A19" s="8">
        <v>2012</v>
      </c>
      <c r="B19" s="8" t="s">
        <v>27</v>
      </c>
      <c r="C19" s="9">
        <v>22409</v>
      </c>
      <c r="E19" s="8">
        <v>2012</v>
      </c>
      <c r="F19" s="8" t="s">
        <v>27</v>
      </c>
      <c r="G19" s="9">
        <v>316</v>
      </c>
      <c r="I19" s="8">
        <v>2012</v>
      </c>
      <c r="J19" s="8" t="s">
        <v>27</v>
      </c>
      <c r="K19" s="9">
        <v>656483</v>
      </c>
      <c r="M19" s="8">
        <v>2012</v>
      </c>
      <c r="N19" s="8" t="s">
        <v>27</v>
      </c>
      <c r="O19" s="9">
        <v>37350</v>
      </c>
      <c r="Q19" s="8">
        <v>2012</v>
      </c>
      <c r="R19" s="8" t="s">
        <v>27</v>
      </c>
      <c r="S19" s="9">
        <v>113827.758</v>
      </c>
      <c r="U19" s="8">
        <v>2012</v>
      </c>
      <c r="V19" s="8" t="s">
        <v>27</v>
      </c>
      <c r="W19" s="9">
        <v>14028.040999999999</v>
      </c>
    </row>
    <row r="20" spans="1:23" x14ac:dyDescent="0.2">
      <c r="A20" s="8">
        <v>2012</v>
      </c>
      <c r="B20" s="8" t="s">
        <v>28</v>
      </c>
      <c r="C20" s="9">
        <v>5420936</v>
      </c>
      <c r="E20" s="8">
        <v>2012</v>
      </c>
      <c r="F20" s="8" t="s">
        <v>28</v>
      </c>
      <c r="G20" s="9">
        <v>177835</v>
      </c>
      <c r="I20" s="8">
        <v>2012</v>
      </c>
      <c r="J20" s="8" t="s">
        <v>28</v>
      </c>
      <c r="K20" s="9">
        <v>3975949</v>
      </c>
      <c r="M20" s="8">
        <v>2012</v>
      </c>
      <c r="N20" s="8" t="s">
        <v>28</v>
      </c>
      <c r="O20" s="9">
        <v>1176883</v>
      </c>
      <c r="Q20" s="8">
        <v>2012</v>
      </c>
      <c r="R20" s="8" t="s">
        <v>28</v>
      </c>
      <c r="S20" s="9">
        <v>1366947.399</v>
      </c>
      <c r="U20" s="8">
        <v>2012</v>
      </c>
      <c r="V20" s="8" t="s">
        <v>28</v>
      </c>
      <c r="W20" s="9">
        <v>1414026.5360000003</v>
      </c>
    </row>
    <row r="21" spans="1:23" x14ac:dyDescent="0.2">
      <c r="A21" s="8">
        <v>2019</v>
      </c>
      <c r="B21" s="8" t="s">
        <v>4</v>
      </c>
      <c r="C21" s="9">
        <v>146879473.11299998</v>
      </c>
      <c r="E21" s="8">
        <v>2019</v>
      </c>
      <c r="F21" s="8" t="s">
        <v>4</v>
      </c>
      <c r="G21" s="9">
        <v>7122216.3409999991</v>
      </c>
      <c r="I21" s="8">
        <v>2019</v>
      </c>
      <c r="J21" s="8" t="s">
        <v>4</v>
      </c>
      <c r="K21" s="9">
        <v>1680540049.9689999</v>
      </c>
      <c r="M21" s="8">
        <v>2019</v>
      </c>
      <c r="N21" s="8" t="s">
        <v>4</v>
      </c>
      <c r="O21" s="9">
        <v>17859836.295000002</v>
      </c>
      <c r="Q21" s="8">
        <v>2019</v>
      </c>
      <c r="R21" s="8" t="s">
        <v>4</v>
      </c>
      <c r="S21" s="9">
        <v>34921627.182999998</v>
      </c>
      <c r="U21" s="8">
        <v>2019</v>
      </c>
      <c r="V21" s="8" t="s">
        <v>4</v>
      </c>
      <c r="W21" s="9">
        <v>17012271.848999996</v>
      </c>
    </row>
    <row r="22" spans="1:23" x14ac:dyDescent="0.2">
      <c r="A22" s="8">
        <v>2019</v>
      </c>
      <c r="B22" s="8" t="s">
        <v>24</v>
      </c>
      <c r="C22" s="9">
        <v>56280201464.155975</v>
      </c>
      <c r="E22" s="8">
        <v>2019</v>
      </c>
      <c r="F22" s="8" t="s">
        <v>24</v>
      </c>
      <c r="G22" s="9">
        <v>5433852241.2350016</v>
      </c>
      <c r="I22" s="8">
        <v>2019</v>
      </c>
      <c r="J22" s="8" t="s">
        <v>24</v>
      </c>
      <c r="K22" s="9">
        <v>165747713145.07303</v>
      </c>
      <c r="M22" s="8">
        <v>2019</v>
      </c>
      <c r="N22" s="8" t="s">
        <v>24</v>
      </c>
      <c r="O22" s="9">
        <v>8725998014.9170017</v>
      </c>
      <c r="Q22" s="8">
        <v>2019</v>
      </c>
      <c r="R22" s="8" t="s">
        <v>24</v>
      </c>
      <c r="S22" s="9">
        <v>8420438392.8069992</v>
      </c>
      <c r="U22" s="8">
        <v>2019</v>
      </c>
      <c r="V22" s="8" t="s">
        <v>24</v>
      </c>
      <c r="W22" s="9">
        <v>9641017738.1749992</v>
      </c>
    </row>
    <row r="23" spans="1:23" x14ac:dyDescent="0.2">
      <c r="A23" s="8">
        <v>2019</v>
      </c>
      <c r="B23" s="8" t="s">
        <v>25</v>
      </c>
      <c r="C23" s="9">
        <v>0</v>
      </c>
      <c r="E23" s="8">
        <v>2019</v>
      </c>
      <c r="F23" s="8" t="s">
        <v>25</v>
      </c>
      <c r="G23" s="9">
        <v>0</v>
      </c>
      <c r="I23" s="8">
        <v>2019</v>
      </c>
      <c r="J23" s="8" t="s">
        <v>25</v>
      </c>
      <c r="K23" s="9">
        <v>0</v>
      </c>
      <c r="M23" s="8">
        <v>2019</v>
      </c>
      <c r="N23" s="8" t="s">
        <v>25</v>
      </c>
      <c r="O23" s="9">
        <v>0</v>
      </c>
      <c r="Q23" s="8">
        <v>2019</v>
      </c>
      <c r="R23" s="8" t="s">
        <v>25</v>
      </c>
      <c r="S23" s="9">
        <v>0</v>
      </c>
      <c r="U23" s="8">
        <v>2019</v>
      </c>
      <c r="V23" s="8" t="s">
        <v>25</v>
      </c>
      <c r="W23" s="9">
        <v>0</v>
      </c>
    </row>
    <row r="24" spans="1:23" x14ac:dyDescent="0.2">
      <c r="A24" s="8">
        <v>2019</v>
      </c>
      <c r="B24" s="8" t="s">
        <v>26</v>
      </c>
      <c r="C24" s="9">
        <v>0</v>
      </c>
      <c r="E24" s="8">
        <v>2019</v>
      </c>
      <c r="F24" s="8" t="s">
        <v>26</v>
      </c>
      <c r="G24" s="9">
        <v>0</v>
      </c>
      <c r="I24" s="8">
        <v>2019</v>
      </c>
      <c r="J24" s="8" t="s">
        <v>26</v>
      </c>
      <c r="K24" s="9">
        <v>0</v>
      </c>
      <c r="M24" s="8">
        <v>2019</v>
      </c>
      <c r="N24" s="8" t="s">
        <v>26</v>
      </c>
      <c r="O24" s="9">
        <v>0</v>
      </c>
      <c r="Q24" s="8">
        <v>2019</v>
      </c>
      <c r="R24" s="8" t="s">
        <v>26</v>
      </c>
      <c r="S24" s="9">
        <v>0</v>
      </c>
      <c r="U24" s="8">
        <v>2019</v>
      </c>
      <c r="V24" s="8" t="s">
        <v>26</v>
      </c>
      <c r="W24" s="9">
        <v>0</v>
      </c>
    </row>
    <row r="25" spans="1:23" x14ac:dyDescent="0.2">
      <c r="A25" s="8">
        <v>2019</v>
      </c>
      <c r="B25" s="8" t="s">
        <v>27</v>
      </c>
      <c r="C25" s="9">
        <v>5542.5050000000001</v>
      </c>
      <c r="E25" s="8">
        <v>2019</v>
      </c>
      <c r="F25" s="8" t="s">
        <v>27</v>
      </c>
      <c r="G25" s="9">
        <v>6290.4489999999996</v>
      </c>
      <c r="I25" s="8">
        <v>2019</v>
      </c>
      <c r="J25" s="8" t="s">
        <v>27</v>
      </c>
      <c r="K25" s="9">
        <v>1009973.366</v>
      </c>
      <c r="M25" s="8">
        <v>2019</v>
      </c>
      <c r="N25" s="8" t="s">
        <v>27</v>
      </c>
      <c r="O25" s="9">
        <v>3806.4409999999998</v>
      </c>
      <c r="Q25" s="8">
        <v>2019</v>
      </c>
      <c r="R25" s="8" t="s">
        <v>27</v>
      </c>
      <c r="S25" s="9">
        <v>32304.987000000001</v>
      </c>
      <c r="U25" s="8">
        <v>2019</v>
      </c>
      <c r="V25" s="8" t="s">
        <v>27</v>
      </c>
      <c r="W25" s="9">
        <v>15859.005000000001</v>
      </c>
    </row>
    <row r="26" spans="1:23" x14ac:dyDescent="0.2">
      <c r="A26" s="8">
        <v>2019</v>
      </c>
      <c r="B26" s="8" t="s">
        <v>28</v>
      </c>
      <c r="C26" s="9">
        <v>16244423.196999999</v>
      </c>
      <c r="E26" s="8">
        <v>2019</v>
      </c>
      <c r="F26" s="8" t="s">
        <v>28</v>
      </c>
      <c r="G26" s="9">
        <v>127890.11600000001</v>
      </c>
      <c r="I26" s="8">
        <v>2019</v>
      </c>
      <c r="J26" s="8" t="s">
        <v>28</v>
      </c>
      <c r="K26" s="9">
        <v>7844738.0829999996</v>
      </c>
      <c r="M26" s="8">
        <v>2019</v>
      </c>
      <c r="N26" s="8" t="s">
        <v>28</v>
      </c>
      <c r="O26" s="9">
        <v>346564.788</v>
      </c>
      <c r="Q26" s="8">
        <v>2019</v>
      </c>
      <c r="R26" s="8" t="s">
        <v>28</v>
      </c>
      <c r="S26" s="9">
        <v>953593.05099999998</v>
      </c>
      <c r="U26" s="8">
        <v>2019</v>
      </c>
      <c r="V26" s="8" t="s">
        <v>28</v>
      </c>
      <c r="W26" s="9">
        <v>791047.17099999986</v>
      </c>
    </row>
    <row r="28" spans="1:23" s="5" customFormat="1" x14ac:dyDescent="0.2">
      <c r="A28" s="6" t="s">
        <v>31</v>
      </c>
      <c r="B28" s="6" t="s">
        <v>2</v>
      </c>
      <c r="C28" s="7" t="s">
        <v>34</v>
      </c>
      <c r="D28" s="4"/>
      <c r="E28" s="6" t="s">
        <v>31</v>
      </c>
      <c r="F28" s="6" t="s">
        <v>2</v>
      </c>
      <c r="G28" s="7" t="s">
        <v>34</v>
      </c>
      <c r="H28" s="4"/>
      <c r="I28" s="6" t="s">
        <v>31</v>
      </c>
      <c r="J28" s="6" t="s">
        <v>2</v>
      </c>
      <c r="K28" s="7" t="s">
        <v>34</v>
      </c>
      <c r="L28" s="4"/>
      <c r="M28" s="6" t="s">
        <v>31</v>
      </c>
      <c r="N28" s="6" t="s">
        <v>2</v>
      </c>
      <c r="O28" s="7" t="s">
        <v>34</v>
      </c>
      <c r="P28" s="4"/>
      <c r="Q28" s="6" t="s">
        <v>31</v>
      </c>
      <c r="R28" s="6" t="s">
        <v>2</v>
      </c>
      <c r="S28" s="7" t="s">
        <v>34</v>
      </c>
      <c r="T28" s="4"/>
      <c r="U28" s="6" t="s">
        <v>31</v>
      </c>
      <c r="V28" s="6" t="s">
        <v>2</v>
      </c>
      <c r="W28" s="7" t="s">
        <v>34</v>
      </c>
    </row>
    <row r="29" spans="1:23" x14ac:dyDescent="0.2">
      <c r="A29" s="8" t="s">
        <v>32</v>
      </c>
      <c r="B29" s="8" t="s">
        <v>4</v>
      </c>
      <c r="C29" s="9">
        <f>C9-C3</f>
        <v>94843969</v>
      </c>
      <c r="E29" s="8" t="s">
        <v>32</v>
      </c>
      <c r="F29" s="8" t="s">
        <v>4</v>
      </c>
      <c r="G29" s="9">
        <f>G9-G3</f>
        <v>754415</v>
      </c>
      <c r="I29" s="8" t="s">
        <v>32</v>
      </c>
      <c r="J29" s="8" t="s">
        <v>4</v>
      </c>
      <c r="K29" s="9">
        <f>K9-K3</f>
        <v>227713596</v>
      </c>
      <c r="M29" s="8" t="s">
        <v>32</v>
      </c>
      <c r="N29" s="8" t="s">
        <v>4</v>
      </c>
      <c r="O29" s="9">
        <f>O9-O3</f>
        <v>13328158</v>
      </c>
      <c r="Q29" s="8" t="s">
        <v>32</v>
      </c>
      <c r="R29" s="8" t="s">
        <v>4</v>
      </c>
      <c r="S29" s="9">
        <f>S9-S3</f>
        <v>14972654.137999993</v>
      </c>
      <c r="U29" s="8" t="s">
        <v>32</v>
      </c>
      <c r="V29" s="8" t="s">
        <v>4</v>
      </c>
      <c r="W29" s="9">
        <f>W9-W3</f>
        <v>9039494</v>
      </c>
    </row>
    <row r="30" spans="1:23" x14ac:dyDescent="0.2">
      <c r="A30" s="8" t="s">
        <v>32</v>
      </c>
      <c r="B30" s="8" t="s">
        <v>24</v>
      </c>
      <c r="C30" s="9">
        <f t="shared" ref="C30:C34" si="0">C10-C4</f>
        <v>38400805692</v>
      </c>
      <c r="E30" s="8" t="s">
        <v>32</v>
      </c>
      <c r="F30" s="8" t="s">
        <v>24</v>
      </c>
      <c r="G30" s="9">
        <f t="shared" ref="G30:G34" si="1">G10-G4</f>
        <v>2306713988</v>
      </c>
      <c r="I30" s="8" t="s">
        <v>32</v>
      </c>
      <c r="J30" s="8" t="s">
        <v>24</v>
      </c>
      <c r="K30" s="9">
        <f t="shared" ref="K30:K34" si="2">K10-K4</f>
        <v>137476733432</v>
      </c>
      <c r="M30" s="8" t="s">
        <v>32</v>
      </c>
      <c r="N30" s="8" t="s">
        <v>24</v>
      </c>
      <c r="O30" s="9">
        <f t="shared" ref="O30:O34" si="3">O10-O4</f>
        <v>7318816835</v>
      </c>
      <c r="Q30" s="8" t="s">
        <v>32</v>
      </c>
      <c r="R30" s="8" t="s">
        <v>24</v>
      </c>
      <c r="S30" s="9">
        <f t="shared" ref="S30:S34" si="4">S10-S4</f>
        <v>5090165079.3119984</v>
      </c>
      <c r="U30" s="8" t="s">
        <v>32</v>
      </c>
      <c r="V30" s="8" t="s">
        <v>24</v>
      </c>
      <c r="W30" s="9">
        <f t="shared" ref="W30:W34" si="5">W10-W4</f>
        <v>6073689631</v>
      </c>
    </row>
    <row r="31" spans="1:23" x14ac:dyDescent="0.2">
      <c r="A31" s="8" t="s">
        <v>32</v>
      </c>
      <c r="B31" s="8" t="s">
        <v>25</v>
      </c>
      <c r="C31" s="9">
        <f t="shared" si="0"/>
        <v>0</v>
      </c>
      <c r="E31" s="8" t="s">
        <v>32</v>
      </c>
      <c r="F31" s="8" t="s">
        <v>25</v>
      </c>
      <c r="G31" s="9">
        <f t="shared" si="1"/>
        <v>0</v>
      </c>
      <c r="I31" s="8" t="s">
        <v>32</v>
      </c>
      <c r="J31" s="8" t="s">
        <v>25</v>
      </c>
      <c r="K31" s="9">
        <f t="shared" si="2"/>
        <v>0</v>
      </c>
      <c r="M31" s="8" t="s">
        <v>32</v>
      </c>
      <c r="N31" s="8" t="s">
        <v>25</v>
      </c>
      <c r="O31" s="9">
        <f t="shared" si="3"/>
        <v>0</v>
      </c>
      <c r="Q31" s="8" t="s">
        <v>32</v>
      </c>
      <c r="R31" s="8" t="s">
        <v>25</v>
      </c>
      <c r="S31" s="9">
        <f t="shared" si="4"/>
        <v>0</v>
      </c>
      <c r="U31" s="8" t="s">
        <v>32</v>
      </c>
      <c r="V31" s="8" t="s">
        <v>25</v>
      </c>
      <c r="W31" s="9">
        <f t="shared" si="5"/>
        <v>0</v>
      </c>
    </row>
    <row r="32" spans="1:23" x14ac:dyDescent="0.2">
      <c r="A32" s="8" t="s">
        <v>32</v>
      </c>
      <c r="B32" s="8" t="s">
        <v>26</v>
      </c>
      <c r="C32" s="9">
        <f t="shared" si="0"/>
        <v>0</v>
      </c>
      <c r="E32" s="8" t="s">
        <v>32</v>
      </c>
      <c r="F32" s="8" t="s">
        <v>26</v>
      </c>
      <c r="G32" s="9">
        <f t="shared" si="1"/>
        <v>0</v>
      </c>
      <c r="I32" s="8" t="s">
        <v>32</v>
      </c>
      <c r="J32" s="8" t="s">
        <v>26</v>
      </c>
      <c r="K32" s="9">
        <f t="shared" si="2"/>
        <v>0</v>
      </c>
      <c r="M32" s="8" t="s">
        <v>32</v>
      </c>
      <c r="N32" s="8" t="s">
        <v>26</v>
      </c>
      <c r="O32" s="9">
        <f t="shared" si="3"/>
        <v>0</v>
      </c>
      <c r="Q32" s="8" t="s">
        <v>32</v>
      </c>
      <c r="R32" s="8" t="s">
        <v>26</v>
      </c>
      <c r="S32" s="9">
        <f t="shared" si="4"/>
        <v>0</v>
      </c>
      <c r="U32" s="8" t="s">
        <v>32</v>
      </c>
      <c r="V32" s="8" t="s">
        <v>26</v>
      </c>
      <c r="W32" s="9">
        <f t="shared" si="5"/>
        <v>0</v>
      </c>
    </row>
    <row r="33" spans="1:23" x14ac:dyDescent="0.2">
      <c r="A33" s="8" t="s">
        <v>32</v>
      </c>
      <c r="B33" s="8" t="s">
        <v>27</v>
      </c>
      <c r="C33" s="9">
        <f t="shared" si="0"/>
        <v>-1374</v>
      </c>
      <c r="E33" s="8" t="s">
        <v>32</v>
      </c>
      <c r="F33" s="8" t="s">
        <v>27</v>
      </c>
      <c r="G33" s="9">
        <f t="shared" si="1"/>
        <v>2351</v>
      </c>
      <c r="I33" s="8" t="s">
        <v>32</v>
      </c>
      <c r="J33" s="8" t="s">
        <v>27</v>
      </c>
      <c r="K33" s="9">
        <f t="shared" si="2"/>
        <v>362563</v>
      </c>
      <c r="M33" s="8" t="s">
        <v>32</v>
      </c>
      <c r="N33" s="8" t="s">
        <v>27</v>
      </c>
      <c r="O33" s="9">
        <f t="shared" si="3"/>
        <v>-2333</v>
      </c>
      <c r="Q33" s="8" t="s">
        <v>32</v>
      </c>
      <c r="R33" s="8" t="s">
        <v>27</v>
      </c>
      <c r="S33" s="9">
        <f t="shared" si="4"/>
        <v>119105.481</v>
      </c>
      <c r="U33" s="8" t="s">
        <v>32</v>
      </c>
      <c r="V33" s="8" t="s">
        <v>27</v>
      </c>
      <c r="W33" s="9">
        <f t="shared" si="5"/>
        <v>90</v>
      </c>
    </row>
    <row r="34" spans="1:23" x14ac:dyDescent="0.2">
      <c r="A34" s="8" t="s">
        <v>32</v>
      </c>
      <c r="B34" s="8" t="s">
        <v>28</v>
      </c>
      <c r="C34" s="9">
        <f t="shared" si="0"/>
        <v>1390782</v>
      </c>
      <c r="E34" s="8" t="s">
        <v>32</v>
      </c>
      <c r="F34" s="8" t="s">
        <v>28</v>
      </c>
      <c r="G34" s="9">
        <f t="shared" si="1"/>
        <v>1848432</v>
      </c>
      <c r="I34" s="8" t="s">
        <v>32</v>
      </c>
      <c r="J34" s="8" t="s">
        <v>28</v>
      </c>
      <c r="K34" s="9">
        <f t="shared" si="2"/>
        <v>285158559</v>
      </c>
      <c r="M34" s="8" t="s">
        <v>32</v>
      </c>
      <c r="N34" s="8" t="s">
        <v>28</v>
      </c>
      <c r="O34" s="9">
        <f t="shared" si="3"/>
        <v>32103667</v>
      </c>
      <c r="Q34" s="8" t="s">
        <v>32</v>
      </c>
      <c r="R34" s="8" t="s">
        <v>28</v>
      </c>
      <c r="S34" s="9">
        <f t="shared" si="4"/>
        <v>1072335.148</v>
      </c>
      <c r="U34" s="8" t="s">
        <v>32</v>
      </c>
      <c r="V34" s="8" t="s">
        <v>28</v>
      </c>
      <c r="W34" s="9">
        <f t="shared" si="5"/>
        <v>1160221</v>
      </c>
    </row>
    <row r="35" spans="1:23" x14ac:dyDescent="0.2">
      <c r="A35" s="8" t="s">
        <v>33</v>
      </c>
      <c r="B35" s="8" t="s">
        <v>4</v>
      </c>
      <c r="C35" s="9">
        <f>C21-C15</f>
        <v>33751430.112999976</v>
      </c>
      <c r="E35" s="8" t="s">
        <v>33</v>
      </c>
      <c r="F35" s="8" t="s">
        <v>4</v>
      </c>
      <c r="G35" s="9">
        <f>G21-G15</f>
        <v>116933.34099999908</v>
      </c>
      <c r="I35" s="8" t="s">
        <v>33</v>
      </c>
      <c r="J35" s="8" t="s">
        <v>4</v>
      </c>
      <c r="K35" s="9">
        <f>K21-K15</f>
        <v>-265434564.03100014</v>
      </c>
      <c r="M35" s="8" t="s">
        <v>33</v>
      </c>
      <c r="N35" s="8" t="s">
        <v>4</v>
      </c>
      <c r="O35" s="9">
        <f>O21-O15</f>
        <v>4261096.2950000018</v>
      </c>
      <c r="Q35" s="8" t="s">
        <v>33</v>
      </c>
      <c r="R35" s="8" t="s">
        <v>4</v>
      </c>
      <c r="S35" s="9">
        <f>S21-S15</f>
        <v>13832956.041999996</v>
      </c>
      <c r="U35" s="8" t="s">
        <v>33</v>
      </c>
      <c r="V35" s="8" t="s">
        <v>4</v>
      </c>
      <c r="W35" s="9">
        <f>W21-W15</f>
        <v>5051225.7269999981</v>
      </c>
    </row>
    <row r="36" spans="1:23" x14ac:dyDescent="0.2">
      <c r="A36" s="8" t="s">
        <v>33</v>
      </c>
      <c r="B36" s="8" t="s">
        <v>24</v>
      </c>
      <c r="C36" s="9">
        <f t="shared" ref="C36:C40" si="6">C22-C16</f>
        <v>11313200053.155975</v>
      </c>
      <c r="E36" s="8" t="s">
        <v>33</v>
      </c>
      <c r="F36" s="8" t="s">
        <v>24</v>
      </c>
      <c r="G36" s="9">
        <f t="shared" ref="G36:G40" si="7">G22-G16</f>
        <v>-423857000.76499844</v>
      </c>
      <c r="I36" s="8" t="s">
        <v>33</v>
      </c>
      <c r="J36" s="8" t="s">
        <v>24</v>
      </c>
      <c r="K36" s="9">
        <f t="shared" ref="K36:K40" si="8">K22-K16</f>
        <v>-18174415152.926971</v>
      </c>
      <c r="M36" s="8" t="s">
        <v>33</v>
      </c>
      <c r="N36" s="8" t="s">
        <v>24</v>
      </c>
      <c r="O36" s="9">
        <f t="shared" ref="O36:O40" si="9">O22-O16</f>
        <v>668959089.91700172</v>
      </c>
      <c r="Q36" s="8" t="s">
        <v>33</v>
      </c>
      <c r="R36" s="8" t="s">
        <v>24</v>
      </c>
      <c r="S36" s="9">
        <f t="shared" ref="S36:S40" si="10">S22-S16</f>
        <v>2238264642.177</v>
      </c>
      <c r="U36" s="8" t="s">
        <v>33</v>
      </c>
      <c r="V36" s="8" t="s">
        <v>24</v>
      </c>
      <c r="W36" s="9">
        <f t="shared" ref="W36:W40" si="11">W22-W16</f>
        <v>1607134854.9760027</v>
      </c>
    </row>
    <row r="37" spans="1:23" x14ac:dyDescent="0.2">
      <c r="A37" s="8" t="s">
        <v>33</v>
      </c>
      <c r="B37" s="8" t="s">
        <v>25</v>
      </c>
      <c r="C37" s="9">
        <f t="shared" si="6"/>
        <v>0</v>
      </c>
      <c r="E37" s="8" t="s">
        <v>33</v>
      </c>
      <c r="F37" s="8" t="s">
        <v>25</v>
      </c>
      <c r="G37" s="9">
        <f t="shared" si="7"/>
        <v>0</v>
      </c>
      <c r="I37" s="8" t="s">
        <v>33</v>
      </c>
      <c r="J37" s="8" t="s">
        <v>25</v>
      </c>
      <c r="K37" s="9">
        <f t="shared" si="8"/>
        <v>0</v>
      </c>
      <c r="M37" s="8" t="s">
        <v>33</v>
      </c>
      <c r="N37" s="8" t="s">
        <v>25</v>
      </c>
      <c r="O37" s="9">
        <f t="shared" si="9"/>
        <v>0</v>
      </c>
      <c r="Q37" s="8" t="s">
        <v>33</v>
      </c>
      <c r="R37" s="8" t="s">
        <v>25</v>
      </c>
      <c r="S37" s="9">
        <f t="shared" si="10"/>
        <v>0</v>
      </c>
      <c r="U37" s="8" t="s">
        <v>33</v>
      </c>
      <c r="V37" s="8" t="s">
        <v>25</v>
      </c>
      <c r="W37" s="9">
        <f t="shared" si="11"/>
        <v>0</v>
      </c>
    </row>
    <row r="38" spans="1:23" x14ac:dyDescent="0.2">
      <c r="A38" s="8" t="s">
        <v>33</v>
      </c>
      <c r="B38" s="8" t="s">
        <v>26</v>
      </c>
      <c r="C38" s="9">
        <f t="shared" si="6"/>
        <v>0</v>
      </c>
      <c r="E38" s="8" t="s">
        <v>33</v>
      </c>
      <c r="F38" s="8" t="s">
        <v>26</v>
      </c>
      <c r="G38" s="9">
        <f t="shared" si="7"/>
        <v>0</v>
      </c>
      <c r="I38" s="8" t="s">
        <v>33</v>
      </c>
      <c r="J38" s="8" t="s">
        <v>26</v>
      </c>
      <c r="K38" s="9">
        <f t="shared" si="8"/>
        <v>0</v>
      </c>
      <c r="M38" s="8" t="s">
        <v>33</v>
      </c>
      <c r="N38" s="8" t="s">
        <v>26</v>
      </c>
      <c r="O38" s="9">
        <f t="shared" si="9"/>
        <v>0</v>
      </c>
      <c r="Q38" s="8" t="s">
        <v>33</v>
      </c>
      <c r="R38" s="8" t="s">
        <v>26</v>
      </c>
      <c r="S38" s="9">
        <f t="shared" si="10"/>
        <v>0</v>
      </c>
      <c r="U38" s="8" t="s">
        <v>33</v>
      </c>
      <c r="V38" s="8" t="s">
        <v>26</v>
      </c>
      <c r="W38" s="9">
        <f t="shared" si="11"/>
        <v>0</v>
      </c>
    </row>
    <row r="39" spans="1:23" x14ac:dyDescent="0.2">
      <c r="A39" s="8" t="s">
        <v>33</v>
      </c>
      <c r="B39" s="8" t="s">
        <v>27</v>
      </c>
      <c r="C39" s="9">
        <f t="shared" si="6"/>
        <v>-16866.494999999999</v>
      </c>
      <c r="E39" s="8" t="s">
        <v>33</v>
      </c>
      <c r="F39" s="8" t="s">
        <v>27</v>
      </c>
      <c r="G39" s="9">
        <f t="shared" si="7"/>
        <v>5974.4489999999996</v>
      </c>
      <c r="I39" s="8" t="s">
        <v>33</v>
      </c>
      <c r="J39" s="8" t="s">
        <v>27</v>
      </c>
      <c r="K39" s="9">
        <f t="shared" si="8"/>
        <v>353490.36600000004</v>
      </c>
      <c r="M39" s="8" t="s">
        <v>33</v>
      </c>
      <c r="N39" s="8" t="s">
        <v>27</v>
      </c>
      <c r="O39" s="9">
        <f t="shared" si="9"/>
        <v>-33543.559000000001</v>
      </c>
      <c r="Q39" s="8" t="s">
        <v>33</v>
      </c>
      <c r="R39" s="8" t="s">
        <v>27</v>
      </c>
      <c r="S39" s="9">
        <f t="shared" si="10"/>
        <v>-81522.771000000008</v>
      </c>
      <c r="U39" s="8" t="s">
        <v>33</v>
      </c>
      <c r="V39" s="8" t="s">
        <v>27</v>
      </c>
      <c r="W39" s="9">
        <f t="shared" si="11"/>
        <v>1830.9640000000018</v>
      </c>
    </row>
    <row r="40" spans="1:23" x14ac:dyDescent="0.2">
      <c r="A40" s="8" t="s">
        <v>33</v>
      </c>
      <c r="B40" s="8" t="s">
        <v>28</v>
      </c>
      <c r="C40" s="9">
        <f t="shared" si="6"/>
        <v>10823487.196999999</v>
      </c>
      <c r="E40" s="8" t="s">
        <v>33</v>
      </c>
      <c r="F40" s="8" t="s">
        <v>28</v>
      </c>
      <c r="G40" s="9">
        <f t="shared" si="7"/>
        <v>-49944.883999999991</v>
      </c>
      <c r="I40" s="8" t="s">
        <v>33</v>
      </c>
      <c r="J40" s="8" t="s">
        <v>28</v>
      </c>
      <c r="K40" s="9">
        <f t="shared" si="8"/>
        <v>3868789.0829999996</v>
      </c>
      <c r="M40" s="8" t="s">
        <v>33</v>
      </c>
      <c r="N40" s="8" t="s">
        <v>28</v>
      </c>
      <c r="O40" s="9">
        <f t="shared" si="9"/>
        <v>-830318.21200000006</v>
      </c>
      <c r="Q40" s="8" t="s">
        <v>33</v>
      </c>
      <c r="R40" s="8" t="s">
        <v>28</v>
      </c>
      <c r="S40" s="9">
        <f t="shared" si="10"/>
        <v>-413354.348</v>
      </c>
      <c r="U40" s="8" t="s">
        <v>33</v>
      </c>
      <c r="V40" s="8" t="s">
        <v>28</v>
      </c>
      <c r="W40" s="9">
        <f t="shared" si="11"/>
        <v>-622979.36500000046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4ABC-16D0-F44D-B8DC-1473320E5544}">
  <dimension ref="A1:C13"/>
  <sheetViews>
    <sheetView workbookViewId="0">
      <selection activeCell="I21" sqref="I21"/>
    </sheetView>
  </sheetViews>
  <sheetFormatPr baseColWidth="10" defaultRowHeight="16" x14ac:dyDescent="0.2"/>
  <cols>
    <col min="3" max="3" width="17.83203125" bestFit="1" customWidth="1"/>
  </cols>
  <sheetData>
    <row r="1" spans="1:3" s="5" customFormat="1" x14ac:dyDescent="0.2">
      <c r="A1" s="6" t="s">
        <v>31</v>
      </c>
      <c r="B1" s="6" t="s">
        <v>2</v>
      </c>
      <c r="C1" s="7" t="s">
        <v>44</v>
      </c>
    </row>
    <row r="2" spans="1:3" x14ac:dyDescent="0.2">
      <c r="A2" s="8" t="s">
        <v>32</v>
      </c>
      <c r="B2" s="8" t="s">
        <v>4</v>
      </c>
      <c r="C2" s="9">
        <v>360652286.13800001</v>
      </c>
    </row>
    <row r="3" spans="1:3" x14ac:dyDescent="0.2">
      <c r="A3" s="8" t="s">
        <v>32</v>
      </c>
      <c r="B3" s="8" t="s">
        <v>24</v>
      </c>
      <c r="C3" s="9">
        <v>196666924657.31201</v>
      </c>
    </row>
    <row r="4" spans="1:3" x14ac:dyDescent="0.2">
      <c r="A4" s="8" t="s">
        <v>32</v>
      </c>
      <c r="B4" s="8" t="s">
        <v>25</v>
      </c>
      <c r="C4" s="9">
        <v>0</v>
      </c>
    </row>
    <row r="5" spans="1:3" x14ac:dyDescent="0.2">
      <c r="A5" s="8" t="s">
        <v>32</v>
      </c>
      <c r="B5" s="8" t="s">
        <v>26</v>
      </c>
      <c r="C5" s="9">
        <v>0</v>
      </c>
    </row>
    <row r="6" spans="1:3" x14ac:dyDescent="0.2">
      <c r="A6" s="8" t="s">
        <v>32</v>
      </c>
      <c r="B6" s="8" t="s">
        <v>27</v>
      </c>
      <c r="C6" s="9">
        <v>486074.48100000003</v>
      </c>
    </row>
    <row r="7" spans="1:3" x14ac:dyDescent="0.2">
      <c r="A7" s="8" t="s">
        <v>32</v>
      </c>
      <c r="B7" s="8" t="s">
        <v>28</v>
      </c>
      <c r="C7" s="9">
        <v>-9328676.7050000001</v>
      </c>
    </row>
    <row r="8" spans="1:3" x14ac:dyDescent="0.2">
      <c r="A8" s="8" t="s">
        <v>33</v>
      </c>
      <c r="B8" s="8" t="s">
        <v>4</v>
      </c>
      <c r="C8" s="9">
        <v>-208420922.51300019</v>
      </c>
    </row>
    <row r="9" spans="1:3" x14ac:dyDescent="0.2">
      <c r="A9" s="8" t="s">
        <v>33</v>
      </c>
      <c r="B9" s="8" t="s">
        <v>24</v>
      </c>
      <c r="C9" s="9">
        <v>-2770704731.1709652</v>
      </c>
    </row>
    <row r="10" spans="1:3" x14ac:dyDescent="0.2">
      <c r="A10" s="8" t="s">
        <v>33</v>
      </c>
      <c r="B10" s="8" t="s">
        <v>25</v>
      </c>
      <c r="C10" s="9">
        <v>0</v>
      </c>
    </row>
    <row r="11" spans="1:3" x14ac:dyDescent="0.2">
      <c r="A11" s="8" t="s">
        <v>33</v>
      </c>
      <c r="B11" s="8" t="s">
        <v>26</v>
      </c>
      <c r="C11" s="9">
        <v>0</v>
      </c>
    </row>
    <row r="12" spans="1:3" x14ac:dyDescent="0.2">
      <c r="A12" s="8" t="s">
        <v>33</v>
      </c>
      <c r="B12" s="8" t="s">
        <v>27</v>
      </c>
      <c r="C12" s="9">
        <v>229362.95400000006</v>
      </c>
    </row>
    <row r="13" spans="1:3" x14ac:dyDescent="0.2">
      <c r="A13" s="8" t="s">
        <v>33</v>
      </c>
      <c r="B13" s="8" t="s">
        <v>28</v>
      </c>
      <c r="C13" s="9">
        <v>12775679.470999999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A21B-DC0C-764D-B17E-B9B701C5E8F2}">
  <dimension ref="A1:E13"/>
  <sheetViews>
    <sheetView workbookViewId="0">
      <selection activeCell="K29" sqref="K29"/>
    </sheetView>
  </sheetViews>
  <sheetFormatPr baseColWidth="10" defaultRowHeight="16" x14ac:dyDescent="0.2"/>
  <cols>
    <col min="4" max="4" width="17.83203125" bestFit="1" customWidth="1"/>
    <col min="5" max="5" width="13.33203125" bestFit="1" customWidth="1"/>
  </cols>
  <sheetData>
    <row r="1" spans="1:5" s="5" customFormat="1" x14ac:dyDescent="0.2">
      <c r="A1" s="6" t="s">
        <v>31</v>
      </c>
      <c r="B1" s="10" t="s">
        <v>2</v>
      </c>
      <c r="C1" s="6" t="s">
        <v>35</v>
      </c>
      <c r="D1" s="10" t="s">
        <v>44</v>
      </c>
      <c r="E1" s="10" t="s">
        <v>45</v>
      </c>
    </row>
    <row r="2" spans="1:5" x14ac:dyDescent="0.2">
      <c r="A2" s="8" t="s">
        <v>32</v>
      </c>
      <c r="B2" s="8" t="s">
        <v>4</v>
      </c>
      <c r="C2" s="11">
        <f>L_i!C2</f>
        <v>1027100</v>
      </c>
      <c r="D2" s="9">
        <f>delta_M_OC!C2</f>
        <v>360652286.13800001</v>
      </c>
      <c r="E2" s="9">
        <f>D2/C2</f>
        <v>351.13648733132123</v>
      </c>
    </row>
    <row r="3" spans="1:5" x14ac:dyDescent="0.2">
      <c r="A3" s="8" t="s">
        <v>32</v>
      </c>
      <c r="B3" s="8" t="s">
        <v>24</v>
      </c>
      <c r="C3" s="11">
        <f>L_i!C3</f>
        <v>2937100</v>
      </c>
      <c r="D3" s="9">
        <f>delta_M_OC!C3</f>
        <v>196666924657.31201</v>
      </c>
      <c r="E3" s="9">
        <f t="shared" ref="E3:E13" si="0">D3/C3</f>
        <v>66959.560334109163</v>
      </c>
    </row>
    <row r="4" spans="1:5" x14ac:dyDescent="0.2">
      <c r="A4" s="8" t="s">
        <v>32</v>
      </c>
      <c r="B4" s="8" t="s">
        <v>25</v>
      </c>
      <c r="C4" s="11">
        <f>L_i!C4</f>
        <v>1536700</v>
      </c>
      <c r="D4" s="9">
        <f>delta_M_OC!C4</f>
        <v>0</v>
      </c>
      <c r="E4" s="9">
        <f t="shared" si="0"/>
        <v>0</v>
      </c>
    </row>
    <row r="5" spans="1:5" x14ac:dyDescent="0.2">
      <c r="A5" s="8" t="s">
        <v>32</v>
      </c>
      <c r="B5" s="8" t="s">
        <v>26</v>
      </c>
      <c r="C5" s="11">
        <f>L_i!C5</f>
        <v>4127900</v>
      </c>
      <c r="D5" s="9">
        <f>delta_M_OC!C5</f>
        <v>0</v>
      </c>
      <c r="E5" s="9">
        <f t="shared" si="0"/>
        <v>0</v>
      </c>
    </row>
    <row r="6" spans="1:5" x14ac:dyDescent="0.2">
      <c r="A6" s="8" t="s">
        <v>32</v>
      </c>
      <c r="B6" s="8" t="s">
        <v>27</v>
      </c>
      <c r="C6" s="11">
        <f>L_i!C6</f>
        <v>1385100</v>
      </c>
      <c r="D6" s="9">
        <f>delta_M_OC!C6</f>
        <v>486074.48100000003</v>
      </c>
      <c r="E6" s="9">
        <f t="shared" si="0"/>
        <v>0.35093096599523504</v>
      </c>
    </row>
    <row r="7" spans="1:5" x14ac:dyDescent="0.2">
      <c r="A7" s="8" t="s">
        <v>32</v>
      </c>
      <c r="B7" s="8" t="s">
        <v>28</v>
      </c>
      <c r="C7" s="11">
        <f>L_i!C7</f>
        <v>3496000</v>
      </c>
      <c r="D7" s="9">
        <f>delta_M_OC!C7</f>
        <v>-9328676.7050000001</v>
      </c>
      <c r="E7" s="9">
        <f t="shared" si="0"/>
        <v>-2.6683857851830663</v>
      </c>
    </row>
    <row r="8" spans="1:5" x14ac:dyDescent="0.2">
      <c r="A8" s="8" t="s">
        <v>33</v>
      </c>
      <c r="B8" s="8" t="s">
        <v>4</v>
      </c>
      <c r="C8" s="11">
        <f>L_i!C14</f>
        <v>729700</v>
      </c>
      <c r="D8" s="9">
        <f>delta_M_OC!C8</f>
        <v>-208420922.51300019</v>
      </c>
      <c r="E8" s="9">
        <f t="shared" si="0"/>
        <v>-285.62549337124869</v>
      </c>
    </row>
    <row r="9" spans="1:5" x14ac:dyDescent="0.2">
      <c r="A9" s="8" t="s">
        <v>33</v>
      </c>
      <c r="B9" s="8" t="s">
        <v>24</v>
      </c>
      <c r="C9" s="11">
        <f>L_i!C15</f>
        <v>2469300</v>
      </c>
      <c r="D9" s="9">
        <f>delta_M_OC!C9</f>
        <v>-2770704731.1709652</v>
      </c>
      <c r="E9" s="9">
        <f t="shared" si="0"/>
        <v>-1122.060799081102</v>
      </c>
    </row>
    <row r="10" spans="1:5" x14ac:dyDescent="0.2">
      <c r="A10" s="8" t="s">
        <v>33</v>
      </c>
      <c r="B10" s="8" t="s">
        <v>25</v>
      </c>
      <c r="C10" s="11">
        <f>L_i!C16</f>
        <v>1154300</v>
      </c>
      <c r="D10" s="9">
        <f>delta_M_OC!C10</f>
        <v>0</v>
      </c>
      <c r="E10" s="9">
        <f t="shared" si="0"/>
        <v>0</v>
      </c>
    </row>
    <row r="11" spans="1:5" x14ac:dyDescent="0.2">
      <c r="A11" s="8" t="s">
        <v>33</v>
      </c>
      <c r="B11" s="8" t="s">
        <v>26</v>
      </c>
      <c r="C11" s="11">
        <f>L_i!C17</f>
        <v>1385100</v>
      </c>
      <c r="D11" s="9">
        <f>delta_M_OC!C11</f>
        <v>0</v>
      </c>
      <c r="E11" s="9">
        <f t="shared" si="0"/>
        <v>0</v>
      </c>
    </row>
    <row r="12" spans="1:5" x14ac:dyDescent="0.2">
      <c r="A12" s="8" t="s">
        <v>33</v>
      </c>
      <c r="B12" s="8" t="s">
        <v>27</v>
      </c>
      <c r="C12" s="11">
        <f>L_i!C18</f>
        <v>2263900</v>
      </c>
      <c r="D12" s="9">
        <f>delta_M_OC!C12</f>
        <v>229362.95400000006</v>
      </c>
      <c r="E12" s="9">
        <f t="shared" si="0"/>
        <v>0.10131320022969215</v>
      </c>
    </row>
    <row r="13" spans="1:5" x14ac:dyDescent="0.2">
      <c r="A13" s="8" t="s">
        <v>33</v>
      </c>
      <c r="B13" s="8" t="s">
        <v>28</v>
      </c>
      <c r="C13" s="11">
        <f>L_i!C19</f>
        <v>5317500</v>
      </c>
      <c r="D13" s="9">
        <f>delta_M_OC!C13</f>
        <v>12775679.470999999</v>
      </c>
      <c r="E13" s="9">
        <f t="shared" si="0"/>
        <v>2.4025725380347907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FBE83-5C98-5341-90FC-184A1C758476}">
  <dimension ref="A1:R24"/>
  <sheetViews>
    <sheetView workbookViewId="0">
      <selection activeCell="I28" sqref="I28"/>
    </sheetView>
  </sheetViews>
  <sheetFormatPr baseColWidth="10" defaultRowHeight="16" x14ac:dyDescent="0.2"/>
  <cols>
    <col min="1" max="1" width="23.83203125" bestFit="1" customWidth="1"/>
    <col min="2" max="2" width="11" bestFit="1" customWidth="1"/>
    <col min="3" max="3" width="12.6640625" bestFit="1" customWidth="1"/>
    <col min="4" max="7" width="11" bestFit="1" customWidth="1"/>
    <col min="8" max="8" width="18.6640625" bestFit="1" customWidth="1"/>
    <col min="11" max="11" width="24.6640625" bestFit="1" customWidth="1"/>
    <col min="18" max="18" width="18.5" bestFit="1" customWidth="1"/>
  </cols>
  <sheetData>
    <row r="1" spans="1:18" s="5" customFormat="1" x14ac:dyDescent="0.2">
      <c r="A1" s="17" t="s">
        <v>46</v>
      </c>
      <c r="B1" s="17"/>
      <c r="C1" s="17"/>
      <c r="D1" s="17"/>
      <c r="E1" s="17"/>
      <c r="F1" s="17"/>
      <c r="G1" s="17"/>
      <c r="H1" s="17"/>
      <c r="K1" s="17" t="s">
        <v>47</v>
      </c>
      <c r="L1" s="17"/>
      <c r="M1" s="17"/>
      <c r="N1" s="17"/>
      <c r="O1" s="17"/>
      <c r="P1" s="17"/>
      <c r="Q1" s="17"/>
      <c r="R1" s="17"/>
    </row>
    <row r="2" spans="1:18" s="5" customFormat="1" x14ac:dyDescent="0.2">
      <c r="A2" s="10"/>
      <c r="B2" s="6" t="s">
        <v>4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48</v>
      </c>
      <c r="K2" s="10"/>
      <c r="L2" s="10" t="s">
        <v>4</v>
      </c>
      <c r="M2" s="10" t="s">
        <v>24</v>
      </c>
      <c r="N2" s="10" t="s">
        <v>25</v>
      </c>
      <c r="O2" s="10" t="s">
        <v>26</v>
      </c>
      <c r="P2" s="10" t="s">
        <v>27</v>
      </c>
      <c r="Q2" s="10" t="s">
        <v>28</v>
      </c>
      <c r="R2" s="10" t="s">
        <v>49</v>
      </c>
    </row>
    <row r="3" spans="1:18" x14ac:dyDescent="0.2">
      <c r="A3" s="6" t="s">
        <v>50</v>
      </c>
      <c r="B3" s="11">
        <f>shock_OC!$E$2*s_ri!B3</f>
        <v>62.447979354564261</v>
      </c>
      <c r="C3" s="11">
        <f>shock_OC!$E$3*s_ri!C3</f>
        <v>12399.658678512984</v>
      </c>
      <c r="D3" s="11">
        <f>shock_OC!$E$4*s_ri!D3</f>
        <v>0</v>
      </c>
      <c r="E3" s="11">
        <f>shock_OC!$E$5*s_ri!E3</f>
        <v>0</v>
      </c>
      <c r="F3" s="11">
        <f>shock_OC!$E$6*s_ri!F3</f>
        <v>2.2287168873727985E-2</v>
      </c>
      <c r="G3" s="11">
        <f>shock_OC!$E$7*s_ri!G3</f>
        <v>-0.57495296314571198</v>
      </c>
      <c r="H3" s="11">
        <f>SUM(B3:G3)/1000</f>
        <v>12.461553992073275</v>
      </c>
      <c r="K3" s="6" t="s">
        <v>50</v>
      </c>
      <c r="L3" s="11">
        <f>shock_OC!$E$8*s_ri!K3</f>
        <v>-21.351567690684419</v>
      </c>
      <c r="M3" s="11">
        <f>shock_OC!$E$9*s_ri!L3</f>
        <v>-178.05156392604314</v>
      </c>
      <c r="N3" s="11">
        <f>shock_OC!$E$10*s_ri!M3</f>
        <v>0</v>
      </c>
      <c r="O3" s="11">
        <f>shock_OC!$E$11*s_ri!N3</f>
        <v>0</v>
      </c>
      <c r="P3" s="11">
        <f>shock_OC!$E$12*s_ri!O3</f>
        <v>1.0186115649904339E-2</v>
      </c>
      <c r="Q3" s="11">
        <f>shock_OC!$E$13*s_ri!P3</f>
        <v>0.70541051918348119</v>
      </c>
      <c r="R3" s="11">
        <f>SUM(L3:Q3)</f>
        <v>-198.68753498189417</v>
      </c>
    </row>
    <row r="4" spans="1:18" x14ac:dyDescent="0.2">
      <c r="A4" s="6" t="s">
        <v>51</v>
      </c>
      <c r="B4" s="11">
        <f>shock_OC!$E$2*s_ri!B4</f>
        <v>32.646770571013725</v>
      </c>
      <c r="C4" s="11">
        <f>shock_OC!$E$3*s_ri!C4</f>
        <v>13532.036707281852</v>
      </c>
      <c r="D4" s="11">
        <f>shock_OC!$E$4*s_ri!D4</f>
        <v>0</v>
      </c>
      <c r="E4" s="11">
        <f>shock_OC!$E$5*s_ri!E4</f>
        <v>0</v>
      </c>
      <c r="F4" s="11">
        <f>shock_OC!$E$6*s_ri!F4</f>
        <v>2.475925499996277E-2</v>
      </c>
      <c r="G4" s="11">
        <f>shock_OC!$E$7*s_ri!G4</f>
        <v>-0.67327880499088422</v>
      </c>
      <c r="H4" s="11">
        <f t="shared" ref="H4:H24" si="0">SUM(B4:G4)/1000</f>
        <v>13.564034958302875</v>
      </c>
      <c r="K4" s="6" t="s">
        <v>51</v>
      </c>
      <c r="L4" s="11">
        <f>shock_OC!$E$8*s_ri!K4</f>
        <v>-12.415228241900959</v>
      </c>
      <c r="M4" s="11">
        <f>shock_OC!$E$9*s_ri!L4</f>
        <v>-167.89529343468544</v>
      </c>
      <c r="N4" s="11">
        <f>shock_OC!$E$10*s_ri!M4</f>
        <v>0</v>
      </c>
      <c r="O4" s="11">
        <f>shock_OC!$E$11*s_ri!N4</f>
        <v>0</v>
      </c>
      <c r="P4" s="11">
        <f>shock_OC!$E$12*s_ri!O4</f>
        <v>1.136971109005502E-2</v>
      </c>
      <c r="Q4" s="11">
        <f>shock_OC!$E$13*s_ri!P4</f>
        <v>0.74811399893496378</v>
      </c>
      <c r="R4" s="11">
        <f t="shared" ref="R4:R24" si="1">SUM(L4:Q4)</f>
        <v>-179.55103796656138</v>
      </c>
    </row>
    <row r="5" spans="1:18" x14ac:dyDescent="0.2">
      <c r="A5" s="6" t="s">
        <v>52</v>
      </c>
      <c r="B5" s="11">
        <f>shock_OC!$E$2*s_ri!B5</f>
        <v>28.898493320390589</v>
      </c>
      <c r="C5" s="11">
        <f>shock_OC!$E$3*s_ri!C5</f>
        <v>14947.004448876678</v>
      </c>
      <c r="D5" s="11">
        <f>shock_OC!$E$4*s_ri!D5</f>
        <v>0</v>
      </c>
      <c r="E5" s="11">
        <f>shock_OC!$E$5*s_ri!E5</f>
        <v>0</v>
      </c>
      <c r="F5" s="11">
        <f>shock_OC!$E$6*s_ri!F5</f>
        <v>2.2155731787748774E-2</v>
      </c>
      <c r="G5" s="11">
        <f>shock_OC!$E$7*s_ri!G5</f>
        <v>-0.59264036040706203</v>
      </c>
      <c r="H5" s="11">
        <f t="shared" si="0"/>
        <v>14.975332457568449</v>
      </c>
      <c r="K5" s="6" t="s">
        <v>52</v>
      </c>
      <c r="L5" s="11">
        <f>shock_OC!$E$8*s_ri!K5</f>
        <v>-8.8757166692835163</v>
      </c>
      <c r="M5" s="11">
        <f>shock_OC!$E$9*s_ri!L5</f>
        <v>-184.02378232663736</v>
      </c>
      <c r="N5" s="11">
        <f>shock_OC!$E$10*s_ri!M5</f>
        <v>0</v>
      </c>
      <c r="O5" s="11">
        <f>shock_OC!$E$11*s_ri!N5</f>
        <v>0</v>
      </c>
      <c r="P5" s="11">
        <f>shock_OC!$E$12*s_ri!O5</f>
        <v>1.2024656911163289E-2</v>
      </c>
      <c r="Q5" s="11">
        <f>shock_OC!$E$13*s_ri!P5</f>
        <v>0.7279265954684605</v>
      </c>
      <c r="R5" s="11">
        <f t="shared" si="1"/>
        <v>-192.15954774354125</v>
      </c>
    </row>
    <row r="6" spans="1:18" x14ac:dyDescent="0.2">
      <c r="A6" s="6" t="s">
        <v>53</v>
      </c>
      <c r="B6" s="11">
        <f>shock_OC!$E$2*s_ri!B6</f>
        <v>7.3570625290098306</v>
      </c>
      <c r="C6" s="11">
        <f>shock_OC!$E$3*s_ri!C6</f>
        <v>19674.455491177625</v>
      </c>
      <c r="D6" s="11">
        <f>shock_OC!$E$4*s_ri!D6</f>
        <v>0</v>
      </c>
      <c r="E6" s="11">
        <f>shock_OC!$E$5*s_ri!E6</f>
        <v>0</v>
      </c>
      <c r="F6" s="11">
        <f>shock_OC!$E$6*s_ri!F6</f>
        <v>3.3892291409656349E-2</v>
      </c>
      <c r="G6" s="11">
        <f>shock_OC!$E$7*s_ri!G6</f>
        <v>-0.64013470051193078</v>
      </c>
      <c r="H6" s="11">
        <f t="shared" si="0"/>
        <v>19.68120631129753</v>
      </c>
      <c r="K6" s="6" t="s">
        <v>53</v>
      </c>
      <c r="L6" s="11">
        <f>shock_OC!$E$8*s_ri!K6</f>
        <v>-3.6296183529508808</v>
      </c>
      <c r="M6" s="11">
        <f>shock_OC!$E$9*s_ri!L6</f>
        <v>-231.76665485422828</v>
      </c>
      <c r="N6" s="11">
        <f>shock_OC!$E$10*s_ri!M6</f>
        <v>0</v>
      </c>
      <c r="O6" s="11">
        <f>shock_OC!$E$11*s_ri!N6</f>
        <v>0</v>
      </c>
      <c r="P6" s="11">
        <f>shock_OC!$E$12*s_ri!O6</f>
        <v>1.4082884927703277E-2</v>
      </c>
      <c r="Q6" s="11">
        <f>shock_OC!$E$13*s_ri!P6</f>
        <v>0.74452699317096394</v>
      </c>
      <c r="R6" s="11">
        <f t="shared" si="1"/>
        <v>-234.63766332908048</v>
      </c>
    </row>
    <row r="7" spans="1:18" x14ac:dyDescent="0.2">
      <c r="A7" s="6" t="s">
        <v>54</v>
      </c>
      <c r="B7" s="11">
        <f>shock_OC!$E$2*s_ri!B7</f>
        <v>26.670591622019458</v>
      </c>
      <c r="C7" s="11">
        <f>shock_OC!$E$3*s_ri!C7</f>
        <v>20012.632639183186</v>
      </c>
      <c r="D7" s="11">
        <f>shock_OC!$E$4*s_ri!D7</f>
        <v>0</v>
      </c>
      <c r="E7" s="11">
        <f>shock_OC!$E$5*s_ri!E7</f>
        <v>0</v>
      </c>
      <c r="F7" s="11">
        <f>shock_OC!$E$6*s_ri!F7</f>
        <v>2.7916755497149035E-2</v>
      </c>
      <c r="G7" s="11">
        <f>shock_OC!$E$7*s_ri!G7</f>
        <v>-0.62602129432160025</v>
      </c>
      <c r="H7" s="11">
        <f t="shared" si="0"/>
        <v>20.038705126266386</v>
      </c>
      <c r="K7" s="6" t="s">
        <v>54</v>
      </c>
      <c r="L7" s="11">
        <f>shock_OC!$E$8*s_ri!K7</f>
        <v>-9.8230989783762777</v>
      </c>
      <c r="M7" s="11">
        <f>shock_OC!$E$9*s_ri!L7</f>
        <v>-289.2084145779711</v>
      </c>
      <c r="N7" s="11">
        <f>shock_OC!$E$10*s_ri!M7</f>
        <v>0</v>
      </c>
      <c r="O7" s="11">
        <f>shock_OC!$E$11*s_ri!N7</f>
        <v>0</v>
      </c>
      <c r="P7" s="11">
        <f>shock_OC!$E$12*s_ri!O7</f>
        <v>1.0759262760598446E-2</v>
      </c>
      <c r="Q7" s="11">
        <f>shock_OC!$E$13*s_ri!P7</f>
        <v>0.68826530001147834</v>
      </c>
      <c r="R7" s="11">
        <f t="shared" si="1"/>
        <v>-298.33248899357528</v>
      </c>
    </row>
    <row r="8" spans="1:18" x14ac:dyDescent="0.2">
      <c r="A8" s="6" t="s">
        <v>55</v>
      </c>
      <c r="B8" s="11">
        <f>shock_OC!$E$2*s_ri!B8</f>
        <v>37.756611541002286</v>
      </c>
      <c r="C8" s="11">
        <f>shock_OC!$E$3*s_ri!C8</f>
        <v>22450.761676050286</v>
      </c>
      <c r="D8" s="11">
        <f>shock_OC!$E$4*s_ri!D8</f>
        <v>0</v>
      </c>
      <c r="E8" s="11">
        <f>shock_OC!$E$5*s_ri!E8</f>
        <v>0</v>
      </c>
      <c r="F8" s="11">
        <f>shock_OC!$E$6*s_ri!F8</f>
        <v>2.7786322820737085E-2</v>
      </c>
      <c r="G8" s="11">
        <f>shock_OC!$E$7*s_ri!G8</f>
        <v>-0.46168551708446021</v>
      </c>
      <c r="H8" s="11">
        <f t="shared" si="0"/>
        <v>22.488084388397024</v>
      </c>
      <c r="K8" s="6" t="s">
        <v>55</v>
      </c>
      <c r="L8" s="11">
        <f>shock_OC!$E$8*s_ri!K8</f>
        <v>-15.741341088351566</v>
      </c>
      <c r="M8" s="11">
        <f>shock_OC!$E$9*s_ri!L8</f>
        <v>-269.76062342125533</v>
      </c>
      <c r="N8" s="11">
        <f>shock_OC!$E$10*s_ri!M8</f>
        <v>0</v>
      </c>
      <c r="O8" s="11">
        <f>shock_OC!$E$11*s_ri!N8</f>
        <v>0</v>
      </c>
      <c r="P8" s="11">
        <f>shock_OC!$E$12*s_ri!O8</f>
        <v>9.5486882005620388E-3</v>
      </c>
      <c r="Q8" s="11">
        <f>shock_OC!$E$13*s_ri!P8</f>
        <v>0.66780770226526132</v>
      </c>
      <c r="R8" s="11">
        <f t="shared" si="1"/>
        <v>-284.82460811914115</v>
      </c>
    </row>
    <row r="9" spans="1:18" x14ac:dyDescent="0.2">
      <c r="A9" s="6" t="s">
        <v>56</v>
      </c>
      <c r="B9" s="11">
        <f>shock_OC!$E$2*s_ri!B9</f>
        <v>28.281017284506238</v>
      </c>
      <c r="C9" s="11">
        <f>shock_OC!$E$3*s_ri!C9</f>
        <v>17174.451241675211</v>
      </c>
      <c r="D9" s="11">
        <f>shock_OC!$E$4*s_ri!D9</f>
        <v>0</v>
      </c>
      <c r="E9" s="11">
        <f>shock_OC!$E$5*s_ri!E9</f>
        <v>0</v>
      </c>
      <c r="F9" s="11">
        <f>shock_OC!$E$6*s_ri!F9</f>
        <v>3.0911824606192215E-2</v>
      </c>
      <c r="G9" s="11">
        <f>shock_OC!$E$7*s_ri!G9</f>
        <v>-0.63704972373130231</v>
      </c>
      <c r="H9" s="11">
        <f t="shared" si="0"/>
        <v>17.202126121060591</v>
      </c>
      <c r="K9" s="6" t="s">
        <v>56</v>
      </c>
      <c r="L9" s="11">
        <f>shock_OC!$E$8*s_ri!K9</f>
        <v>-16.463172719717271</v>
      </c>
      <c r="M9" s="11">
        <f>shock_OC!$E$9*s_ri!L9</f>
        <v>-204.18065529186873</v>
      </c>
      <c r="N9" s="11">
        <f>shock_OC!$E$10*s_ri!M9</f>
        <v>0</v>
      </c>
      <c r="O9" s="11">
        <f>shock_OC!$E$11*s_ri!N9</f>
        <v>0</v>
      </c>
      <c r="P9" s="11">
        <f>shock_OC!$E$12*s_ri!O9</f>
        <v>1.1155120513005084E-2</v>
      </c>
      <c r="Q9" s="11">
        <f>shock_OC!$E$13*s_ri!P9</f>
        <v>0.72880548816795243</v>
      </c>
      <c r="R9" s="11">
        <f t="shared" si="1"/>
        <v>-219.90386740290506</v>
      </c>
    </row>
    <row r="10" spans="1:18" x14ac:dyDescent="0.2">
      <c r="A10" s="6" t="s">
        <v>57</v>
      </c>
      <c r="B10" s="11">
        <f>shock_OC!$E$2*s_ri!B10</f>
        <v>3.3797591022119295</v>
      </c>
      <c r="C10" s="11">
        <f>shock_OC!$E$3*s_ri!C10</f>
        <v>11236.420313710798</v>
      </c>
      <c r="D10" s="11">
        <f>shock_OC!$E$4*s_ri!D10</f>
        <v>0</v>
      </c>
      <c r="E10" s="11">
        <f>shock_OC!$E$5*s_ri!E10</f>
        <v>0</v>
      </c>
      <c r="F10" s="11">
        <f>shock_OC!$E$6*s_ri!F10</f>
        <v>6.015179554222929E-2</v>
      </c>
      <c r="G10" s="11">
        <f>shock_OC!$E$7*s_ri!G10</f>
        <v>-0.76701011850602652</v>
      </c>
      <c r="H10" s="11">
        <f t="shared" si="0"/>
        <v>11.239093214490046</v>
      </c>
      <c r="K10" s="6" t="s">
        <v>57</v>
      </c>
      <c r="L10" s="11">
        <f>shock_OC!$E$8*s_ri!K10</f>
        <v>-0.82082187907536086</v>
      </c>
      <c r="M10" s="11">
        <f>shock_OC!$E$9*s_ri!L10</f>
        <v>-107.9416200854656</v>
      </c>
      <c r="N10" s="11">
        <f>shock_OC!$E$10*s_ri!M10</f>
        <v>0</v>
      </c>
      <c r="O10" s="11">
        <f>shock_OC!$E$11*s_ri!N10</f>
        <v>0</v>
      </c>
      <c r="P10" s="11">
        <f>shock_OC!$E$12*s_ri!O10</f>
        <v>2.028957149509784E-2</v>
      </c>
      <c r="Q10" s="11">
        <f>shock_OC!$E$13*s_ri!P10</f>
        <v>0.78891858503398293</v>
      </c>
      <c r="R10" s="11">
        <f t="shared" si="1"/>
        <v>-107.95323380801189</v>
      </c>
    </row>
    <row r="11" spans="1:18" x14ac:dyDescent="0.2">
      <c r="A11" s="6" t="s">
        <v>58</v>
      </c>
      <c r="B11" s="11">
        <f>shock_OC!$E$2*s_ri!B11</f>
        <v>37.671869909929057</v>
      </c>
      <c r="C11" s="11">
        <f>shock_OC!$E$3*s_ri!C11</f>
        <v>12542.131512640424</v>
      </c>
      <c r="D11" s="11">
        <f>shock_OC!$E$4*s_ri!D11</f>
        <v>0</v>
      </c>
      <c r="E11" s="11">
        <f>shock_OC!$E$5*s_ri!E11</f>
        <v>0</v>
      </c>
      <c r="F11" s="11">
        <f>shock_OC!$E$6*s_ri!F11</f>
        <v>2.6515700485891441E-2</v>
      </c>
      <c r="G11" s="11">
        <f>shock_OC!$E$7*s_ri!G11</f>
        <v>-0.69359216883959374</v>
      </c>
      <c r="H11" s="11">
        <f t="shared" si="0"/>
        <v>12.579136306081999</v>
      </c>
      <c r="K11" s="6" t="s">
        <v>58</v>
      </c>
      <c r="L11" s="11">
        <f>shock_OC!$E$8*s_ri!K11</f>
        <v>-20.546209040437347</v>
      </c>
      <c r="M11" s="11">
        <f>shock_OC!$E$9*s_ri!L11</f>
        <v>-177.66654038476517</v>
      </c>
      <c r="N11" s="11">
        <f>shock_OC!$E$10*s_ri!M11</f>
        <v>0</v>
      </c>
      <c r="O11" s="11">
        <f>shock_OC!$E$11*s_ri!N11</f>
        <v>0</v>
      </c>
      <c r="P11" s="11">
        <f>shock_OC!$E$12*s_ri!O11</f>
        <v>9.5031289536248679E-3</v>
      </c>
      <c r="Q11" s="11">
        <f>shock_OC!$E$13*s_ri!P11</f>
        <v>0.74206423378195074</v>
      </c>
      <c r="R11" s="11">
        <f t="shared" si="1"/>
        <v>-197.46118206246695</v>
      </c>
    </row>
    <row r="12" spans="1:18" x14ac:dyDescent="0.2">
      <c r="A12" s="6" t="s">
        <v>59</v>
      </c>
      <c r="B12" s="11">
        <f>shock_OC!$E$2*s_ri!B12</f>
        <v>39.372422300972268</v>
      </c>
      <c r="C12" s="11">
        <f>shock_OC!$E$3*s_ri!C12</f>
        <v>13755.168838503074</v>
      </c>
      <c r="D12" s="11">
        <f>shock_OC!$E$4*s_ri!D12</f>
        <v>0</v>
      </c>
      <c r="E12" s="11">
        <f>shock_OC!$E$5*s_ri!E12</f>
        <v>0</v>
      </c>
      <c r="F12" s="11">
        <f>shock_OC!$E$6*s_ri!F12</f>
        <v>1.946248100975647E-2</v>
      </c>
      <c r="G12" s="11">
        <f>shock_OC!$E$7*s_ri!G12</f>
        <v>-0.6030146176605824</v>
      </c>
      <c r="H12" s="11">
        <f t="shared" si="0"/>
        <v>13.793957708667396</v>
      </c>
      <c r="K12" s="6" t="s">
        <v>59</v>
      </c>
      <c r="L12" s="11">
        <f>shock_OC!$E$8*s_ri!K12</f>
        <v>-20.192947857319876</v>
      </c>
      <c r="M12" s="11">
        <f>shock_OC!$E$9*s_ri!L12</f>
        <v>-188.14854572306248</v>
      </c>
      <c r="N12" s="11">
        <f>shock_OC!$E$10*s_ri!M12</f>
        <v>0</v>
      </c>
      <c r="O12" s="11">
        <f>shock_OC!$E$11*s_ri!N12</f>
        <v>0</v>
      </c>
      <c r="P12" s="11">
        <f>shock_OC!$E$12*s_ri!O12</f>
        <v>9.3491843598788957E-3</v>
      </c>
      <c r="Q12" s="11">
        <f>shock_OC!$E$13*s_ri!P12</f>
        <v>0.71532043467776285</v>
      </c>
      <c r="R12" s="11">
        <f t="shared" si="1"/>
        <v>-207.61682396134472</v>
      </c>
    </row>
    <row r="13" spans="1:18" x14ac:dyDescent="0.2">
      <c r="A13" s="6" t="s">
        <v>60</v>
      </c>
      <c r="B13" s="11">
        <f>shock_OC!$E$2*s_ri!B13</f>
        <v>52.395005794555139</v>
      </c>
      <c r="C13" s="11">
        <f>shock_OC!$E$3*s_ri!C13</f>
        <v>7632.9181808974909</v>
      </c>
      <c r="D13" s="11">
        <f>shock_OC!$E$4*s_ri!D13</f>
        <v>0</v>
      </c>
      <c r="E13" s="11">
        <f>shock_OC!$E$5*s_ri!E13</f>
        <v>0</v>
      </c>
      <c r="F13" s="11">
        <f>shock_OC!$E$6*s_ri!F13</f>
        <v>1.9327610038802571E-2</v>
      </c>
      <c r="G13" s="11">
        <f>shock_OC!$E$7*s_ri!G13</f>
        <v>-0.68183536874034167</v>
      </c>
      <c r="H13" s="11">
        <f t="shared" si="0"/>
        <v>7.6846506789333446</v>
      </c>
      <c r="K13" s="6" t="s">
        <v>60</v>
      </c>
      <c r="L13" s="11">
        <f>shock_OC!$E$8*s_ri!K13</f>
        <v>-31.548211142278873</v>
      </c>
      <c r="M13" s="11">
        <f>shock_OC!$E$9*s_ri!L13</f>
        <v>-128.25450649846178</v>
      </c>
      <c r="N13" s="11">
        <f>shock_OC!$E$10*s_ri!M13</f>
        <v>0</v>
      </c>
      <c r="O13" s="11">
        <f>shock_OC!$E$11*s_ri!N13</f>
        <v>0</v>
      </c>
      <c r="P13" s="11">
        <f>shock_OC!$E$12*s_ri!O13</f>
        <v>7.440235018348727E-3</v>
      </c>
      <c r="Q13" s="11">
        <f>shock_OC!$E$13*s_ri!P13</f>
        <v>0.8715283858728512</v>
      </c>
      <c r="R13" s="11">
        <f t="shared" si="1"/>
        <v>-158.92374901984942</v>
      </c>
    </row>
    <row r="14" spans="1:18" x14ac:dyDescent="0.2">
      <c r="A14" s="6" t="s">
        <v>61</v>
      </c>
      <c r="B14" s="11">
        <f>shock_OC!$E$2*s_ri!B14</f>
        <v>11.401411458460132</v>
      </c>
      <c r="C14" s="11">
        <f>shock_OC!$E$3*s_ri!C14</f>
        <v>18674.780545072408</v>
      </c>
      <c r="D14" s="11">
        <f>shock_OC!$E$4*s_ri!D14</f>
        <v>0</v>
      </c>
      <c r="E14" s="11">
        <f>shock_OC!$E$5*s_ri!E14</f>
        <v>0</v>
      </c>
      <c r="F14" s="11">
        <f>shock_OC!$E$6*s_ri!F14</f>
        <v>3.6638465824202798E-2</v>
      </c>
      <c r="G14" s="11">
        <f>shock_OC!$E$7*s_ri!G14</f>
        <v>-0.58763137622518258</v>
      </c>
      <c r="H14" s="11">
        <f t="shared" si="0"/>
        <v>18.685630963620468</v>
      </c>
      <c r="K14" s="6" t="s">
        <v>61</v>
      </c>
      <c r="L14" s="11">
        <f>shock_OC!$E$8*s_ri!K14</f>
        <v>-5.1885172284291228</v>
      </c>
      <c r="M14" s="11">
        <f>shock_OC!$E$9*s_ri!L14</f>
        <v>-209.43738666936108</v>
      </c>
      <c r="N14" s="11">
        <f>shock_OC!$E$10*s_ri!M14</f>
        <v>0</v>
      </c>
      <c r="O14" s="11">
        <f>shock_OC!$E$11*s_ri!N14</f>
        <v>0</v>
      </c>
      <c r="P14" s="11">
        <f>shock_OC!$E$12*s_ri!O14</f>
        <v>1.3855344995081221E-2</v>
      </c>
      <c r="Q14" s="11">
        <f>shock_OC!$E$13*s_ri!P14</f>
        <v>0.67283562644384742</v>
      </c>
      <c r="R14" s="11">
        <f t="shared" si="1"/>
        <v>-213.93921292635127</v>
      </c>
    </row>
    <row r="15" spans="1:18" x14ac:dyDescent="0.2">
      <c r="A15" s="6" t="s">
        <v>62</v>
      </c>
      <c r="B15" s="11">
        <f>shock_OC!$E$2*s_ri!B15</f>
        <v>17.505543148288783</v>
      </c>
      <c r="C15" s="11">
        <f>shock_OC!$E$3*s_ri!C15</f>
        <v>16562.089870213142</v>
      </c>
      <c r="D15" s="11">
        <f>shock_OC!$E$4*s_ri!D15</f>
        <v>0</v>
      </c>
      <c r="E15" s="11">
        <f>shock_OC!$E$5*s_ri!E15</f>
        <v>0</v>
      </c>
      <c r="F15" s="11">
        <f>shock_OC!$E$6*s_ri!F15</f>
        <v>3.1845633995982892E-2</v>
      </c>
      <c r="G15" s="11">
        <f>shock_OC!$E$7*s_ri!G15</f>
        <v>-0.55585465971219206</v>
      </c>
      <c r="H15" s="11">
        <f t="shared" si="0"/>
        <v>16.579071404335714</v>
      </c>
      <c r="K15" s="6" t="s">
        <v>62</v>
      </c>
      <c r="L15" s="11">
        <f>shock_OC!$E$8*s_ri!K15</f>
        <v>-9.7238280475757168</v>
      </c>
      <c r="M15" s="11">
        <f>shock_OC!$E$9*s_ri!L15</f>
        <v>-195.13011775514644</v>
      </c>
      <c r="N15" s="11">
        <f>shock_OC!$E$10*s_ri!M15</f>
        <v>0</v>
      </c>
      <c r="O15" s="11">
        <f>shock_OC!$E$11*s_ri!N15</f>
        <v>0</v>
      </c>
      <c r="P15" s="11">
        <f>shock_OC!$E$12*s_ri!O15</f>
        <v>1.1585598128733074E-2</v>
      </c>
      <c r="Q15" s="11">
        <f>shock_OC!$E$13*s_ri!P15</f>
        <v>0.67365355681922034</v>
      </c>
      <c r="R15" s="11">
        <f t="shared" si="1"/>
        <v>-204.1687066477742</v>
      </c>
    </row>
    <row r="16" spans="1:18" x14ac:dyDescent="0.2">
      <c r="A16" s="6" t="s">
        <v>63</v>
      </c>
      <c r="B16" s="11">
        <f>shock_OC!$E$2*s_ri!B16</f>
        <v>7.3998162745919318</v>
      </c>
      <c r="C16" s="11">
        <f>shock_OC!$E$3*s_ri!C16</f>
        <v>8195.9738977085108</v>
      </c>
      <c r="D16" s="11">
        <f>shock_OC!$E$4*s_ri!D16</f>
        <v>0</v>
      </c>
      <c r="E16" s="11">
        <f>shock_OC!$E$5*s_ri!E16</f>
        <v>0</v>
      </c>
      <c r="F16" s="11">
        <f>shock_OC!$E$6*s_ri!F16</f>
        <v>2.7353164208635525E-2</v>
      </c>
      <c r="G16" s="11">
        <f>shock_OC!$E$7*s_ri!G16</f>
        <v>-0.5330609016589728</v>
      </c>
      <c r="H16" s="11">
        <f t="shared" si="0"/>
        <v>8.2028680062456534</v>
      </c>
      <c r="K16" s="6" t="s">
        <v>63</v>
      </c>
      <c r="L16" s="11">
        <f>shock_OC!$E$8*s_ri!K16</f>
        <v>-3.0613664884378209</v>
      </c>
      <c r="M16" s="11">
        <f>shock_OC!$E$9*s_ri!L16</f>
        <v>-80.336185829172138</v>
      </c>
      <c r="N16" s="11">
        <f>shock_OC!$E$10*s_ri!M16</f>
        <v>0</v>
      </c>
      <c r="O16" s="11">
        <f>shock_OC!$E$11*s_ri!N16</f>
        <v>0</v>
      </c>
      <c r="P16" s="11">
        <f>shock_OC!$E$12*s_ri!O16</f>
        <v>1.3226096235773315E-2</v>
      </c>
      <c r="Q16" s="11">
        <f>shock_OC!$E$13*s_ri!P16</f>
        <v>0.64944136558668197</v>
      </c>
      <c r="R16" s="11">
        <f t="shared" si="1"/>
        <v>-82.734884855787513</v>
      </c>
    </row>
    <row r="17" spans="1:18" x14ac:dyDescent="0.2">
      <c r="A17" s="6" t="s">
        <v>64</v>
      </c>
      <c r="B17" s="11">
        <f>shock_OC!$E$2*s_ri!B17</f>
        <v>39.693547537686648</v>
      </c>
      <c r="C17" s="11">
        <f>shock_OC!$E$3*s_ri!C17</f>
        <v>8895.8953455254104</v>
      </c>
      <c r="D17" s="11">
        <f>shock_OC!$E$4*s_ri!D17</f>
        <v>0</v>
      </c>
      <c r="E17" s="11">
        <f>shock_OC!$E$5*s_ri!E17</f>
        <v>0</v>
      </c>
      <c r="F17" s="11">
        <f>shock_OC!$E$6*s_ri!F17</f>
        <v>2.7793758681050919E-2</v>
      </c>
      <c r="G17" s="11">
        <f>shock_OC!$E$7*s_ri!G17</f>
        <v>-0.69247173532137474</v>
      </c>
      <c r="H17" s="11">
        <f t="shared" si="0"/>
        <v>8.9349242150864576</v>
      </c>
      <c r="K17" s="6" t="s">
        <v>64</v>
      </c>
      <c r="L17" s="11">
        <f>shock_OC!$E$8*s_ri!K17</f>
        <v>-21.652046024965291</v>
      </c>
      <c r="M17" s="11">
        <f>shock_OC!$E$9*s_ri!L17</f>
        <v>-100.89039640701237</v>
      </c>
      <c r="N17" s="11">
        <f>shock_OC!$E$10*s_ri!M17</f>
        <v>0</v>
      </c>
      <c r="O17" s="11">
        <f>shock_OC!$E$11*s_ri!N17</f>
        <v>0</v>
      </c>
      <c r="P17" s="11">
        <f>shock_OC!$E$12*s_ri!O17</f>
        <v>1.1478023705852927E-2</v>
      </c>
      <c r="Q17" s="11">
        <f>shock_OC!$E$13*s_ri!P17</f>
        <v>0.79349602169699496</v>
      </c>
      <c r="R17" s="11">
        <f t="shared" si="1"/>
        <v>-121.73746838657482</v>
      </c>
    </row>
    <row r="18" spans="1:18" x14ac:dyDescent="0.2">
      <c r="A18" s="6" t="s">
        <v>65</v>
      </c>
      <c r="B18" s="11">
        <f>shock_OC!$E$2*s_ri!B18</f>
        <v>51.584260894618552</v>
      </c>
      <c r="C18" s="11">
        <f>shock_OC!$E$3*s_ri!C18</f>
        <v>11602.802788976765</v>
      </c>
      <c r="D18" s="11">
        <f>shock_OC!$E$4*s_ri!D18</f>
        <v>0</v>
      </c>
      <c r="E18" s="11">
        <f>shock_OC!$E$5*s_ri!E18</f>
        <v>0</v>
      </c>
      <c r="F18" s="11">
        <f>shock_OC!$E$6*s_ri!F18</f>
        <v>2.2749530208712548E-2</v>
      </c>
      <c r="G18" s="11">
        <f>shock_OC!$E$7*s_ri!G18</f>
        <v>-0.53999130629413294</v>
      </c>
      <c r="H18" s="11">
        <f t="shared" si="0"/>
        <v>11.653869808095298</v>
      </c>
      <c r="K18" s="6" t="s">
        <v>65</v>
      </c>
      <c r="L18" s="11">
        <f>shock_OC!$E$8*s_ri!K18</f>
        <v>-35.12370015869471</v>
      </c>
      <c r="M18" s="11">
        <f>shock_OC!$E$9*s_ri!L18</f>
        <v>-150.62225353332343</v>
      </c>
      <c r="N18" s="11">
        <f>shock_OC!$E$10*s_ri!M18</f>
        <v>0</v>
      </c>
      <c r="O18" s="11">
        <f>shock_OC!$E$11*s_ri!N18</f>
        <v>0</v>
      </c>
      <c r="P18" s="11">
        <f>shock_OC!$E$12*s_ri!O18</f>
        <v>1.183954144368371E-2</v>
      </c>
      <c r="Q18" s="11">
        <f>shock_OC!$E$13*s_ri!P18</f>
        <v>0.64686409750411578</v>
      </c>
      <c r="R18" s="11">
        <f t="shared" si="1"/>
        <v>-185.08725005307033</v>
      </c>
    </row>
    <row r="19" spans="1:18" x14ac:dyDescent="0.2">
      <c r="A19" s="6" t="s">
        <v>66</v>
      </c>
      <c r="B19" s="11">
        <f>shock_OC!$E$2*s_ri!B19</f>
        <v>0</v>
      </c>
      <c r="C19" s="11">
        <f>shock_OC!$E$3*s_ri!C19</f>
        <v>0</v>
      </c>
      <c r="D19" s="11">
        <f>shock_OC!$E$4*s_ri!D19</f>
        <v>0</v>
      </c>
      <c r="E19" s="11">
        <f>shock_OC!$E$5*s_ri!E19</f>
        <v>0</v>
      </c>
      <c r="F19" s="11">
        <f>shock_OC!$E$6*s_ri!F19</f>
        <v>0</v>
      </c>
      <c r="G19" s="11">
        <f>shock_OC!$E$7*s_ri!G19</f>
        <v>-1.5980163459288421</v>
      </c>
      <c r="H19" s="11">
        <f t="shared" si="0"/>
        <v>-1.5980163459288421E-3</v>
      </c>
      <c r="K19" s="6" t="s">
        <v>66</v>
      </c>
      <c r="L19" s="11">
        <f>shock_OC!$E$8*s_ri!K19</f>
        <v>0</v>
      </c>
      <c r="M19" s="11">
        <f>shock_OC!$E$9*s_ri!L19</f>
        <v>0</v>
      </c>
      <c r="N19" s="11">
        <f>shock_OC!$E$10*s_ri!M19</f>
        <v>0</v>
      </c>
      <c r="O19" s="11">
        <f>shock_OC!$E$11*s_ri!N19</f>
        <v>0</v>
      </c>
      <c r="P19" s="11">
        <f>shock_OC!$E$12*s_ri!O19</f>
        <v>8.3331203652127744E-3</v>
      </c>
      <c r="Q19" s="11">
        <f>shock_OC!$E$13*s_ri!P19</f>
        <v>1.3312956054911393</v>
      </c>
      <c r="R19" s="11">
        <f t="shared" si="1"/>
        <v>1.3396287258563522</v>
      </c>
    </row>
    <row r="20" spans="1:18" x14ac:dyDescent="0.2">
      <c r="A20" s="6" t="s">
        <v>67</v>
      </c>
      <c r="B20" s="11">
        <f>shock_OC!$E$2*s_ri!B20</f>
        <v>0</v>
      </c>
      <c r="C20" s="11">
        <f>shock_OC!$E$3*s_ri!C20</f>
        <v>0</v>
      </c>
      <c r="D20" s="11">
        <f>shock_OC!$E$4*s_ri!D20</f>
        <v>0</v>
      </c>
      <c r="E20" s="11">
        <f>shock_OC!$E$5*s_ri!E20</f>
        <v>0</v>
      </c>
      <c r="F20" s="11">
        <f>shock_OC!$E$6*s_ri!F20</f>
        <v>0</v>
      </c>
      <c r="G20" s="11">
        <f>shock_OC!$E$7*s_ri!G20</f>
        <v>-1.7732943509127972</v>
      </c>
      <c r="H20" s="11">
        <f t="shared" si="0"/>
        <v>-1.7732943509127972E-3</v>
      </c>
      <c r="K20" s="6" t="s">
        <v>67</v>
      </c>
      <c r="L20" s="11">
        <f>shock_OC!$E$8*s_ri!K20</f>
        <v>0</v>
      </c>
      <c r="M20" s="11">
        <f>shock_OC!$E$9*s_ri!L20</f>
        <v>0</v>
      </c>
      <c r="N20" s="11">
        <f>shock_OC!$E$10*s_ri!M20</f>
        <v>0</v>
      </c>
      <c r="O20" s="11">
        <f>shock_OC!$E$11*s_ri!N20</f>
        <v>0</v>
      </c>
      <c r="P20" s="11">
        <f>shock_OC!$E$12*s_ri!O20</f>
        <v>1.1943426043337693E-2</v>
      </c>
      <c r="Q20" s="11">
        <f>shock_OC!$E$13*s_ri!P20</f>
        <v>1.3868508146379686</v>
      </c>
      <c r="R20" s="11">
        <f t="shared" si="1"/>
        <v>1.3987942406813063</v>
      </c>
    </row>
    <row r="21" spans="1:18" x14ac:dyDescent="0.2">
      <c r="A21" s="6" t="s">
        <v>68</v>
      </c>
      <c r="B21" s="11">
        <f>shock_OC!$E$2*s_ri!B21</f>
        <v>21.984785689390801</v>
      </c>
      <c r="C21" s="11">
        <f>shock_OC!$E$3*s_ri!C21</f>
        <v>4794.343218656717</v>
      </c>
      <c r="D21" s="11">
        <f>shock_OC!$E$4*s_ri!D21</f>
        <v>0</v>
      </c>
      <c r="E21" s="11">
        <f>shock_OC!$E$5*s_ri!E21</f>
        <v>0</v>
      </c>
      <c r="F21" s="11">
        <f>shock_OC!$E$6*s_ri!F21</f>
        <v>2.7324051775194893E-2</v>
      </c>
      <c r="G21" s="11">
        <f>shock_OC!$E$7*s_ri!G21</f>
        <v>-0.67041639971287514</v>
      </c>
      <c r="H21" s="11">
        <f t="shared" si="0"/>
        <v>4.8156849119981704</v>
      </c>
      <c r="K21" s="6" t="s">
        <v>68</v>
      </c>
      <c r="L21" s="11">
        <f>shock_OC!$E$8*s_ri!K21</f>
        <v>-7.8530488173393547</v>
      </c>
      <c r="M21" s="11">
        <f>shock_OC!$E$9*s_ri!L21</f>
        <v>-57.42409969436428</v>
      </c>
      <c r="N21" s="11">
        <f>shock_OC!$E$10*s_ri!M21</f>
        <v>0</v>
      </c>
      <c r="O21" s="11">
        <f>shock_OC!$E$11*s_ri!N21</f>
        <v>0</v>
      </c>
      <c r="P21" s="11">
        <f>shock_OC!$E$12*s_ri!O21</f>
        <v>1.1872963848885934E-2</v>
      </c>
      <c r="Q21" s="11">
        <f>shock_OC!$E$13*s_ri!P21</f>
        <v>0.71387176405743125</v>
      </c>
      <c r="R21" s="11">
        <f t="shared" si="1"/>
        <v>-64.551403783797312</v>
      </c>
    </row>
    <row r="22" spans="1:18" x14ac:dyDescent="0.2">
      <c r="A22" s="6" t="s">
        <v>69</v>
      </c>
      <c r="B22" s="11">
        <f>shock_OC!$E$2*s_ri!B22</f>
        <v>0</v>
      </c>
      <c r="C22" s="11">
        <f>shock_OC!$E$3*s_ri!C22</f>
        <v>0</v>
      </c>
      <c r="D22" s="11">
        <f>shock_OC!$E$4*s_ri!D22</f>
        <v>0</v>
      </c>
      <c r="E22" s="11">
        <f>shock_OC!$E$5*s_ri!E22</f>
        <v>0</v>
      </c>
      <c r="F22" s="11">
        <f>shock_OC!$E$6*s_ri!F22</f>
        <v>0</v>
      </c>
      <c r="G22" s="11">
        <f>shock_OC!$E$7*s_ri!G22</f>
        <v>0</v>
      </c>
      <c r="H22" s="11">
        <f t="shared" si="0"/>
        <v>0</v>
      </c>
      <c r="K22" s="6" t="s">
        <v>69</v>
      </c>
      <c r="L22" s="11">
        <f>shock_OC!$E$8*s_ri!K22</f>
        <v>0</v>
      </c>
      <c r="M22" s="11">
        <f>shock_OC!$E$9*s_ri!L22</f>
        <v>0</v>
      </c>
      <c r="N22" s="11">
        <f>shock_OC!$E$10*s_ri!M22</f>
        <v>0</v>
      </c>
      <c r="O22" s="11">
        <f>shock_OC!$E$11*s_ri!N22</f>
        <v>0</v>
      </c>
      <c r="P22" s="11">
        <f>shock_OC!$E$12*s_ri!O22</f>
        <v>0</v>
      </c>
      <c r="Q22" s="11">
        <f>shock_OC!$E$13*s_ri!P22</f>
        <v>0</v>
      </c>
      <c r="R22" s="11">
        <f t="shared" si="1"/>
        <v>0</v>
      </c>
    </row>
    <row r="23" spans="1:18" x14ac:dyDescent="0.2">
      <c r="A23" s="6" t="s">
        <v>70</v>
      </c>
      <c r="B23" s="11">
        <f>shock_OC!$E$2*s_ri!B23</f>
        <v>0</v>
      </c>
      <c r="C23" s="11">
        <f>shock_OC!$E$3*s_ri!C23</f>
        <v>0</v>
      </c>
      <c r="D23" s="11">
        <f>shock_OC!$E$4*s_ri!D23</f>
        <v>0</v>
      </c>
      <c r="E23" s="11">
        <f>shock_OC!$E$5*s_ri!E23</f>
        <v>0</v>
      </c>
      <c r="F23" s="11">
        <f>shock_OC!$E$6*s_ri!F23</f>
        <v>0</v>
      </c>
      <c r="G23" s="11">
        <f>shock_OC!$E$7*s_ri!G23</f>
        <v>0</v>
      </c>
      <c r="H23" s="11">
        <f t="shared" si="0"/>
        <v>0</v>
      </c>
      <c r="K23" s="6" t="s">
        <v>70</v>
      </c>
      <c r="L23" s="11">
        <f>shock_OC!$E$8*s_ri!K23</f>
        <v>0</v>
      </c>
      <c r="M23" s="11">
        <f>shock_OC!$E$9*s_ri!L23</f>
        <v>0</v>
      </c>
      <c r="N23" s="11">
        <f>shock_OC!$E$10*s_ri!M23</f>
        <v>0</v>
      </c>
      <c r="O23" s="11">
        <f>shock_OC!$E$11*s_ri!N23</f>
        <v>0</v>
      </c>
      <c r="P23" s="11">
        <f>shock_OC!$E$12*s_ri!O23</f>
        <v>0</v>
      </c>
      <c r="Q23" s="11">
        <f>shock_OC!$E$13*s_ri!P23</f>
        <v>0</v>
      </c>
      <c r="R23" s="11">
        <f t="shared" si="1"/>
        <v>0</v>
      </c>
    </row>
    <row r="24" spans="1:18" x14ac:dyDescent="0.2">
      <c r="A24" s="6" t="s">
        <v>71</v>
      </c>
      <c r="B24" s="11">
        <f>shock_OC!$E$2*s_ri!B24</f>
        <v>0</v>
      </c>
      <c r="C24" s="11">
        <f>shock_OC!$E$3*s_ri!C24</f>
        <v>0</v>
      </c>
      <c r="D24" s="11">
        <f>shock_OC!$E$4*s_ri!D24</f>
        <v>0</v>
      </c>
      <c r="E24" s="11">
        <f>shock_OC!$E$5*s_ri!E24</f>
        <v>0</v>
      </c>
      <c r="F24" s="11">
        <f>shock_OC!$E$6*s_ri!F24</f>
        <v>0</v>
      </c>
      <c r="G24" s="11">
        <f>shock_OC!$E$7*s_ri!G24</f>
        <v>0</v>
      </c>
      <c r="H24" s="11">
        <f t="shared" si="0"/>
        <v>0</v>
      </c>
      <c r="K24" s="6" t="s">
        <v>71</v>
      </c>
      <c r="L24" s="11">
        <f>shock_OC!$E$8*s_ri!K24</f>
        <v>0</v>
      </c>
      <c r="M24" s="11">
        <f>shock_OC!$E$9*s_ri!L24</f>
        <v>0</v>
      </c>
      <c r="N24" s="11">
        <f>shock_OC!$E$10*s_ri!M24</f>
        <v>0</v>
      </c>
      <c r="O24" s="11">
        <f>shock_OC!$E$11*s_ri!N24</f>
        <v>0</v>
      </c>
      <c r="P24" s="11">
        <f>shock_OC!$E$12*s_ri!O24</f>
        <v>0</v>
      </c>
      <c r="Q24" s="11">
        <f>shock_OC!$E$13*s_ri!P24</f>
        <v>0</v>
      </c>
      <c r="R24" s="11">
        <f t="shared" si="1"/>
        <v>0</v>
      </c>
    </row>
  </sheetData>
  <mergeCells count="2">
    <mergeCell ref="A1:H1"/>
    <mergeCell ref="K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employment</vt:lpstr>
      <vt:lpstr>import</vt:lpstr>
      <vt:lpstr>L_i</vt:lpstr>
      <vt:lpstr>delta_M</vt:lpstr>
      <vt:lpstr>shock_i</vt:lpstr>
      <vt:lpstr>L_r</vt:lpstr>
      <vt:lpstr>s_ri</vt:lpstr>
      <vt:lpstr>IPW_r</vt:lpstr>
      <vt:lpstr>import OC</vt:lpstr>
      <vt:lpstr>delta_M_OC</vt:lpstr>
      <vt:lpstr>shock_OC</vt:lpstr>
      <vt:lpstr>IPW_OC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2026-04-03T12:30:33Z</dcterms:created>
  <dcterms:modified xsi:type="dcterms:W3CDTF">2026-04-14T10:14:20Z</dcterms:modified>
</cp:coreProperties>
</file>