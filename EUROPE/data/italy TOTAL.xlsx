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data/"/>
    </mc:Choice>
  </mc:AlternateContent>
  <xr:revisionPtr revIDLastSave="0" documentId="8_{663D095C-21D0-D146-AAE8-FC7CE6F8E095}" xr6:coauthVersionLast="47" xr6:coauthVersionMax="47" xr10:uidLastSave="{00000000-0000-0000-0000-000000000000}"/>
  <bookViews>
    <workbookView xWindow="0" yWindow="720" windowWidth="29400" windowHeight="18400" activeTab="10" xr2:uid="{05672B15-1E54-2046-A970-472BD5751164}"/>
  </bookViews>
  <sheets>
    <sheet name="employment" sheetId="1" r:id="rId1"/>
    <sheet name="import" sheetId="2" r:id="rId2"/>
    <sheet name="L_i" sheetId="3" r:id="rId3"/>
    <sheet name="delta_M" sheetId="4" r:id="rId4"/>
    <sheet name="shock_i" sheetId="6" r:id="rId5"/>
    <sheet name="L_r" sheetId="5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C9" i="11" l="1"/>
  <c r="C10" i="11"/>
  <c r="C11" i="11"/>
  <c r="C12" i="11"/>
  <c r="C13" i="11"/>
  <c r="C8" i="11"/>
  <c r="C3" i="11"/>
  <c r="C4" i="11"/>
  <c r="C5" i="11"/>
  <c r="C6" i="11"/>
  <c r="C7" i="11"/>
  <c r="C2" i="11"/>
  <c r="E13" i="11" l="1"/>
  <c r="E12" i="11"/>
  <c r="E11" i="11"/>
  <c r="E10" i="11"/>
  <c r="E9" i="11"/>
  <c r="E8" i="11"/>
  <c r="E7" i="11"/>
  <c r="E6" i="11"/>
  <c r="E5" i="11"/>
  <c r="E4" i="11"/>
  <c r="E3" i="11"/>
  <c r="E2" i="11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3" i="5"/>
  <c r="F2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3" i="5"/>
  <c r="L4" i="5"/>
  <c r="L5" i="5"/>
  <c r="L6" i="5"/>
  <c r="L7" i="5"/>
  <c r="L8" i="5"/>
  <c r="L9" i="5"/>
  <c r="L10" i="5"/>
  <c r="R10" i="5" s="1"/>
  <c r="L11" i="5"/>
  <c r="L12" i="5"/>
  <c r="L13" i="5"/>
  <c r="L14" i="5"/>
  <c r="L15" i="5"/>
  <c r="L16" i="5"/>
  <c r="L17" i="5"/>
  <c r="L18" i="5"/>
  <c r="R18" i="5" s="1"/>
  <c r="L19" i="5"/>
  <c r="L20" i="5"/>
  <c r="L21" i="5"/>
  <c r="L22" i="5"/>
  <c r="L23" i="5"/>
  <c r="L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3" i="5"/>
  <c r="B4" i="5"/>
  <c r="B5" i="5"/>
  <c r="B6" i="5"/>
  <c r="B7" i="5"/>
  <c r="B8" i="5"/>
  <c r="B9" i="5"/>
  <c r="B10" i="5"/>
  <c r="B11" i="5"/>
  <c r="B12" i="5"/>
  <c r="H12" i="5" s="1"/>
  <c r="B13" i="5"/>
  <c r="B14" i="5"/>
  <c r="B15" i="5"/>
  <c r="B16" i="5"/>
  <c r="B17" i="5"/>
  <c r="B18" i="5"/>
  <c r="B19" i="5"/>
  <c r="B20" i="5"/>
  <c r="H20" i="5" s="1"/>
  <c r="B21" i="5"/>
  <c r="B22" i="5"/>
  <c r="B23" i="5"/>
  <c r="B3" i="5"/>
  <c r="D4" i="6"/>
  <c r="E4" i="6" s="1"/>
  <c r="D6" i="6"/>
  <c r="D7" i="6"/>
  <c r="D2" i="6"/>
  <c r="E2" i="6" s="1"/>
  <c r="C3" i="4"/>
  <c r="D3" i="6" s="1"/>
  <c r="C4" i="4"/>
  <c r="C5" i="4"/>
  <c r="D5" i="6" s="1"/>
  <c r="C6" i="4"/>
  <c r="C7" i="4"/>
  <c r="C2" i="4"/>
  <c r="C13" i="4"/>
  <c r="D13" i="6" s="1"/>
  <c r="E13" i="6" s="1"/>
  <c r="C12" i="4"/>
  <c r="D12" i="6" s="1"/>
  <c r="E12" i="6" s="1"/>
  <c r="C11" i="4"/>
  <c r="D11" i="6" s="1"/>
  <c r="E11" i="6" s="1"/>
  <c r="C10" i="4"/>
  <c r="D10" i="6" s="1"/>
  <c r="C9" i="4"/>
  <c r="D9" i="6" s="1"/>
  <c r="C8" i="4"/>
  <c r="D8" i="6" s="1"/>
  <c r="C25" i="3"/>
  <c r="C19" i="3"/>
  <c r="C13" i="6" s="1"/>
  <c r="C24" i="3"/>
  <c r="C18" i="3"/>
  <c r="C12" i="6" s="1"/>
  <c r="C23" i="3"/>
  <c r="C17" i="3"/>
  <c r="C11" i="6" s="1"/>
  <c r="C22" i="3"/>
  <c r="C16" i="3"/>
  <c r="C10" i="6" s="1"/>
  <c r="C21" i="3"/>
  <c r="C15" i="3"/>
  <c r="C9" i="6" s="1"/>
  <c r="C20" i="3"/>
  <c r="C14" i="3"/>
  <c r="C8" i="6" s="1"/>
  <c r="C13" i="3"/>
  <c r="C12" i="3"/>
  <c r="C11" i="3"/>
  <c r="C10" i="3"/>
  <c r="C9" i="3"/>
  <c r="C8" i="3"/>
  <c r="C7" i="3"/>
  <c r="C7" i="6" s="1"/>
  <c r="C6" i="3"/>
  <c r="C6" i="6" s="1"/>
  <c r="C5" i="3"/>
  <c r="C5" i="6" s="1"/>
  <c r="C4" i="3"/>
  <c r="C4" i="6" s="1"/>
  <c r="C3" i="3"/>
  <c r="C3" i="6" s="1"/>
  <c r="C2" i="3"/>
  <c r="C2" i="6" s="1"/>
  <c r="R17" i="5" l="1"/>
  <c r="K17" i="7" s="1"/>
  <c r="L17" i="12" s="1"/>
  <c r="R9" i="5"/>
  <c r="K9" i="7" s="1"/>
  <c r="R3" i="5"/>
  <c r="H21" i="5"/>
  <c r="F21" i="7" s="1"/>
  <c r="H13" i="5"/>
  <c r="E13" i="7" s="1"/>
  <c r="H5" i="5"/>
  <c r="B5" i="7" s="1"/>
  <c r="B5" i="8" s="1"/>
  <c r="H4" i="5"/>
  <c r="H3" i="5"/>
  <c r="B3" i="7" s="1"/>
  <c r="B3" i="8" s="1"/>
  <c r="P11" i="7"/>
  <c r="Q11" i="8" s="1"/>
  <c r="L19" i="7"/>
  <c r="M19" i="12" s="1"/>
  <c r="O3" i="7"/>
  <c r="G6" i="7"/>
  <c r="G6" i="8" s="1"/>
  <c r="H6" i="5"/>
  <c r="G14" i="7"/>
  <c r="G14" i="8" s="1"/>
  <c r="P19" i="7"/>
  <c r="Q19" i="8" s="1"/>
  <c r="L18" i="7"/>
  <c r="M18" i="12" s="1"/>
  <c r="G21" i="7"/>
  <c r="G21" i="8" s="1"/>
  <c r="G13" i="7"/>
  <c r="G13" i="8" s="1"/>
  <c r="G5" i="7"/>
  <c r="G5" i="8" s="1"/>
  <c r="P18" i="7"/>
  <c r="L9" i="7"/>
  <c r="M9" i="12" s="1"/>
  <c r="H22" i="5"/>
  <c r="G22" i="7" s="1"/>
  <c r="H14" i="5"/>
  <c r="R19" i="5"/>
  <c r="R11" i="5"/>
  <c r="L11" i="7" s="1"/>
  <c r="M11" i="12" s="1"/>
  <c r="L3" i="7"/>
  <c r="G21" i="12"/>
  <c r="G6" i="12"/>
  <c r="G5" i="12"/>
  <c r="M3" i="12"/>
  <c r="N18" i="12"/>
  <c r="C12" i="12"/>
  <c r="L9" i="12"/>
  <c r="L3" i="12"/>
  <c r="P3" i="12"/>
  <c r="P10" i="12"/>
  <c r="Q18" i="12"/>
  <c r="B3" i="12"/>
  <c r="B21" i="12"/>
  <c r="Q18" i="8"/>
  <c r="P3" i="8"/>
  <c r="E7" i="6"/>
  <c r="C3" i="7"/>
  <c r="C3" i="8" s="1"/>
  <c r="M20" i="7"/>
  <c r="N20" i="12" s="1"/>
  <c r="P10" i="7"/>
  <c r="Q10" i="12" s="1"/>
  <c r="E6" i="6"/>
  <c r="C22" i="7"/>
  <c r="C22" i="8" s="1"/>
  <c r="E22" i="7"/>
  <c r="E22" i="8" s="1"/>
  <c r="C6" i="7"/>
  <c r="C6" i="8" s="1"/>
  <c r="E6" i="7"/>
  <c r="E6" i="8" s="1"/>
  <c r="F6" i="7"/>
  <c r="F6" i="8" s="1"/>
  <c r="O11" i="7"/>
  <c r="P11" i="12" s="1"/>
  <c r="G20" i="7"/>
  <c r="G20" i="8" s="1"/>
  <c r="G12" i="7"/>
  <c r="G12" i="8" s="1"/>
  <c r="K18" i="7"/>
  <c r="L18" i="12" s="1"/>
  <c r="M18" i="7"/>
  <c r="L10" i="7"/>
  <c r="M10" i="12" s="1"/>
  <c r="D4" i="7"/>
  <c r="D4" i="8" s="1"/>
  <c r="E9" i="6"/>
  <c r="C20" i="7"/>
  <c r="C20" i="8" s="1"/>
  <c r="C12" i="7"/>
  <c r="C12" i="8" s="1"/>
  <c r="M3" i="7"/>
  <c r="N3" i="12" s="1"/>
  <c r="E21" i="7"/>
  <c r="E21" i="8" s="1"/>
  <c r="N18" i="7"/>
  <c r="O18" i="12" s="1"/>
  <c r="N10" i="7"/>
  <c r="O10" i="8" s="1"/>
  <c r="G17" i="7"/>
  <c r="G17" i="8" s="1"/>
  <c r="K10" i="7"/>
  <c r="L10" i="12" s="1"/>
  <c r="M10" i="7"/>
  <c r="N10" i="12" s="1"/>
  <c r="D20" i="7"/>
  <c r="D20" i="8" s="1"/>
  <c r="E5" i="6"/>
  <c r="C4" i="7"/>
  <c r="C4" i="8" s="1"/>
  <c r="E10" i="6"/>
  <c r="B14" i="7"/>
  <c r="B14" i="8" s="1"/>
  <c r="B6" i="7"/>
  <c r="B6" i="8" s="1"/>
  <c r="P3" i="7"/>
  <c r="Q3" i="8" s="1"/>
  <c r="K3" i="7"/>
  <c r="E20" i="7"/>
  <c r="E20" i="8" s="1"/>
  <c r="E12" i="7"/>
  <c r="E12" i="8" s="1"/>
  <c r="E4" i="7"/>
  <c r="E4" i="8" s="1"/>
  <c r="N17" i="7"/>
  <c r="O17" i="12" s="1"/>
  <c r="N9" i="7"/>
  <c r="O9" i="12" s="1"/>
  <c r="F13" i="7"/>
  <c r="F13" i="8" s="1"/>
  <c r="F5" i="7"/>
  <c r="F5" i="8" s="1"/>
  <c r="O18" i="7"/>
  <c r="P18" i="12" s="1"/>
  <c r="O10" i="7"/>
  <c r="P10" i="8" s="1"/>
  <c r="G3" i="7"/>
  <c r="G3" i="8" s="1"/>
  <c r="D8" i="7"/>
  <c r="D8" i="8" s="1"/>
  <c r="C14" i="7"/>
  <c r="C14" i="8" s="1"/>
  <c r="E14" i="7"/>
  <c r="E14" i="8" s="1"/>
  <c r="F14" i="7"/>
  <c r="F14" i="8" s="1"/>
  <c r="N19" i="7"/>
  <c r="O19" i="8" s="1"/>
  <c r="O19" i="7"/>
  <c r="P19" i="12" s="1"/>
  <c r="E3" i="7"/>
  <c r="E3" i="8" s="1"/>
  <c r="G4" i="7"/>
  <c r="G4" i="8" s="1"/>
  <c r="K19" i="7"/>
  <c r="L19" i="12" s="1"/>
  <c r="K11" i="7"/>
  <c r="L11" i="12" s="1"/>
  <c r="E8" i="6"/>
  <c r="D12" i="7"/>
  <c r="D12" i="8" s="1"/>
  <c r="E3" i="6"/>
  <c r="C21" i="7"/>
  <c r="C21" i="8" s="1"/>
  <c r="C13" i="7"/>
  <c r="C13" i="8" s="1"/>
  <c r="D13" i="7"/>
  <c r="D13" i="8" s="1"/>
  <c r="C5" i="7"/>
  <c r="C5" i="8" s="1"/>
  <c r="D5" i="7"/>
  <c r="D5" i="8" s="1"/>
  <c r="K7" i="7"/>
  <c r="L7" i="12" s="1"/>
  <c r="L20" i="7"/>
  <c r="M20" i="12" s="1"/>
  <c r="L12" i="7"/>
  <c r="M12" i="12" s="1"/>
  <c r="D17" i="7"/>
  <c r="D17" i="8" s="1"/>
  <c r="N3" i="7"/>
  <c r="O3" i="12" s="1"/>
  <c r="F20" i="7"/>
  <c r="F20" i="8" s="1"/>
  <c r="F12" i="7"/>
  <c r="F12" i="8" s="1"/>
  <c r="F4" i="7"/>
  <c r="F4" i="8" s="1"/>
  <c r="O17" i="7"/>
  <c r="P17" i="12" s="1"/>
  <c r="O9" i="7"/>
  <c r="P9" i="12" s="1"/>
  <c r="H18" i="5"/>
  <c r="D18" i="7" s="1"/>
  <c r="D18" i="8" s="1"/>
  <c r="H10" i="5"/>
  <c r="D10" i="7" s="1"/>
  <c r="D10" i="8" s="1"/>
  <c r="R23" i="5"/>
  <c r="R15" i="5"/>
  <c r="N15" i="7" s="1"/>
  <c r="R7" i="5"/>
  <c r="O7" i="7" s="1"/>
  <c r="P7" i="8" s="1"/>
  <c r="D3" i="7"/>
  <c r="D3" i="8" s="1"/>
  <c r="H17" i="5"/>
  <c r="B17" i="7" s="1"/>
  <c r="B17" i="8" s="1"/>
  <c r="H9" i="5"/>
  <c r="B9" i="7" s="1"/>
  <c r="B9" i="8" s="1"/>
  <c r="R22" i="5"/>
  <c r="L22" i="7" s="1"/>
  <c r="M22" i="12" s="1"/>
  <c r="R14" i="5"/>
  <c r="L14" i="7" s="1"/>
  <c r="M14" i="12" s="1"/>
  <c r="R6" i="5"/>
  <c r="L6" i="7" s="1"/>
  <c r="M6" i="12" s="1"/>
  <c r="B20" i="7"/>
  <c r="B20" i="8" s="1"/>
  <c r="B12" i="7"/>
  <c r="B12" i="8" s="1"/>
  <c r="B4" i="7"/>
  <c r="B4" i="8" s="1"/>
  <c r="H4" i="8" s="1"/>
  <c r="H16" i="5"/>
  <c r="D16" i="7" s="1"/>
  <c r="D16" i="8" s="1"/>
  <c r="H8" i="5"/>
  <c r="E8" i="7" s="1"/>
  <c r="E8" i="8" s="1"/>
  <c r="R21" i="5"/>
  <c r="P21" i="7" s="1"/>
  <c r="Q21" i="12" s="1"/>
  <c r="R13" i="5"/>
  <c r="P13" i="7" s="1"/>
  <c r="Q13" i="8" s="1"/>
  <c r="R5" i="5"/>
  <c r="P5" i="7" s="1"/>
  <c r="Q5" i="12" s="1"/>
  <c r="H23" i="5"/>
  <c r="G23" i="7" s="1"/>
  <c r="G23" i="8" s="1"/>
  <c r="H15" i="5"/>
  <c r="C15" i="7" s="1"/>
  <c r="C15" i="8" s="1"/>
  <c r="H7" i="5"/>
  <c r="B7" i="7" s="1"/>
  <c r="B7" i="8" s="1"/>
  <c r="R20" i="5"/>
  <c r="K20" i="7" s="1"/>
  <c r="L20" i="12" s="1"/>
  <c r="R12" i="5"/>
  <c r="K12" i="7" s="1"/>
  <c r="L12" i="12" s="1"/>
  <c r="R4" i="5"/>
  <c r="K4" i="7" s="1"/>
  <c r="L4" i="12" s="1"/>
  <c r="D22" i="7"/>
  <c r="D22" i="8" s="1"/>
  <c r="B21" i="7"/>
  <c r="B21" i="8" s="1"/>
  <c r="D14" i="7"/>
  <c r="D14" i="8" s="1"/>
  <c r="B13" i="7"/>
  <c r="B13" i="8" s="1"/>
  <c r="D6" i="7"/>
  <c r="D6" i="8" s="1"/>
  <c r="M19" i="7"/>
  <c r="N19" i="12" s="1"/>
  <c r="M11" i="7"/>
  <c r="N11" i="12" s="1"/>
  <c r="H19" i="5"/>
  <c r="G19" i="7" s="1"/>
  <c r="G19" i="8" s="1"/>
  <c r="H11" i="5"/>
  <c r="G11" i="7" s="1"/>
  <c r="G11" i="8" s="1"/>
  <c r="R16" i="5"/>
  <c r="P16" i="7" s="1"/>
  <c r="Q16" i="12" s="1"/>
  <c r="R8" i="5"/>
  <c r="P8" i="7" s="1"/>
  <c r="Q8" i="12" s="1"/>
  <c r="O15" i="12" l="1"/>
  <c r="O15" i="8"/>
  <c r="G22" i="8"/>
  <c r="G22" i="12"/>
  <c r="F21" i="8"/>
  <c r="F21" i="12"/>
  <c r="E13" i="8"/>
  <c r="E13" i="12"/>
  <c r="E18" i="7"/>
  <c r="E18" i="8" s="1"/>
  <c r="Q19" i="12"/>
  <c r="F12" i="12"/>
  <c r="P17" i="7"/>
  <c r="P9" i="7"/>
  <c r="C9" i="7"/>
  <c r="C9" i="8" s="1"/>
  <c r="P7" i="7"/>
  <c r="Q7" i="8" s="1"/>
  <c r="P11" i="8"/>
  <c r="Q5" i="8"/>
  <c r="E12" i="12"/>
  <c r="G11" i="12"/>
  <c r="N22" i="7"/>
  <c r="O22" i="12" s="1"/>
  <c r="O18" i="8"/>
  <c r="C13" i="12"/>
  <c r="G17" i="12"/>
  <c r="B22" i="7"/>
  <c r="B22" i="8" s="1"/>
  <c r="F22" i="7"/>
  <c r="M4" i="7"/>
  <c r="N4" i="12" s="1"/>
  <c r="Q11" i="12"/>
  <c r="C20" i="12"/>
  <c r="G13" i="12"/>
  <c r="L21" i="7"/>
  <c r="M21" i="12" s="1"/>
  <c r="G15" i="7"/>
  <c r="O15" i="7"/>
  <c r="K8" i="7"/>
  <c r="L8" i="12" s="1"/>
  <c r="E5" i="7"/>
  <c r="E9" i="7"/>
  <c r="D12" i="12"/>
  <c r="G4" i="12"/>
  <c r="L17" i="7"/>
  <c r="M17" i="12" s="1"/>
  <c r="M9" i="7"/>
  <c r="N9" i="12" s="1"/>
  <c r="L4" i="7"/>
  <c r="M4" i="12" s="1"/>
  <c r="D21" i="7"/>
  <c r="D21" i="8" s="1"/>
  <c r="F9" i="7"/>
  <c r="O8" i="7"/>
  <c r="F3" i="7"/>
  <c r="D7" i="7"/>
  <c r="N11" i="7"/>
  <c r="C7" i="7"/>
  <c r="B14" i="12"/>
  <c r="D5" i="12"/>
  <c r="C3" i="12"/>
  <c r="F14" i="12"/>
  <c r="G14" i="12"/>
  <c r="M17" i="7"/>
  <c r="N17" i="12" s="1"/>
  <c r="H20" i="8"/>
  <c r="Q10" i="8"/>
  <c r="B4" i="12"/>
  <c r="B17" i="12"/>
  <c r="B7" i="12"/>
  <c r="Q3" i="12"/>
  <c r="R3" i="12" s="1"/>
  <c r="E20" i="12"/>
  <c r="P7" i="12"/>
  <c r="D16" i="12"/>
  <c r="D6" i="12"/>
  <c r="P17" i="8"/>
  <c r="B13" i="12"/>
  <c r="E3" i="12"/>
  <c r="E14" i="12"/>
  <c r="D3" i="12"/>
  <c r="D8" i="12"/>
  <c r="O10" i="12"/>
  <c r="R10" i="12" s="1"/>
  <c r="C5" i="12"/>
  <c r="C22" i="12"/>
  <c r="F20" i="12"/>
  <c r="Q16" i="8"/>
  <c r="O17" i="8"/>
  <c r="B5" i="12"/>
  <c r="B9" i="12"/>
  <c r="E6" i="12"/>
  <c r="E4" i="12"/>
  <c r="D10" i="12"/>
  <c r="D20" i="12"/>
  <c r="C14" i="12"/>
  <c r="P9" i="8"/>
  <c r="Q8" i="8"/>
  <c r="O3" i="8"/>
  <c r="B22" i="12"/>
  <c r="Q13" i="12"/>
  <c r="E8" i="12"/>
  <c r="D21" i="12"/>
  <c r="D17" i="12"/>
  <c r="C6" i="12"/>
  <c r="F13" i="12"/>
  <c r="H13" i="12" s="1"/>
  <c r="F4" i="12"/>
  <c r="G3" i="12"/>
  <c r="O9" i="8"/>
  <c r="B20" i="12"/>
  <c r="E21" i="12"/>
  <c r="D13" i="12"/>
  <c r="O19" i="12"/>
  <c r="R19" i="12" s="1"/>
  <c r="C4" i="12"/>
  <c r="F5" i="12"/>
  <c r="G19" i="12"/>
  <c r="G12" i="12"/>
  <c r="C15" i="12"/>
  <c r="C9" i="12"/>
  <c r="H14" i="8"/>
  <c r="H13" i="8"/>
  <c r="H6" i="8"/>
  <c r="Q21" i="8"/>
  <c r="P19" i="8"/>
  <c r="P18" i="8"/>
  <c r="B12" i="12"/>
  <c r="H12" i="12" s="1"/>
  <c r="B6" i="12"/>
  <c r="D4" i="12"/>
  <c r="D22" i="12"/>
  <c r="G20" i="12"/>
  <c r="H21" i="8"/>
  <c r="H12" i="8"/>
  <c r="O22" i="8"/>
  <c r="E18" i="12"/>
  <c r="E22" i="12"/>
  <c r="D18" i="12"/>
  <c r="D14" i="12"/>
  <c r="C21" i="12"/>
  <c r="F6" i="12"/>
  <c r="G23" i="12"/>
  <c r="H20" i="12"/>
  <c r="H14" i="12"/>
  <c r="R18" i="12"/>
  <c r="L4" i="8"/>
  <c r="L8" i="8"/>
  <c r="L12" i="8"/>
  <c r="L20" i="8"/>
  <c r="L7" i="8"/>
  <c r="L18" i="8"/>
  <c r="L11" i="8"/>
  <c r="L19" i="8"/>
  <c r="L10" i="8"/>
  <c r="L3" i="8"/>
  <c r="L9" i="8"/>
  <c r="L17" i="8"/>
  <c r="N17" i="8"/>
  <c r="N4" i="8"/>
  <c r="N20" i="8"/>
  <c r="N11" i="8"/>
  <c r="N10" i="8"/>
  <c r="N18" i="8"/>
  <c r="N3" i="8"/>
  <c r="N15" i="8"/>
  <c r="N19" i="8"/>
  <c r="M3" i="8"/>
  <c r="M14" i="8"/>
  <c r="M4" i="8"/>
  <c r="M12" i="8"/>
  <c r="M20" i="8"/>
  <c r="M9" i="8"/>
  <c r="M17" i="8"/>
  <c r="M21" i="8"/>
  <c r="M11" i="8"/>
  <c r="M19" i="8"/>
  <c r="M6" i="8"/>
  <c r="M10" i="8"/>
  <c r="M18" i="8"/>
  <c r="M22" i="8"/>
  <c r="B11" i="7"/>
  <c r="E23" i="7"/>
  <c r="F23" i="7"/>
  <c r="L15" i="7"/>
  <c r="M15" i="12" s="1"/>
  <c r="M15" i="7"/>
  <c r="N15" i="12" s="1"/>
  <c r="N16" i="7"/>
  <c r="C18" i="7"/>
  <c r="B18" i="7"/>
  <c r="K21" i="7"/>
  <c r="L21" i="12" s="1"/>
  <c r="M5" i="7"/>
  <c r="N5" i="12" s="1"/>
  <c r="L13" i="7"/>
  <c r="M13" i="12" s="1"/>
  <c r="M21" i="7"/>
  <c r="N21" i="12" s="1"/>
  <c r="E16" i="7"/>
  <c r="N6" i="7"/>
  <c r="E19" i="7"/>
  <c r="O21" i="7"/>
  <c r="F18" i="7"/>
  <c r="O16" i="7"/>
  <c r="K16" i="7"/>
  <c r="L16" i="12" s="1"/>
  <c r="G10" i="7"/>
  <c r="O14" i="7"/>
  <c r="C23" i="7"/>
  <c r="M13" i="7"/>
  <c r="N13" i="12" s="1"/>
  <c r="L23" i="7"/>
  <c r="M23" i="12" s="1"/>
  <c r="M23" i="7"/>
  <c r="N23" i="12" s="1"/>
  <c r="E11" i="7"/>
  <c r="D19" i="7"/>
  <c r="P23" i="7"/>
  <c r="N12" i="7"/>
  <c r="O12" i="7"/>
  <c r="P4" i="7"/>
  <c r="M6" i="7"/>
  <c r="N6" i="12" s="1"/>
  <c r="F8" i="7"/>
  <c r="N13" i="7"/>
  <c r="N14" i="7"/>
  <c r="F11" i="7"/>
  <c r="P6" i="7"/>
  <c r="K13" i="7"/>
  <c r="L13" i="12" s="1"/>
  <c r="G18" i="7"/>
  <c r="O22" i="7"/>
  <c r="D23" i="7"/>
  <c r="G16" i="7"/>
  <c r="B16" i="7"/>
  <c r="P12" i="7"/>
  <c r="M14" i="7"/>
  <c r="N14" i="12" s="1"/>
  <c r="K15" i="7"/>
  <c r="L15" i="12" s="1"/>
  <c r="F16" i="7"/>
  <c r="E17" i="7"/>
  <c r="F19" i="7"/>
  <c r="B15" i="7"/>
  <c r="P14" i="7"/>
  <c r="C16" i="7"/>
  <c r="F17" i="7"/>
  <c r="K5" i="7"/>
  <c r="L5" i="12" s="1"/>
  <c r="K6" i="7"/>
  <c r="L6" i="12" s="1"/>
  <c r="D11" i="7"/>
  <c r="O5" i="7"/>
  <c r="F10" i="7"/>
  <c r="K14" i="7"/>
  <c r="L14" i="12" s="1"/>
  <c r="O6" i="7"/>
  <c r="N4" i="7"/>
  <c r="O4" i="7"/>
  <c r="G8" i="7"/>
  <c r="B8" i="7"/>
  <c r="N20" i="7"/>
  <c r="O20" i="7"/>
  <c r="E7" i="7"/>
  <c r="F7" i="7"/>
  <c r="P20" i="7"/>
  <c r="M22" i="7"/>
  <c r="N22" i="12" s="1"/>
  <c r="K23" i="7"/>
  <c r="L23" i="12" s="1"/>
  <c r="L8" i="7"/>
  <c r="M8" i="12" s="1"/>
  <c r="M12" i="7"/>
  <c r="N12" i="12" s="1"/>
  <c r="N7" i="7"/>
  <c r="C11" i="7"/>
  <c r="P22" i="7"/>
  <c r="M8" i="7"/>
  <c r="N8" i="12" s="1"/>
  <c r="B23" i="7"/>
  <c r="B19" i="7"/>
  <c r="N5" i="7"/>
  <c r="C8" i="7"/>
  <c r="K22" i="7"/>
  <c r="L22" i="12" s="1"/>
  <c r="E15" i="7"/>
  <c r="F15" i="7"/>
  <c r="L7" i="7"/>
  <c r="M7" i="12" s="1"/>
  <c r="M7" i="7"/>
  <c r="N7" i="12" s="1"/>
  <c r="G7" i="7"/>
  <c r="N8" i="7"/>
  <c r="D9" i="7"/>
  <c r="C10" i="7"/>
  <c r="L16" i="7"/>
  <c r="M16" i="12" s="1"/>
  <c r="B10" i="7"/>
  <c r="D15" i="7"/>
  <c r="E10" i="7"/>
  <c r="L5" i="7"/>
  <c r="M5" i="12" s="1"/>
  <c r="C19" i="7"/>
  <c r="P15" i="7"/>
  <c r="G9" i="7"/>
  <c r="M16" i="7"/>
  <c r="N16" i="12" s="1"/>
  <c r="N23" i="7"/>
  <c r="O13" i="7"/>
  <c r="N21" i="7"/>
  <c r="O23" i="7"/>
  <c r="C17" i="7"/>
  <c r="R9" i="12" l="1"/>
  <c r="H6" i="12"/>
  <c r="H21" i="12"/>
  <c r="H3" i="12"/>
  <c r="P15" i="8"/>
  <c r="P15" i="12"/>
  <c r="C7" i="8"/>
  <c r="C7" i="12"/>
  <c r="G15" i="8"/>
  <c r="G15" i="12"/>
  <c r="O11" i="12"/>
  <c r="R11" i="12" s="1"/>
  <c r="O11" i="8"/>
  <c r="R11" i="8" s="1"/>
  <c r="D7" i="8"/>
  <c r="D7" i="12"/>
  <c r="Q9" i="8"/>
  <c r="Q9" i="12"/>
  <c r="N13" i="8"/>
  <c r="N9" i="8"/>
  <c r="L5" i="8"/>
  <c r="F3" i="8"/>
  <c r="H3" i="8" s="1"/>
  <c r="F3" i="12"/>
  <c r="Q17" i="12"/>
  <c r="R17" i="12" s="1"/>
  <c r="Q17" i="8"/>
  <c r="E9" i="8"/>
  <c r="E9" i="12"/>
  <c r="N14" i="8"/>
  <c r="P8" i="8"/>
  <c r="P8" i="12"/>
  <c r="M23" i="8"/>
  <c r="L13" i="8"/>
  <c r="Q7" i="12"/>
  <c r="F9" i="8"/>
  <c r="F9" i="12"/>
  <c r="E5" i="8"/>
  <c r="H5" i="8" s="1"/>
  <c r="E5" i="12"/>
  <c r="H5" i="12" s="1"/>
  <c r="F22" i="8"/>
  <c r="H22" i="8" s="1"/>
  <c r="F22" i="12"/>
  <c r="H22" i="12" s="1"/>
  <c r="Q22" i="8"/>
  <c r="Q22" i="12"/>
  <c r="F23" i="8"/>
  <c r="F23" i="12"/>
  <c r="N7" i="8"/>
  <c r="N21" i="8"/>
  <c r="G10" i="8"/>
  <c r="G10" i="12"/>
  <c r="E15" i="8"/>
  <c r="E15" i="12"/>
  <c r="C11" i="8"/>
  <c r="C11" i="12"/>
  <c r="E7" i="8"/>
  <c r="E7" i="12"/>
  <c r="Q14" i="8"/>
  <c r="Q14" i="12"/>
  <c r="B16" i="8"/>
  <c r="B16" i="12"/>
  <c r="O14" i="8"/>
  <c r="O14" i="12"/>
  <c r="R14" i="12" s="1"/>
  <c r="D19" i="8"/>
  <c r="D19" i="12"/>
  <c r="G9" i="8"/>
  <c r="G9" i="12"/>
  <c r="C10" i="8"/>
  <c r="C10" i="12"/>
  <c r="O7" i="12"/>
  <c r="R7" i="12" s="1"/>
  <c r="O7" i="8"/>
  <c r="P20" i="12"/>
  <c r="P20" i="8"/>
  <c r="F10" i="8"/>
  <c r="F10" i="12"/>
  <c r="B15" i="8"/>
  <c r="B15" i="12"/>
  <c r="G16" i="8"/>
  <c r="G16" i="12"/>
  <c r="O13" i="12"/>
  <c r="O13" i="8"/>
  <c r="E11" i="8"/>
  <c r="E11" i="12"/>
  <c r="P16" i="12"/>
  <c r="P16" i="8"/>
  <c r="E23" i="8"/>
  <c r="E23" i="12"/>
  <c r="M16" i="8"/>
  <c r="N23" i="8"/>
  <c r="R23" i="8" s="1"/>
  <c r="L22" i="8"/>
  <c r="R22" i="8" s="1"/>
  <c r="O23" i="8"/>
  <c r="O23" i="12"/>
  <c r="B10" i="8"/>
  <c r="B10" i="12"/>
  <c r="F15" i="8"/>
  <c r="F15" i="12"/>
  <c r="F7" i="8"/>
  <c r="F7" i="12"/>
  <c r="P6" i="12"/>
  <c r="P6" i="8"/>
  <c r="C16" i="8"/>
  <c r="C16" i="12"/>
  <c r="Q12" i="12"/>
  <c r="Q12" i="8"/>
  <c r="F11" i="8"/>
  <c r="F11" i="12"/>
  <c r="Q23" i="8"/>
  <c r="Q23" i="12"/>
  <c r="Q15" i="12"/>
  <c r="Q15" i="8"/>
  <c r="D9" i="8"/>
  <c r="D9" i="12"/>
  <c r="C8" i="8"/>
  <c r="C8" i="12"/>
  <c r="O20" i="8"/>
  <c r="O20" i="12"/>
  <c r="P5" i="12"/>
  <c r="P5" i="8"/>
  <c r="F19" i="8"/>
  <c r="F19" i="12"/>
  <c r="D23" i="8"/>
  <c r="D23" i="12"/>
  <c r="F8" i="8"/>
  <c r="F8" i="12"/>
  <c r="F18" i="8"/>
  <c r="F18" i="12"/>
  <c r="B11" i="8"/>
  <c r="B11" i="12"/>
  <c r="N6" i="8"/>
  <c r="M15" i="8"/>
  <c r="C17" i="8"/>
  <c r="C17" i="12"/>
  <c r="C19" i="8"/>
  <c r="C19" i="12"/>
  <c r="O8" i="12"/>
  <c r="R8" i="12" s="1"/>
  <c r="O8" i="8"/>
  <c r="O5" i="12"/>
  <c r="R5" i="12" s="1"/>
  <c r="O5" i="8"/>
  <c r="D11" i="8"/>
  <c r="D11" i="12"/>
  <c r="P21" i="8"/>
  <c r="P21" i="12"/>
  <c r="B18" i="8"/>
  <c r="B18" i="12"/>
  <c r="M8" i="8"/>
  <c r="R8" i="8" s="1"/>
  <c r="L14" i="8"/>
  <c r="H9" i="12"/>
  <c r="H4" i="12"/>
  <c r="B8" i="8"/>
  <c r="B8" i="12"/>
  <c r="E17" i="8"/>
  <c r="E17" i="12"/>
  <c r="P22" i="12"/>
  <c r="R22" i="12" s="1"/>
  <c r="P22" i="8"/>
  <c r="F16" i="8"/>
  <c r="F16" i="12"/>
  <c r="E19" i="8"/>
  <c r="E19" i="12"/>
  <c r="C18" i="8"/>
  <c r="C18" i="12"/>
  <c r="M13" i="8"/>
  <c r="R13" i="8" s="1"/>
  <c r="N8" i="8"/>
  <c r="N5" i="8"/>
  <c r="L23" i="8"/>
  <c r="P23" i="8"/>
  <c r="P23" i="12"/>
  <c r="G7" i="8"/>
  <c r="G7" i="12"/>
  <c r="B19" i="8"/>
  <c r="B19" i="12"/>
  <c r="G8" i="8"/>
  <c r="G8" i="12"/>
  <c r="G18" i="8"/>
  <c r="G18" i="12"/>
  <c r="E10" i="8"/>
  <c r="E10" i="12"/>
  <c r="B23" i="8"/>
  <c r="B23" i="12"/>
  <c r="P4" i="12"/>
  <c r="P4" i="8"/>
  <c r="P12" i="12"/>
  <c r="P12" i="8"/>
  <c r="C23" i="8"/>
  <c r="C23" i="12"/>
  <c r="O6" i="12"/>
  <c r="R6" i="12" s="1"/>
  <c r="O6" i="8"/>
  <c r="O16" i="12"/>
  <c r="R16" i="12" s="1"/>
  <c r="O16" i="8"/>
  <c r="N16" i="8"/>
  <c r="L6" i="8"/>
  <c r="Q4" i="12"/>
  <c r="Q4" i="8"/>
  <c r="O21" i="12"/>
  <c r="R21" i="12" s="1"/>
  <c r="O21" i="8"/>
  <c r="P13" i="12"/>
  <c r="P13" i="8"/>
  <c r="D15" i="8"/>
  <c r="D15" i="12"/>
  <c r="Q20" i="8"/>
  <c r="R20" i="8" s="1"/>
  <c r="Q20" i="12"/>
  <c r="O4" i="12"/>
  <c r="O4" i="8"/>
  <c r="F17" i="8"/>
  <c r="F17" i="12"/>
  <c r="Q6" i="12"/>
  <c r="Q6" i="8"/>
  <c r="O12" i="12"/>
  <c r="R12" i="12" s="1"/>
  <c r="O12" i="8"/>
  <c r="P14" i="8"/>
  <c r="R14" i="8" s="1"/>
  <c r="P14" i="12"/>
  <c r="E16" i="8"/>
  <c r="E16" i="12"/>
  <c r="M5" i="8"/>
  <c r="M7" i="8"/>
  <c r="R7" i="8" s="1"/>
  <c r="N22" i="8"/>
  <c r="N12" i="8"/>
  <c r="R12" i="8" s="1"/>
  <c r="L21" i="8"/>
  <c r="R21" i="8" s="1"/>
  <c r="L15" i="8"/>
  <c r="R15" i="8" s="1"/>
  <c r="L16" i="8"/>
  <c r="R19" i="8"/>
  <c r="R17" i="8"/>
  <c r="R3" i="8"/>
  <c r="R18" i="8"/>
  <c r="R10" i="8"/>
  <c r="R9" i="8"/>
  <c r="R4" i="8" l="1"/>
  <c r="H23" i="12"/>
  <c r="H19" i="12"/>
  <c r="H7" i="12"/>
  <c r="H9" i="8"/>
  <c r="R13" i="12"/>
  <c r="R5" i="8"/>
  <c r="R15" i="12"/>
  <c r="H10" i="12"/>
  <c r="R6" i="8"/>
  <c r="H17" i="12"/>
  <c r="R20" i="12"/>
  <c r="R16" i="8"/>
  <c r="R23" i="12"/>
  <c r="H11" i="12"/>
  <c r="H8" i="12"/>
  <c r="H11" i="8"/>
  <c r="H7" i="8"/>
  <c r="H18" i="8"/>
  <c r="H8" i="8"/>
  <c r="H15" i="12"/>
  <c r="H16" i="12"/>
  <c r="H17" i="8"/>
  <c r="H10" i="8"/>
  <c r="H15" i="8"/>
  <c r="H16" i="8"/>
  <c r="R4" i="12"/>
  <c r="H23" i="8"/>
  <c r="H19" i="8"/>
  <c r="H18" i="12"/>
</calcChain>
</file>

<file path=xl/sharedStrings.xml><?xml version="1.0" encoding="utf-8"?>
<sst xmlns="http://schemas.openxmlformats.org/spreadsheetml/2006/main" count="1734" uniqueCount="55">
  <si>
    <t>zone</t>
  </si>
  <si>
    <t>year</t>
  </si>
  <si>
    <t>industry</t>
  </si>
  <si>
    <t>employment</t>
  </si>
  <si>
    <t>a-b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</si>
  <si>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</si>
  <si>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</si>
  <si>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</si>
  <si>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</si>
  <si>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</si>
  <si>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</si>
  <si>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</si>
  <si>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</si>
  <si>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</si>
  <si>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</si>
  <si>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</si>
  <si>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</si>
  <si>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</si>
  <si>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</si>
  <si>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</si>
  <si>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</si>
  <si>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</si>
  <si>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</si>
  <si>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</si>
  <si>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</si>
  <si>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</si>
  <si>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</si>
  <si>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</si>
  <si>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</si>
  <si>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</si>
  <si>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</si>
  <si>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</si>
  <si>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</si>
  <si>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</si>
  <si>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</si>
  <si>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L_i0</t>
  </si>
  <si>
    <t>delta_M</t>
  </si>
  <si>
    <t>shock_i</t>
  </si>
  <si>
    <t>total_1999</t>
  </si>
  <si>
    <t>import</t>
  </si>
  <si>
    <t>total_2012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</si>
  <si>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</si>
  <si>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</si>
  <si>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</si>
  <si>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</si>
  <si>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</si>
  <si>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</si>
  <si>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</si>
  <si>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</si>
  <si>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</si>
  <si>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</si>
  <si>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 (1999-2011)</t>
  </si>
  <si>
    <t>IPW (2012-2019)</t>
  </si>
  <si>
    <t>IPW_OC (1999-2011)</t>
  </si>
  <si>
    <t>IPW_OC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</si>
</sst>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6" formatCode="0.0000"/>
    <numFmt numFmtId="173" formatCode="[$$-409]#,##0.00_ ;\-[$$-409]#,##0.00\ 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6" fontId="0" fillId="0" borderId="1" xfId="0" applyNumberFormat="1" applyBorder="1"/>
    <xf numFmtId="166" fontId="0" fillId="0" borderId="1" xfId="0" applyNumberFormat="1" applyBorder="1" applyAlignment="1">
      <alignment horizontal="left"/>
    </xf>
    <xf numFmtId="173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3DC5-55EB-BD44-BD70-EE4D80E34625}">
  <dimension ref="A1:D505"/>
  <sheetViews>
    <sheetView workbookViewId="0">
      <selection activeCell="F11" sqref="F11"/>
    </sheetView>
  </sheetViews>
  <sheetFormatPr baseColWidth="10" defaultRowHeight="16" x14ac:dyDescent="0.2"/>
  <cols>
    <col min="1" max="1" width="32.1640625" style="4" bestFit="1" customWidth="1"/>
    <col min="2" max="3" width="10.83203125" style="4"/>
    <col min="4" max="4" width="10.83203125" style="7"/>
  </cols>
  <sheetData>
    <row r="1" spans="1:4" x14ac:dyDescent="0.2">
      <c r="A1" s="6" t="s">
        <v>0</v>
      </c>
      <c r="B1" s="6" t="s">
        <v>1</v>
      </c>
      <c r="C1" s="6" t="s">
        <v>2</v>
      </c>
      <c r="D1" s="15" t="s">
        <v>3</v>
      </c>
    </row>
    <row r="2" spans="1:4" x14ac:dyDescent="0.2">
      <c r="A2" s="4" t="s">
        <v>5</v>
      </c>
      <c r="B2" s="4">
        <v>1999</v>
      </c>
      <c r="C2" s="4" t="s">
        <v>4</v>
      </c>
      <c r="D2" s="7">
        <v>57.9</v>
      </c>
    </row>
    <row r="3" spans="1:4" x14ac:dyDescent="0.2">
      <c r="A3" s="4" t="s">
        <v>6</v>
      </c>
      <c r="B3" s="4">
        <v>1999</v>
      </c>
      <c r="C3" s="4" t="s">
        <v>4</v>
      </c>
      <c r="D3" s="7">
        <v>2.7999999999999972</v>
      </c>
    </row>
    <row r="4" spans="1:4" x14ac:dyDescent="0.2">
      <c r="A4" s="4" t="s">
        <v>7</v>
      </c>
      <c r="B4" s="4">
        <v>1999</v>
      </c>
      <c r="C4" s="4" t="s">
        <v>4</v>
      </c>
      <c r="D4" s="7">
        <v>19.899999999999999</v>
      </c>
    </row>
    <row r="5" spans="1:4" x14ac:dyDescent="0.2">
      <c r="A5" s="4" t="s">
        <v>8</v>
      </c>
      <c r="B5" s="4">
        <v>1999</v>
      </c>
      <c r="C5" s="4" t="s">
        <v>4</v>
      </c>
      <c r="D5" s="7">
        <v>73.3</v>
      </c>
    </row>
    <row r="6" spans="1:4" x14ac:dyDescent="0.2">
      <c r="A6" s="4" t="s">
        <v>9</v>
      </c>
      <c r="B6" s="4">
        <v>1999</v>
      </c>
      <c r="C6" s="4" t="s">
        <v>4</v>
      </c>
      <c r="D6" s="7">
        <v>26.4</v>
      </c>
    </row>
    <row r="7" spans="1:4" x14ac:dyDescent="0.2">
      <c r="A7" s="4" t="s">
        <v>10</v>
      </c>
      <c r="B7" s="4">
        <v>1999</v>
      </c>
      <c r="C7" s="4" t="s">
        <v>4</v>
      </c>
      <c r="D7" s="7">
        <v>12.6</v>
      </c>
    </row>
    <row r="8" spans="1:4" x14ac:dyDescent="0.2">
      <c r="A8" s="4" t="s">
        <v>11</v>
      </c>
      <c r="B8" s="4">
        <v>1999</v>
      </c>
      <c r="C8" s="4" t="s">
        <v>4</v>
      </c>
      <c r="D8" s="7">
        <v>114.8</v>
      </c>
    </row>
    <row r="9" spans="1:4" x14ac:dyDescent="0.2">
      <c r="A9" s="4" t="s">
        <v>12</v>
      </c>
      <c r="B9" s="4">
        <v>1999</v>
      </c>
      <c r="C9" s="4" t="s">
        <v>4</v>
      </c>
      <c r="D9" s="7">
        <v>133.30000000000001</v>
      </c>
    </row>
    <row r="10" spans="1:4" x14ac:dyDescent="0.2">
      <c r="A10" s="4" t="s">
        <v>13</v>
      </c>
      <c r="B10" s="4">
        <v>1999</v>
      </c>
      <c r="C10" s="4" t="s">
        <v>4</v>
      </c>
      <c r="D10" s="7">
        <v>21.5</v>
      </c>
    </row>
    <row r="11" spans="1:4" x14ac:dyDescent="0.2">
      <c r="A11" s="4" t="s">
        <v>14</v>
      </c>
      <c r="B11" s="4">
        <v>1999</v>
      </c>
      <c r="C11" s="4" t="s">
        <v>4</v>
      </c>
      <c r="D11" s="7">
        <v>63.5</v>
      </c>
    </row>
    <row r="12" spans="1:4" x14ac:dyDescent="0.2">
      <c r="A12" s="4" t="s">
        <v>15</v>
      </c>
      <c r="B12" s="4">
        <v>1999</v>
      </c>
      <c r="C12" s="4" t="s">
        <v>4</v>
      </c>
      <c r="D12" s="7">
        <v>118.2</v>
      </c>
    </row>
    <row r="13" spans="1:4" x14ac:dyDescent="0.2">
      <c r="A13" s="4" t="s">
        <v>16</v>
      </c>
      <c r="B13" s="4">
        <v>1999</v>
      </c>
      <c r="C13" s="4" t="s">
        <v>4</v>
      </c>
      <c r="D13" s="7">
        <v>39.5</v>
      </c>
    </row>
    <row r="14" spans="1:4" x14ac:dyDescent="0.2">
      <c r="A14" s="4" t="s">
        <v>17</v>
      </c>
      <c r="B14" s="4">
        <v>1999</v>
      </c>
      <c r="C14" s="4" t="s">
        <v>4</v>
      </c>
      <c r="D14" s="7">
        <v>21.8</v>
      </c>
    </row>
    <row r="15" spans="1:4" x14ac:dyDescent="0.2">
      <c r="A15" s="4" t="s">
        <v>18</v>
      </c>
      <c r="B15" s="4">
        <v>1999</v>
      </c>
      <c r="C15" s="4" t="s">
        <v>4</v>
      </c>
      <c r="D15" s="7">
        <v>9.9</v>
      </c>
    </row>
    <row r="16" spans="1:4" x14ac:dyDescent="0.2">
      <c r="A16" s="4" t="s">
        <v>19</v>
      </c>
      <c r="B16" s="4">
        <v>1999</v>
      </c>
      <c r="C16" s="4" t="s">
        <v>4</v>
      </c>
      <c r="D16" s="7">
        <v>80.599999999999994</v>
      </c>
    </row>
    <row r="17" spans="1:4" x14ac:dyDescent="0.2">
      <c r="A17" s="4" t="s">
        <v>20</v>
      </c>
      <c r="B17" s="4">
        <v>1999</v>
      </c>
      <c r="C17" s="4" t="s">
        <v>4</v>
      </c>
      <c r="D17" s="7">
        <v>21.6</v>
      </c>
    </row>
    <row r="18" spans="1:4" x14ac:dyDescent="0.2">
      <c r="A18" s="4" t="s">
        <v>21</v>
      </c>
      <c r="B18" s="4">
        <v>1999</v>
      </c>
      <c r="C18" s="4" t="s">
        <v>4</v>
      </c>
      <c r="D18" s="7">
        <v>105.4</v>
      </c>
    </row>
    <row r="19" spans="1:4" x14ac:dyDescent="0.2">
      <c r="A19" s="4" t="s">
        <v>22</v>
      </c>
      <c r="B19" s="4">
        <v>1999</v>
      </c>
      <c r="C19" s="4" t="s">
        <v>4</v>
      </c>
      <c r="D19" s="7">
        <v>42.8</v>
      </c>
    </row>
    <row r="20" spans="1:4" x14ac:dyDescent="0.2">
      <c r="A20" s="4" t="s">
        <v>23</v>
      </c>
      <c r="B20" s="4">
        <v>1999</v>
      </c>
      <c r="C20" s="4" t="s">
        <v>4</v>
      </c>
      <c r="D20" s="7">
        <v>13.9</v>
      </c>
    </row>
    <row r="21" spans="1:4" x14ac:dyDescent="0.2">
      <c r="A21" s="4" t="s">
        <v>24</v>
      </c>
      <c r="B21" s="4">
        <v>1999</v>
      </c>
      <c r="C21" s="4" t="s">
        <v>4</v>
      </c>
      <c r="D21" s="7">
        <v>21.800000000000004</v>
      </c>
    </row>
    <row r="22" spans="1:4" x14ac:dyDescent="0.2">
      <c r="A22" s="4" t="s">
        <v>25</v>
      </c>
      <c r="B22" s="4">
        <v>1999</v>
      </c>
      <c r="C22" s="4" t="s">
        <v>4</v>
      </c>
      <c r="D22" s="7">
        <v>52.4</v>
      </c>
    </row>
    <row r="23" spans="1:4" x14ac:dyDescent="0.2">
      <c r="A23" s="4" t="s">
        <v>5</v>
      </c>
      <c r="B23" s="4">
        <v>2011</v>
      </c>
      <c r="C23" s="4" t="s">
        <v>4</v>
      </c>
      <c r="D23" s="7">
        <v>52.3</v>
      </c>
    </row>
    <row r="24" spans="1:4" x14ac:dyDescent="0.2">
      <c r="A24" s="4" t="s">
        <v>6</v>
      </c>
      <c r="B24" s="4">
        <v>2011</v>
      </c>
      <c r="C24" s="4" t="s">
        <v>4</v>
      </c>
      <c r="D24" s="7">
        <v>2</v>
      </c>
    </row>
    <row r="25" spans="1:4" x14ac:dyDescent="0.2">
      <c r="A25" s="4" t="s">
        <v>7</v>
      </c>
      <c r="B25" s="4">
        <v>2011</v>
      </c>
      <c r="C25" s="4" t="s">
        <v>4</v>
      </c>
      <c r="D25" s="7">
        <v>11.8</v>
      </c>
    </row>
    <row r="26" spans="1:4" x14ac:dyDescent="0.2">
      <c r="A26" s="4" t="s">
        <v>8</v>
      </c>
      <c r="B26" s="4">
        <v>2011</v>
      </c>
      <c r="C26" s="4" t="s">
        <v>4</v>
      </c>
      <c r="D26" s="7">
        <v>50.1</v>
      </c>
    </row>
    <row r="27" spans="1:4" x14ac:dyDescent="0.2">
      <c r="A27" s="4" t="s">
        <v>9</v>
      </c>
      <c r="B27" s="4">
        <v>2011</v>
      </c>
      <c r="C27" s="4" t="s">
        <v>4</v>
      </c>
      <c r="D27" s="7">
        <v>16.899999999999999</v>
      </c>
    </row>
    <row r="28" spans="1:4" x14ac:dyDescent="0.2">
      <c r="A28" s="4" t="s">
        <v>10</v>
      </c>
      <c r="B28" s="4">
        <v>2011</v>
      </c>
      <c r="C28" s="4" t="s">
        <v>4</v>
      </c>
      <c r="D28" s="7">
        <v>7.4</v>
      </c>
    </row>
    <row r="29" spans="1:4" x14ac:dyDescent="0.2">
      <c r="A29" s="4" t="s">
        <v>11</v>
      </c>
      <c r="B29" s="4">
        <v>2011</v>
      </c>
      <c r="C29" s="4" t="s">
        <v>4</v>
      </c>
      <c r="D29" s="7">
        <v>58.9</v>
      </c>
    </row>
    <row r="30" spans="1:4" x14ac:dyDescent="0.2">
      <c r="A30" s="4" t="s">
        <v>12</v>
      </c>
      <c r="B30" s="4">
        <v>2011</v>
      </c>
      <c r="C30" s="4" t="s">
        <v>4</v>
      </c>
      <c r="D30" s="7">
        <v>104.2</v>
      </c>
    </row>
    <row r="31" spans="1:4" x14ac:dyDescent="0.2">
      <c r="A31" s="4" t="s">
        <v>13</v>
      </c>
      <c r="B31" s="4">
        <v>2011</v>
      </c>
      <c r="C31" s="4" t="s">
        <v>4</v>
      </c>
      <c r="D31" s="7">
        <v>15</v>
      </c>
    </row>
    <row r="32" spans="1:4" x14ac:dyDescent="0.2">
      <c r="A32" s="4" t="s">
        <v>14</v>
      </c>
      <c r="B32" s="4">
        <v>2011</v>
      </c>
      <c r="C32" s="4" t="s">
        <v>4</v>
      </c>
      <c r="D32" s="7">
        <v>60.3</v>
      </c>
    </row>
    <row r="33" spans="1:4" x14ac:dyDescent="0.2">
      <c r="A33" s="4" t="s">
        <v>15</v>
      </c>
      <c r="B33" s="4">
        <v>2011</v>
      </c>
      <c r="C33" s="4" t="s">
        <v>4</v>
      </c>
      <c r="D33" s="7">
        <v>112.2</v>
      </c>
    </row>
    <row r="34" spans="1:4" x14ac:dyDescent="0.2">
      <c r="A34" s="4" t="s">
        <v>16</v>
      </c>
      <c r="B34" s="4">
        <v>2011</v>
      </c>
      <c r="C34" s="4" t="s">
        <v>4</v>
      </c>
      <c r="D34" s="7">
        <v>30</v>
      </c>
    </row>
    <row r="35" spans="1:4" x14ac:dyDescent="0.2">
      <c r="A35" s="4" t="s">
        <v>17</v>
      </c>
      <c r="B35" s="4">
        <v>2011</v>
      </c>
      <c r="C35" s="4" t="s">
        <v>4</v>
      </c>
      <c r="D35" s="7">
        <v>13.3</v>
      </c>
    </row>
    <row r="36" spans="1:4" x14ac:dyDescent="0.2">
      <c r="A36" s="4" t="s">
        <v>18</v>
      </c>
      <c r="B36" s="4">
        <v>2011</v>
      </c>
      <c r="C36" s="4" t="s">
        <v>4</v>
      </c>
      <c r="D36" s="7">
        <v>8.4</v>
      </c>
    </row>
    <row r="37" spans="1:4" x14ac:dyDescent="0.2">
      <c r="A37" s="4" t="s">
        <v>19</v>
      </c>
      <c r="B37" s="4">
        <v>2011</v>
      </c>
      <c r="C37" s="4" t="s">
        <v>4</v>
      </c>
      <c r="D37" s="7">
        <v>63.3</v>
      </c>
    </row>
    <row r="38" spans="1:4" x14ac:dyDescent="0.2">
      <c r="A38" s="4" t="s">
        <v>20</v>
      </c>
      <c r="B38" s="4">
        <v>2011</v>
      </c>
      <c r="C38" s="4" t="s">
        <v>4</v>
      </c>
      <c r="D38" s="7">
        <v>9.6</v>
      </c>
    </row>
    <row r="39" spans="1:4" x14ac:dyDescent="0.2">
      <c r="A39" s="4" t="s">
        <v>21</v>
      </c>
      <c r="B39" s="4">
        <v>2011</v>
      </c>
      <c r="C39" s="4" t="s">
        <v>4</v>
      </c>
      <c r="D39" s="7">
        <v>63.9</v>
      </c>
    </row>
    <row r="40" spans="1:4" x14ac:dyDescent="0.2">
      <c r="A40" s="4" t="s">
        <v>22</v>
      </c>
      <c r="B40" s="4">
        <v>2011</v>
      </c>
      <c r="C40" s="4" t="s">
        <v>4</v>
      </c>
      <c r="D40" s="7">
        <v>44.9</v>
      </c>
    </row>
    <row r="41" spans="1:4" x14ac:dyDescent="0.2">
      <c r="A41" s="4" t="s">
        <v>23</v>
      </c>
      <c r="B41" s="4">
        <v>2011</v>
      </c>
      <c r="C41" s="4" t="s">
        <v>4</v>
      </c>
      <c r="D41" s="7">
        <v>10.9</v>
      </c>
    </row>
    <row r="42" spans="1:4" x14ac:dyDescent="0.2">
      <c r="A42" s="4" t="s">
        <v>24</v>
      </c>
      <c r="B42" s="4">
        <v>2011</v>
      </c>
      <c r="C42" s="4" t="s">
        <v>4</v>
      </c>
      <c r="D42" s="7">
        <v>13.9</v>
      </c>
    </row>
    <row r="43" spans="1:4" x14ac:dyDescent="0.2">
      <c r="A43" s="4" t="s">
        <v>25</v>
      </c>
      <c r="B43" s="4">
        <v>2011</v>
      </c>
      <c r="C43" s="4" t="s">
        <v>4</v>
      </c>
      <c r="D43" s="7">
        <v>31.9</v>
      </c>
    </row>
    <row r="44" spans="1:4" x14ac:dyDescent="0.2">
      <c r="A44" s="4" t="s">
        <v>5</v>
      </c>
      <c r="B44" s="4">
        <v>2012</v>
      </c>
      <c r="C44" s="4" t="s">
        <v>4</v>
      </c>
      <c r="D44" s="7">
        <v>49.1</v>
      </c>
    </row>
    <row r="45" spans="1:4" x14ac:dyDescent="0.2">
      <c r="A45" s="4" t="s">
        <v>6</v>
      </c>
      <c r="B45" s="4">
        <v>2012</v>
      </c>
      <c r="C45" s="4" t="s">
        <v>4</v>
      </c>
      <c r="D45" s="7">
        <v>2.1</v>
      </c>
    </row>
    <row r="46" spans="1:4" x14ac:dyDescent="0.2">
      <c r="A46" s="4" t="s">
        <v>7</v>
      </c>
      <c r="B46" s="4">
        <v>2012</v>
      </c>
      <c r="C46" s="4" t="s">
        <v>4</v>
      </c>
      <c r="D46" s="7">
        <v>12.6</v>
      </c>
    </row>
    <row r="47" spans="1:4" x14ac:dyDescent="0.2">
      <c r="A47" s="4" t="s">
        <v>8</v>
      </c>
      <c r="B47" s="4">
        <v>2012</v>
      </c>
      <c r="C47" s="4" t="s">
        <v>4</v>
      </c>
      <c r="D47" s="7">
        <v>51.4</v>
      </c>
    </row>
    <row r="48" spans="1:4" x14ac:dyDescent="0.2">
      <c r="A48" s="4" t="s">
        <v>9</v>
      </c>
      <c r="B48" s="4">
        <v>2012</v>
      </c>
      <c r="C48" s="4" t="s">
        <v>4</v>
      </c>
      <c r="D48" s="7">
        <v>11.9</v>
      </c>
    </row>
    <row r="49" spans="1:4" x14ac:dyDescent="0.2">
      <c r="A49" s="4" t="s">
        <v>10</v>
      </c>
      <c r="B49" s="4">
        <v>2012</v>
      </c>
      <c r="C49" s="4" t="s">
        <v>4</v>
      </c>
      <c r="D49" s="7">
        <v>6.7</v>
      </c>
    </row>
    <row r="50" spans="1:4" x14ac:dyDescent="0.2">
      <c r="A50" s="4" t="s">
        <v>11</v>
      </c>
      <c r="B50" s="4">
        <v>2012</v>
      </c>
      <c r="C50" s="4" t="s">
        <v>4</v>
      </c>
      <c r="D50" s="7">
        <v>61.2</v>
      </c>
    </row>
    <row r="51" spans="1:4" x14ac:dyDescent="0.2">
      <c r="A51" s="4" t="s">
        <v>12</v>
      </c>
      <c r="B51" s="4">
        <v>2012</v>
      </c>
      <c r="C51" s="4" t="s">
        <v>4</v>
      </c>
      <c r="D51" s="7">
        <v>106</v>
      </c>
    </row>
    <row r="52" spans="1:4" x14ac:dyDescent="0.2">
      <c r="A52" s="4" t="s">
        <v>13</v>
      </c>
      <c r="B52" s="4">
        <v>2012</v>
      </c>
      <c r="C52" s="4" t="s">
        <v>4</v>
      </c>
      <c r="D52" s="7">
        <v>13.8</v>
      </c>
    </row>
    <row r="53" spans="1:4" x14ac:dyDescent="0.2">
      <c r="A53" s="4" t="s">
        <v>14</v>
      </c>
      <c r="B53" s="4">
        <v>2012</v>
      </c>
      <c r="C53" s="4" t="s">
        <v>4</v>
      </c>
      <c r="D53" s="7">
        <v>56.6</v>
      </c>
    </row>
    <row r="54" spans="1:4" x14ac:dyDescent="0.2">
      <c r="A54" s="4" t="s">
        <v>15</v>
      </c>
      <c r="B54" s="4">
        <v>2012</v>
      </c>
      <c r="C54" s="4" t="s">
        <v>4</v>
      </c>
      <c r="D54" s="7">
        <v>113</v>
      </c>
    </row>
    <row r="55" spans="1:4" x14ac:dyDescent="0.2">
      <c r="A55" s="4" t="s">
        <v>16</v>
      </c>
      <c r="B55" s="4">
        <v>2012</v>
      </c>
      <c r="C55" s="4" t="s">
        <v>4</v>
      </c>
      <c r="D55" s="7">
        <v>32.1</v>
      </c>
    </row>
    <row r="56" spans="1:4" x14ac:dyDescent="0.2">
      <c r="A56" s="4" t="s">
        <v>17</v>
      </c>
      <c r="B56" s="4">
        <v>2012</v>
      </c>
      <c r="C56" s="4" t="s">
        <v>4</v>
      </c>
      <c r="D56" s="7">
        <v>14.2</v>
      </c>
    </row>
    <row r="57" spans="1:4" x14ac:dyDescent="0.2">
      <c r="A57" s="4" t="s">
        <v>18</v>
      </c>
      <c r="B57" s="4">
        <v>2012</v>
      </c>
      <c r="C57" s="4" t="s">
        <v>4</v>
      </c>
      <c r="D57" s="7">
        <v>8.1</v>
      </c>
    </row>
    <row r="58" spans="1:4" x14ac:dyDescent="0.2">
      <c r="A58" s="4" t="s">
        <v>19</v>
      </c>
      <c r="B58" s="4">
        <v>2012</v>
      </c>
      <c r="C58" s="4" t="s">
        <v>4</v>
      </c>
      <c r="D58" s="7">
        <v>70.599999999999994</v>
      </c>
    </row>
    <row r="59" spans="1:4" x14ac:dyDescent="0.2">
      <c r="A59" s="4" t="s">
        <v>20</v>
      </c>
      <c r="B59" s="4">
        <v>2012</v>
      </c>
      <c r="C59" s="4" t="s">
        <v>4</v>
      </c>
      <c r="D59" s="7">
        <v>9.5</v>
      </c>
    </row>
    <row r="60" spans="1:4" x14ac:dyDescent="0.2">
      <c r="A60" s="4" t="s">
        <v>21</v>
      </c>
      <c r="B60" s="4">
        <v>2012</v>
      </c>
      <c r="C60" s="4" t="s">
        <v>4</v>
      </c>
      <c r="D60" s="7">
        <v>62.1</v>
      </c>
    </row>
    <row r="61" spans="1:4" x14ac:dyDescent="0.2">
      <c r="A61" s="4" t="s">
        <v>22</v>
      </c>
      <c r="B61" s="4">
        <v>2012</v>
      </c>
      <c r="C61" s="4" t="s">
        <v>4</v>
      </c>
      <c r="D61" s="7">
        <v>40.9</v>
      </c>
    </row>
    <row r="62" spans="1:4" x14ac:dyDescent="0.2">
      <c r="A62" s="4" t="s">
        <v>23</v>
      </c>
      <c r="B62" s="4">
        <v>2012</v>
      </c>
      <c r="C62" s="4" t="s">
        <v>4</v>
      </c>
      <c r="D62" s="7">
        <v>9.5</v>
      </c>
    </row>
    <row r="63" spans="1:4" x14ac:dyDescent="0.2">
      <c r="A63" s="4" t="s">
        <v>24</v>
      </c>
      <c r="B63" s="4">
        <v>2012</v>
      </c>
      <c r="C63" s="4" t="s">
        <v>4</v>
      </c>
      <c r="D63" s="7">
        <v>12.9</v>
      </c>
    </row>
    <row r="64" spans="1:4" x14ac:dyDescent="0.2">
      <c r="A64" s="4" t="s">
        <v>25</v>
      </c>
      <c r="B64" s="4">
        <v>2012</v>
      </c>
      <c r="C64" s="4" t="s">
        <v>4</v>
      </c>
      <c r="D64" s="7">
        <v>34.4</v>
      </c>
    </row>
    <row r="65" spans="1:4" x14ac:dyDescent="0.2">
      <c r="A65" s="4" t="s">
        <v>5</v>
      </c>
      <c r="B65" s="4">
        <v>2019</v>
      </c>
      <c r="C65" s="4" t="s">
        <v>4</v>
      </c>
      <c r="D65" s="7">
        <v>55.5</v>
      </c>
    </row>
    <row r="66" spans="1:4" x14ac:dyDescent="0.2">
      <c r="A66" s="4" t="s">
        <v>6</v>
      </c>
      <c r="B66" s="4">
        <v>2019</v>
      </c>
      <c r="C66" s="4" t="s">
        <v>4</v>
      </c>
      <c r="D66" s="7">
        <v>1.7</v>
      </c>
    </row>
    <row r="67" spans="1:4" x14ac:dyDescent="0.2">
      <c r="A67" s="4" t="s">
        <v>7</v>
      </c>
      <c r="B67" s="4">
        <v>2019</v>
      </c>
      <c r="C67" s="4" t="s">
        <v>4</v>
      </c>
      <c r="D67" s="7">
        <v>10.7</v>
      </c>
    </row>
    <row r="68" spans="1:4" x14ac:dyDescent="0.2">
      <c r="A68" s="4" t="s">
        <v>8</v>
      </c>
      <c r="B68" s="4">
        <v>2019</v>
      </c>
      <c r="C68" s="4" t="s">
        <v>4</v>
      </c>
      <c r="D68" s="7">
        <v>54.4</v>
      </c>
    </row>
    <row r="69" spans="1:4" x14ac:dyDescent="0.2">
      <c r="A69" s="4" t="s">
        <v>9</v>
      </c>
      <c r="B69" s="4">
        <v>2019</v>
      </c>
      <c r="C69" s="4" t="s">
        <v>4</v>
      </c>
      <c r="D69" s="7">
        <v>19.5</v>
      </c>
    </row>
    <row r="70" spans="1:4" x14ac:dyDescent="0.2">
      <c r="A70" s="4" t="s">
        <v>10</v>
      </c>
      <c r="B70" s="4">
        <v>2019</v>
      </c>
      <c r="C70" s="4" t="s">
        <v>4</v>
      </c>
      <c r="D70" s="7">
        <v>6.3</v>
      </c>
    </row>
    <row r="71" spans="1:4" x14ac:dyDescent="0.2">
      <c r="A71" s="4" t="s">
        <v>11</v>
      </c>
      <c r="B71" s="4">
        <v>2019</v>
      </c>
      <c r="C71" s="4" t="s">
        <v>4</v>
      </c>
      <c r="D71" s="7">
        <v>67.099999999999994</v>
      </c>
    </row>
    <row r="72" spans="1:4" x14ac:dyDescent="0.2">
      <c r="A72" s="4" t="s">
        <v>12</v>
      </c>
      <c r="B72" s="4">
        <v>2019</v>
      </c>
      <c r="C72" s="4" t="s">
        <v>4</v>
      </c>
      <c r="D72" s="7">
        <v>101.5</v>
      </c>
    </row>
    <row r="73" spans="1:4" x14ac:dyDescent="0.2">
      <c r="A73" s="4" t="s">
        <v>13</v>
      </c>
      <c r="B73" s="4">
        <v>2019</v>
      </c>
      <c r="C73" s="4" t="s">
        <v>4</v>
      </c>
      <c r="D73" s="7">
        <v>16.5</v>
      </c>
    </row>
    <row r="74" spans="1:4" x14ac:dyDescent="0.2">
      <c r="A74" s="4" t="s">
        <v>14</v>
      </c>
      <c r="B74" s="4">
        <v>2019</v>
      </c>
      <c r="C74" s="4" t="s">
        <v>4</v>
      </c>
      <c r="D74" s="7">
        <v>65</v>
      </c>
    </row>
    <row r="75" spans="1:4" x14ac:dyDescent="0.2">
      <c r="A75" s="4" t="s">
        <v>15</v>
      </c>
      <c r="B75" s="4">
        <v>2019</v>
      </c>
      <c r="C75" s="4" t="s">
        <v>4</v>
      </c>
      <c r="D75" s="7">
        <v>116.7</v>
      </c>
    </row>
    <row r="76" spans="1:4" x14ac:dyDescent="0.2">
      <c r="A76" s="4" t="s">
        <v>16</v>
      </c>
      <c r="B76" s="4">
        <v>2019</v>
      </c>
      <c r="C76" s="4" t="s">
        <v>4</v>
      </c>
      <c r="D76" s="7">
        <v>30.7</v>
      </c>
    </row>
    <row r="77" spans="1:4" x14ac:dyDescent="0.2">
      <c r="A77" s="4" t="s">
        <v>17</v>
      </c>
      <c r="B77" s="4">
        <v>2019</v>
      </c>
      <c r="C77" s="4" t="s">
        <v>4</v>
      </c>
      <c r="D77" s="7">
        <v>15.7</v>
      </c>
    </row>
    <row r="78" spans="1:4" x14ac:dyDescent="0.2">
      <c r="A78" s="4" t="s">
        <v>18</v>
      </c>
      <c r="B78" s="4">
        <v>2019</v>
      </c>
      <c r="C78" s="4" t="s">
        <v>4</v>
      </c>
      <c r="D78" s="7">
        <v>9.5</v>
      </c>
    </row>
    <row r="79" spans="1:4" x14ac:dyDescent="0.2">
      <c r="A79" s="4" t="s">
        <v>19</v>
      </c>
      <c r="B79" s="4">
        <v>2019</v>
      </c>
      <c r="C79" s="4" t="s">
        <v>4</v>
      </c>
      <c r="D79" s="7">
        <v>56.7</v>
      </c>
    </row>
    <row r="80" spans="1:4" x14ac:dyDescent="0.2">
      <c r="A80" s="4" t="s">
        <v>20</v>
      </c>
      <c r="B80" s="4">
        <v>2019</v>
      </c>
      <c r="C80" s="4" t="s">
        <v>4</v>
      </c>
      <c r="D80" s="7">
        <v>16</v>
      </c>
    </row>
    <row r="81" spans="1:4" x14ac:dyDescent="0.2">
      <c r="A81" s="4" t="s">
        <v>21</v>
      </c>
      <c r="B81" s="4">
        <v>2019</v>
      </c>
      <c r="C81" s="4" t="s">
        <v>4</v>
      </c>
      <c r="D81" s="7">
        <v>66</v>
      </c>
    </row>
    <row r="82" spans="1:4" x14ac:dyDescent="0.2">
      <c r="A82" s="4" t="s">
        <v>22</v>
      </c>
      <c r="B82" s="4">
        <v>2019</v>
      </c>
      <c r="C82" s="4" t="s">
        <v>4</v>
      </c>
      <c r="D82" s="7">
        <v>43.9</v>
      </c>
    </row>
    <row r="83" spans="1:4" x14ac:dyDescent="0.2">
      <c r="A83" s="4" t="s">
        <v>23</v>
      </c>
      <c r="B83" s="4">
        <v>2019</v>
      </c>
      <c r="C83" s="4" t="s">
        <v>4</v>
      </c>
      <c r="D83" s="7">
        <v>14.6</v>
      </c>
    </row>
    <row r="84" spans="1:4" x14ac:dyDescent="0.2">
      <c r="A84" s="4" t="s">
        <v>24</v>
      </c>
      <c r="B84" s="4">
        <v>2019</v>
      </c>
      <c r="C84" s="4" t="s">
        <v>4</v>
      </c>
      <c r="D84" s="7">
        <v>15.1</v>
      </c>
    </row>
    <row r="85" spans="1:4" x14ac:dyDescent="0.2">
      <c r="A85" s="4" t="s">
        <v>25</v>
      </c>
      <c r="B85" s="4">
        <v>2019</v>
      </c>
      <c r="C85" s="4" t="s">
        <v>4</v>
      </c>
      <c r="D85" s="7">
        <v>48.9</v>
      </c>
    </row>
    <row r="86" spans="1:4" x14ac:dyDescent="0.2">
      <c r="A86" s="4" t="s">
        <v>5</v>
      </c>
      <c r="B86" s="4">
        <v>1999</v>
      </c>
      <c r="C86" s="4" t="s">
        <v>26</v>
      </c>
      <c r="D86" s="7">
        <v>575.20000000000005</v>
      </c>
    </row>
    <row r="87" spans="1:4" x14ac:dyDescent="0.2">
      <c r="A87" s="4" t="s">
        <v>6</v>
      </c>
      <c r="B87" s="4">
        <v>1999</v>
      </c>
      <c r="C87" s="4" t="s">
        <v>26</v>
      </c>
      <c r="D87" s="7">
        <v>6.4</v>
      </c>
    </row>
    <row r="88" spans="1:4" x14ac:dyDescent="0.2">
      <c r="A88" s="4" t="s">
        <v>7</v>
      </c>
      <c r="B88" s="4">
        <v>1999</v>
      </c>
      <c r="C88" s="4" t="s">
        <v>26</v>
      </c>
      <c r="D88" s="7">
        <v>92.5</v>
      </c>
    </row>
    <row r="89" spans="1:4" x14ac:dyDescent="0.2">
      <c r="A89" s="4" t="s">
        <v>8</v>
      </c>
      <c r="B89" s="4">
        <v>1999</v>
      </c>
      <c r="C89" s="4" t="s">
        <v>26</v>
      </c>
      <c r="D89" s="7">
        <v>1268.4000000000001</v>
      </c>
    </row>
    <row r="90" spans="1:4" x14ac:dyDescent="0.2">
      <c r="A90" s="4" t="s">
        <v>9</v>
      </c>
      <c r="B90" s="4">
        <v>1999</v>
      </c>
      <c r="C90" s="4" t="s">
        <v>26</v>
      </c>
      <c r="D90" s="7">
        <v>111.5</v>
      </c>
    </row>
    <row r="91" spans="1:4" x14ac:dyDescent="0.2">
      <c r="A91" s="4" t="s">
        <v>10</v>
      </c>
      <c r="B91" s="4">
        <v>1999</v>
      </c>
      <c r="C91" s="4" t="s">
        <v>26</v>
      </c>
      <c r="D91" s="7">
        <v>19.3</v>
      </c>
    </row>
    <row r="92" spans="1:4" x14ac:dyDescent="0.2">
      <c r="A92" s="4" t="s">
        <v>11</v>
      </c>
      <c r="B92" s="4">
        <v>1999</v>
      </c>
      <c r="C92" s="4" t="s">
        <v>26</v>
      </c>
      <c r="D92" s="7">
        <v>247.4</v>
      </c>
    </row>
    <row r="93" spans="1:4" x14ac:dyDescent="0.2">
      <c r="A93" s="4" t="s">
        <v>12</v>
      </c>
      <c r="B93" s="4">
        <v>1999</v>
      </c>
      <c r="C93" s="4" t="s">
        <v>26</v>
      </c>
      <c r="D93" s="7">
        <v>200.7</v>
      </c>
    </row>
    <row r="94" spans="1:4" x14ac:dyDescent="0.2">
      <c r="A94" s="4" t="s">
        <v>13</v>
      </c>
      <c r="B94" s="4">
        <v>1999</v>
      </c>
      <c r="C94" s="4" t="s">
        <v>26</v>
      </c>
      <c r="D94" s="7">
        <v>34.299999999999997</v>
      </c>
    </row>
    <row r="95" spans="1:4" x14ac:dyDescent="0.2">
      <c r="A95" s="4" t="s">
        <v>14</v>
      </c>
      <c r="B95" s="4">
        <v>1999</v>
      </c>
      <c r="C95" s="4" t="s">
        <v>26</v>
      </c>
      <c r="D95" s="7">
        <v>39.200000000000003</v>
      </c>
    </row>
    <row r="96" spans="1:4" x14ac:dyDescent="0.2">
      <c r="A96" s="4" t="s">
        <v>15</v>
      </c>
      <c r="B96" s="4">
        <v>1999</v>
      </c>
      <c r="C96" s="4" t="s">
        <v>26</v>
      </c>
      <c r="D96" s="7">
        <v>125.4</v>
      </c>
    </row>
    <row r="97" spans="1:4" x14ac:dyDescent="0.2">
      <c r="A97" s="4" t="s">
        <v>16</v>
      </c>
      <c r="B97" s="4">
        <v>1999</v>
      </c>
      <c r="C97" s="4" t="s">
        <v>26</v>
      </c>
      <c r="D97" s="7">
        <v>59.4</v>
      </c>
    </row>
    <row r="98" spans="1:4" x14ac:dyDescent="0.2">
      <c r="A98" s="4" t="s">
        <v>17</v>
      </c>
      <c r="B98" s="4">
        <v>1999</v>
      </c>
      <c r="C98" s="4" t="s">
        <v>26</v>
      </c>
      <c r="D98" s="7">
        <v>34.799999999999997</v>
      </c>
    </row>
    <row r="99" spans="1:4" x14ac:dyDescent="0.2">
      <c r="A99" s="4" t="s">
        <v>18</v>
      </c>
      <c r="B99" s="4">
        <v>1999</v>
      </c>
      <c r="C99" s="4" t="s">
        <v>26</v>
      </c>
      <c r="D99" s="7">
        <v>36.1</v>
      </c>
    </row>
    <row r="100" spans="1:4" x14ac:dyDescent="0.2">
      <c r="A100" s="4" t="s">
        <v>19</v>
      </c>
      <c r="B100" s="4">
        <v>1999</v>
      </c>
      <c r="C100" s="4" t="s">
        <v>26</v>
      </c>
      <c r="D100" s="7">
        <v>681.1</v>
      </c>
    </row>
    <row r="101" spans="1:4" x14ac:dyDescent="0.2">
      <c r="A101" s="4" t="s">
        <v>20</v>
      </c>
      <c r="B101" s="4">
        <v>1999</v>
      </c>
      <c r="C101" s="4" t="s">
        <v>26</v>
      </c>
      <c r="D101" s="7">
        <v>124.8</v>
      </c>
    </row>
    <row r="102" spans="1:4" x14ac:dyDescent="0.2">
      <c r="A102" s="4" t="s">
        <v>21</v>
      </c>
      <c r="B102" s="4">
        <v>1999</v>
      </c>
      <c r="C102" s="4" t="s">
        <v>26</v>
      </c>
      <c r="D102" s="7">
        <v>520.10000000000025</v>
      </c>
    </row>
    <row r="103" spans="1:4" x14ac:dyDescent="0.2">
      <c r="A103" s="4" t="s">
        <v>22</v>
      </c>
      <c r="B103" s="4">
        <v>1999</v>
      </c>
      <c r="C103" s="4" t="s">
        <v>26</v>
      </c>
      <c r="D103" s="7">
        <v>383.8</v>
      </c>
    </row>
    <row r="104" spans="1:4" x14ac:dyDescent="0.2">
      <c r="A104" s="4" t="s">
        <v>23</v>
      </c>
      <c r="B104" s="4">
        <v>1999</v>
      </c>
      <c r="C104" s="4" t="s">
        <v>26</v>
      </c>
      <c r="D104" s="7">
        <v>76.3</v>
      </c>
    </row>
    <row r="105" spans="1:4" x14ac:dyDescent="0.2">
      <c r="A105" s="4" t="s">
        <v>24</v>
      </c>
      <c r="B105" s="4">
        <v>1999</v>
      </c>
      <c r="C105" s="4" t="s">
        <v>26</v>
      </c>
      <c r="D105" s="7">
        <v>197.79999999999995</v>
      </c>
    </row>
    <row r="106" spans="1:4" x14ac:dyDescent="0.2">
      <c r="A106" s="4" t="s">
        <v>25</v>
      </c>
      <c r="B106" s="4">
        <v>1999</v>
      </c>
      <c r="C106" s="4" t="s">
        <v>26</v>
      </c>
      <c r="D106" s="7">
        <v>231.5</v>
      </c>
    </row>
    <row r="107" spans="1:4" x14ac:dyDescent="0.2">
      <c r="A107" s="4" t="s">
        <v>5</v>
      </c>
      <c r="B107" s="4">
        <v>2011</v>
      </c>
      <c r="C107" s="4" t="s">
        <v>26</v>
      </c>
      <c r="D107" s="7">
        <v>475</v>
      </c>
    </row>
    <row r="108" spans="1:4" x14ac:dyDescent="0.2">
      <c r="A108" s="4" t="s">
        <v>6</v>
      </c>
      <c r="B108" s="4">
        <v>2011</v>
      </c>
      <c r="C108" s="4" t="s">
        <v>26</v>
      </c>
      <c r="D108" s="7">
        <v>5.4</v>
      </c>
    </row>
    <row r="109" spans="1:4" x14ac:dyDescent="0.2">
      <c r="A109" s="4" t="s">
        <v>7</v>
      </c>
      <c r="B109" s="4">
        <v>2011</v>
      </c>
      <c r="C109" s="4" t="s">
        <v>26</v>
      </c>
      <c r="D109" s="7">
        <v>74.400000000000006</v>
      </c>
    </row>
    <row r="110" spans="1:4" x14ac:dyDescent="0.2">
      <c r="A110" s="4" t="s">
        <v>8</v>
      </c>
      <c r="B110" s="4">
        <v>2011</v>
      </c>
      <c r="C110" s="4" t="s">
        <v>26</v>
      </c>
      <c r="D110" s="7">
        <v>1097.3</v>
      </c>
    </row>
    <row r="111" spans="1:4" x14ac:dyDescent="0.2">
      <c r="A111" s="4" t="s">
        <v>9</v>
      </c>
      <c r="B111" s="4">
        <v>2011</v>
      </c>
      <c r="C111" s="4" t="s">
        <v>26</v>
      </c>
      <c r="D111" s="7">
        <v>108.5</v>
      </c>
    </row>
    <row r="112" spans="1:4" x14ac:dyDescent="0.2">
      <c r="A112" s="4" t="s">
        <v>10</v>
      </c>
      <c r="B112" s="4">
        <v>2011</v>
      </c>
      <c r="C112" s="4" t="s">
        <v>26</v>
      </c>
      <c r="D112" s="7">
        <v>20.100000000000001</v>
      </c>
    </row>
    <row r="113" spans="1:4" x14ac:dyDescent="0.2">
      <c r="A113" s="4" t="s">
        <v>11</v>
      </c>
      <c r="B113" s="4">
        <v>2011</v>
      </c>
      <c r="C113" s="4" t="s">
        <v>26</v>
      </c>
      <c r="D113" s="7">
        <v>207.8</v>
      </c>
    </row>
    <row r="114" spans="1:4" x14ac:dyDescent="0.2">
      <c r="A114" s="4" t="s">
        <v>12</v>
      </c>
      <c r="B114" s="4">
        <v>2011</v>
      </c>
      <c r="C114" s="4" t="s">
        <v>26</v>
      </c>
      <c r="D114" s="7">
        <v>187.8</v>
      </c>
    </row>
    <row r="115" spans="1:4" x14ac:dyDescent="0.2">
      <c r="A115" s="4" t="s">
        <v>13</v>
      </c>
      <c r="B115" s="4">
        <v>2011</v>
      </c>
      <c r="C115" s="4" t="s">
        <v>26</v>
      </c>
      <c r="D115" s="7">
        <v>31.2</v>
      </c>
    </row>
    <row r="116" spans="1:4" x14ac:dyDescent="0.2">
      <c r="A116" s="4" t="s">
        <v>14</v>
      </c>
      <c r="B116" s="4">
        <v>2011</v>
      </c>
      <c r="C116" s="4" t="s">
        <v>26</v>
      </c>
      <c r="D116" s="7">
        <v>44</v>
      </c>
    </row>
    <row r="117" spans="1:4" x14ac:dyDescent="0.2">
      <c r="A117" s="4" t="s">
        <v>15</v>
      </c>
      <c r="B117" s="4">
        <v>2011</v>
      </c>
      <c r="C117" s="4" t="s">
        <v>26</v>
      </c>
      <c r="D117" s="7">
        <v>132.19999999999999</v>
      </c>
    </row>
    <row r="118" spans="1:4" x14ac:dyDescent="0.2">
      <c r="A118" s="4" t="s">
        <v>16</v>
      </c>
      <c r="B118" s="4">
        <v>2011</v>
      </c>
      <c r="C118" s="4" t="s">
        <v>26</v>
      </c>
      <c r="D118" s="7">
        <v>59.2</v>
      </c>
    </row>
    <row r="119" spans="1:4" x14ac:dyDescent="0.2">
      <c r="A119" s="4" t="s">
        <v>17</v>
      </c>
      <c r="B119" s="4">
        <v>2011</v>
      </c>
      <c r="C119" s="4" t="s">
        <v>26</v>
      </c>
      <c r="D119" s="7">
        <v>33.4</v>
      </c>
    </row>
    <row r="120" spans="1:4" x14ac:dyDescent="0.2">
      <c r="A120" s="4" t="s">
        <v>18</v>
      </c>
      <c r="B120" s="4">
        <v>2011</v>
      </c>
      <c r="C120" s="4" t="s">
        <v>26</v>
      </c>
      <c r="D120" s="7">
        <v>41.4</v>
      </c>
    </row>
    <row r="121" spans="1:4" x14ac:dyDescent="0.2">
      <c r="A121" s="4" t="s">
        <v>19</v>
      </c>
      <c r="B121" s="4">
        <v>2011</v>
      </c>
      <c r="C121" s="4" t="s">
        <v>26</v>
      </c>
      <c r="D121" s="7">
        <v>599.79999999999995</v>
      </c>
    </row>
    <row r="122" spans="1:4" x14ac:dyDescent="0.2">
      <c r="A122" s="4" t="s">
        <v>20</v>
      </c>
      <c r="B122" s="4">
        <v>2011</v>
      </c>
      <c r="C122" s="4" t="s">
        <v>26</v>
      </c>
      <c r="D122" s="7">
        <v>131.80000000000001</v>
      </c>
    </row>
    <row r="123" spans="1:4" x14ac:dyDescent="0.2">
      <c r="A123" s="4" t="s">
        <v>21</v>
      </c>
      <c r="B123" s="4">
        <v>2011</v>
      </c>
      <c r="C123" s="4" t="s">
        <v>26</v>
      </c>
      <c r="D123" s="7">
        <v>520.6</v>
      </c>
    </row>
    <row r="124" spans="1:4" x14ac:dyDescent="0.2">
      <c r="A124" s="4" t="s">
        <v>22</v>
      </c>
      <c r="B124" s="4">
        <v>2011</v>
      </c>
      <c r="C124" s="4" t="s">
        <v>26</v>
      </c>
      <c r="D124" s="7">
        <v>290.7</v>
      </c>
    </row>
    <row r="125" spans="1:4" x14ac:dyDescent="0.2">
      <c r="A125" s="4" t="s">
        <v>23</v>
      </c>
      <c r="B125" s="4">
        <v>2011</v>
      </c>
      <c r="C125" s="4" t="s">
        <v>26</v>
      </c>
      <c r="D125" s="7">
        <v>74.5</v>
      </c>
    </row>
    <row r="126" spans="1:4" x14ac:dyDescent="0.2">
      <c r="A126" s="4" t="s">
        <v>24</v>
      </c>
      <c r="B126" s="4">
        <v>2011</v>
      </c>
      <c r="C126" s="4" t="s">
        <v>26</v>
      </c>
      <c r="D126" s="7">
        <v>185.3</v>
      </c>
    </row>
    <row r="127" spans="1:4" x14ac:dyDescent="0.2">
      <c r="A127" s="4" t="s">
        <v>25</v>
      </c>
      <c r="B127" s="4">
        <v>2011</v>
      </c>
      <c r="C127" s="4" t="s">
        <v>26</v>
      </c>
      <c r="D127" s="7">
        <v>234.2</v>
      </c>
    </row>
    <row r="128" spans="1:4" x14ac:dyDescent="0.2">
      <c r="A128" s="4" t="s">
        <v>5</v>
      </c>
      <c r="B128" s="4">
        <v>2012</v>
      </c>
      <c r="C128" s="4" t="s">
        <v>26</v>
      </c>
      <c r="D128" s="7">
        <v>455</v>
      </c>
    </row>
    <row r="129" spans="1:4" x14ac:dyDescent="0.2">
      <c r="A129" s="4" t="s">
        <v>6</v>
      </c>
      <c r="B129" s="4">
        <v>2012</v>
      </c>
      <c r="C129" s="4" t="s">
        <v>26</v>
      </c>
      <c r="D129" s="7">
        <v>5.8</v>
      </c>
    </row>
    <row r="130" spans="1:4" x14ac:dyDescent="0.2">
      <c r="A130" s="4" t="s">
        <v>7</v>
      </c>
      <c r="B130" s="4">
        <v>2012</v>
      </c>
      <c r="C130" s="4" t="s">
        <v>26</v>
      </c>
      <c r="D130" s="7">
        <v>72.5</v>
      </c>
    </row>
    <row r="131" spans="1:4" x14ac:dyDescent="0.2">
      <c r="A131" s="4" t="s">
        <v>8</v>
      </c>
      <c r="B131" s="4">
        <v>2012</v>
      </c>
      <c r="C131" s="4" t="s">
        <v>26</v>
      </c>
      <c r="D131" s="7">
        <v>1101.2</v>
      </c>
    </row>
    <row r="132" spans="1:4" x14ac:dyDescent="0.2">
      <c r="A132" s="4" t="s">
        <v>9</v>
      </c>
      <c r="B132" s="4">
        <v>2012</v>
      </c>
      <c r="C132" s="4" t="s">
        <v>26</v>
      </c>
      <c r="D132" s="7">
        <v>110.4</v>
      </c>
    </row>
    <row r="133" spans="1:4" x14ac:dyDescent="0.2">
      <c r="A133" s="4" t="s">
        <v>10</v>
      </c>
      <c r="B133" s="4">
        <v>2012</v>
      </c>
      <c r="C133" s="4" t="s">
        <v>26</v>
      </c>
      <c r="D133" s="7">
        <v>18.600000000000001</v>
      </c>
    </row>
    <row r="134" spans="1:4" x14ac:dyDescent="0.2">
      <c r="A134" s="4" t="s">
        <v>11</v>
      </c>
      <c r="B134" s="4">
        <v>2012</v>
      </c>
      <c r="C134" s="4" t="s">
        <v>26</v>
      </c>
      <c r="D134" s="7">
        <v>218.8</v>
      </c>
    </row>
    <row r="135" spans="1:4" x14ac:dyDescent="0.2">
      <c r="A135" s="4" t="s">
        <v>12</v>
      </c>
      <c r="B135" s="4">
        <v>2012</v>
      </c>
      <c r="C135" s="4" t="s">
        <v>26</v>
      </c>
      <c r="D135" s="7">
        <v>191.6</v>
      </c>
    </row>
    <row r="136" spans="1:4" x14ac:dyDescent="0.2">
      <c r="A136" s="4" t="s">
        <v>13</v>
      </c>
      <c r="B136" s="4">
        <v>2012</v>
      </c>
      <c r="C136" s="4" t="s">
        <v>26</v>
      </c>
      <c r="D136" s="7">
        <v>31.5</v>
      </c>
    </row>
    <row r="137" spans="1:4" x14ac:dyDescent="0.2">
      <c r="A137" s="4" t="s">
        <v>14</v>
      </c>
      <c r="B137" s="4">
        <v>2012</v>
      </c>
      <c r="C137" s="4" t="s">
        <v>26</v>
      </c>
      <c r="D137" s="7">
        <v>48</v>
      </c>
    </row>
    <row r="138" spans="1:4" x14ac:dyDescent="0.2">
      <c r="A138" s="4" t="s">
        <v>15</v>
      </c>
      <c r="B138" s="4">
        <v>2012</v>
      </c>
      <c r="C138" s="4" t="s">
        <v>26</v>
      </c>
      <c r="D138" s="7">
        <v>126.4</v>
      </c>
    </row>
    <row r="139" spans="1:4" x14ac:dyDescent="0.2">
      <c r="A139" s="4" t="s">
        <v>16</v>
      </c>
      <c r="B139" s="4">
        <v>2012</v>
      </c>
      <c r="C139" s="4" t="s">
        <v>26</v>
      </c>
      <c r="D139" s="7">
        <v>52.9</v>
      </c>
    </row>
    <row r="140" spans="1:4" x14ac:dyDescent="0.2">
      <c r="A140" s="4" t="s">
        <v>17</v>
      </c>
      <c r="B140" s="4">
        <v>2012</v>
      </c>
      <c r="C140" s="4" t="s">
        <v>26</v>
      </c>
      <c r="D140" s="7">
        <v>31.9</v>
      </c>
    </row>
    <row r="141" spans="1:4" x14ac:dyDescent="0.2">
      <c r="A141" s="4" t="s">
        <v>18</v>
      </c>
      <c r="B141" s="4">
        <v>2012</v>
      </c>
      <c r="C141" s="4" t="s">
        <v>26</v>
      </c>
      <c r="D141" s="7">
        <v>40.9</v>
      </c>
    </row>
    <row r="142" spans="1:4" x14ac:dyDescent="0.2">
      <c r="A142" s="4" t="s">
        <v>19</v>
      </c>
      <c r="B142" s="4">
        <v>2012</v>
      </c>
      <c r="C142" s="4" t="s">
        <v>26</v>
      </c>
      <c r="D142" s="7">
        <v>582.1</v>
      </c>
    </row>
    <row r="143" spans="1:4" x14ac:dyDescent="0.2">
      <c r="A143" s="4" t="s">
        <v>20</v>
      </c>
      <c r="B143" s="4">
        <v>2012</v>
      </c>
      <c r="C143" s="4" t="s">
        <v>26</v>
      </c>
      <c r="D143" s="7">
        <v>130.5</v>
      </c>
    </row>
    <row r="144" spans="1:4" x14ac:dyDescent="0.2">
      <c r="A144" s="4" t="s">
        <v>21</v>
      </c>
      <c r="B144" s="4">
        <v>2012</v>
      </c>
      <c r="C144" s="4" t="s">
        <v>26</v>
      </c>
      <c r="D144" s="7">
        <v>498.1</v>
      </c>
    </row>
    <row r="145" spans="1:4" x14ac:dyDescent="0.2">
      <c r="A145" s="4" t="s">
        <v>22</v>
      </c>
      <c r="B145" s="4">
        <v>2012</v>
      </c>
      <c r="C145" s="4" t="s">
        <v>26</v>
      </c>
      <c r="D145" s="7">
        <v>280.2</v>
      </c>
    </row>
    <row r="146" spans="1:4" x14ac:dyDescent="0.2">
      <c r="A146" s="4" t="s">
        <v>23</v>
      </c>
      <c r="B146" s="4">
        <v>2012</v>
      </c>
      <c r="C146" s="4" t="s">
        <v>26</v>
      </c>
      <c r="D146" s="7">
        <v>74.5</v>
      </c>
    </row>
    <row r="147" spans="1:4" x14ac:dyDescent="0.2">
      <c r="A147" s="4" t="s">
        <v>24</v>
      </c>
      <c r="B147" s="4">
        <v>2012</v>
      </c>
      <c r="C147" s="4" t="s">
        <v>26</v>
      </c>
      <c r="D147" s="7">
        <v>181.6</v>
      </c>
    </row>
    <row r="148" spans="1:4" x14ac:dyDescent="0.2">
      <c r="A148" s="4" t="s">
        <v>25</v>
      </c>
      <c r="B148" s="4">
        <v>2012</v>
      </c>
      <c r="C148" s="4" t="s">
        <v>26</v>
      </c>
      <c r="D148" s="7">
        <v>220.8</v>
      </c>
    </row>
    <row r="149" spans="1:4" x14ac:dyDescent="0.2">
      <c r="A149" s="4" t="s">
        <v>5</v>
      </c>
      <c r="B149" s="4">
        <v>2019</v>
      </c>
      <c r="C149" s="4" t="s">
        <v>26</v>
      </c>
      <c r="D149" s="7">
        <v>454.4</v>
      </c>
    </row>
    <row r="150" spans="1:4" x14ac:dyDescent="0.2">
      <c r="A150" s="4" t="s">
        <v>6</v>
      </c>
      <c r="B150" s="4">
        <v>2019</v>
      </c>
      <c r="C150" s="4" t="s">
        <v>26</v>
      </c>
      <c r="D150" s="7">
        <v>6.7</v>
      </c>
    </row>
    <row r="151" spans="1:4" x14ac:dyDescent="0.2">
      <c r="A151" s="4" t="s">
        <v>7</v>
      </c>
      <c r="B151" s="4">
        <v>2019</v>
      </c>
      <c r="C151" s="4" t="s">
        <v>26</v>
      </c>
      <c r="D151" s="7">
        <v>78.400000000000006</v>
      </c>
    </row>
    <row r="152" spans="1:4" x14ac:dyDescent="0.2">
      <c r="A152" s="4" t="s">
        <v>8</v>
      </c>
      <c r="B152" s="4">
        <v>2019</v>
      </c>
      <c r="C152" s="4" t="s">
        <v>26</v>
      </c>
      <c r="D152" s="7">
        <v>1142.5999999999999</v>
      </c>
    </row>
    <row r="153" spans="1:4" x14ac:dyDescent="0.2">
      <c r="A153" s="4" t="s">
        <v>9</v>
      </c>
      <c r="B153" s="4">
        <v>2019</v>
      </c>
      <c r="C153" s="4" t="s">
        <v>26</v>
      </c>
      <c r="D153" s="7">
        <v>109.3</v>
      </c>
    </row>
    <row r="154" spans="1:4" x14ac:dyDescent="0.2">
      <c r="A154" s="4" t="s">
        <v>10</v>
      </c>
      <c r="B154" s="4">
        <v>2019</v>
      </c>
      <c r="C154" s="4" t="s">
        <v>26</v>
      </c>
      <c r="D154" s="7">
        <v>19.7</v>
      </c>
    </row>
    <row r="155" spans="1:4" x14ac:dyDescent="0.2">
      <c r="A155" s="4" t="s">
        <v>11</v>
      </c>
      <c r="B155" s="4">
        <v>2019</v>
      </c>
      <c r="C155" s="4" t="s">
        <v>26</v>
      </c>
      <c r="D155" s="7">
        <v>233.2</v>
      </c>
    </row>
    <row r="156" spans="1:4" x14ac:dyDescent="0.2">
      <c r="A156" s="4" t="s">
        <v>12</v>
      </c>
      <c r="B156" s="4">
        <v>2019</v>
      </c>
      <c r="C156" s="4" t="s">
        <v>26</v>
      </c>
      <c r="D156" s="7">
        <v>190</v>
      </c>
    </row>
    <row r="157" spans="1:4" x14ac:dyDescent="0.2">
      <c r="A157" s="4" t="s">
        <v>13</v>
      </c>
      <c r="B157" s="4">
        <v>2019</v>
      </c>
      <c r="C157" s="4" t="s">
        <v>26</v>
      </c>
      <c r="D157" s="7">
        <v>32.4</v>
      </c>
    </row>
    <row r="158" spans="1:4" x14ac:dyDescent="0.2">
      <c r="A158" s="4" t="s">
        <v>14</v>
      </c>
      <c r="B158" s="4">
        <v>2019</v>
      </c>
      <c r="C158" s="4" t="s">
        <v>26</v>
      </c>
      <c r="D158" s="7">
        <v>39.200000000000003</v>
      </c>
    </row>
    <row r="159" spans="1:4" x14ac:dyDescent="0.2">
      <c r="A159" s="4" t="s">
        <v>15</v>
      </c>
      <c r="B159" s="4">
        <v>2019</v>
      </c>
      <c r="C159" s="4" t="s">
        <v>26</v>
      </c>
      <c r="D159" s="7">
        <v>128.5</v>
      </c>
    </row>
    <row r="160" spans="1:4" x14ac:dyDescent="0.2">
      <c r="A160" s="4" t="s">
        <v>16</v>
      </c>
      <c r="B160" s="4">
        <v>2019</v>
      </c>
      <c r="C160" s="4" t="s">
        <v>26</v>
      </c>
      <c r="D160" s="7">
        <v>47</v>
      </c>
    </row>
    <row r="161" spans="1:4" x14ac:dyDescent="0.2">
      <c r="A161" s="4" t="s">
        <v>17</v>
      </c>
      <c r="B161" s="4">
        <v>2019</v>
      </c>
      <c r="C161" s="4" t="s">
        <v>26</v>
      </c>
      <c r="D161" s="7">
        <v>40</v>
      </c>
    </row>
    <row r="162" spans="1:4" x14ac:dyDescent="0.2">
      <c r="A162" s="4" t="s">
        <v>18</v>
      </c>
      <c r="B162" s="4">
        <v>2019</v>
      </c>
      <c r="C162" s="4" t="s">
        <v>26</v>
      </c>
      <c r="D162" s="7">
        <v>41.9</v>
      </c>
    </row>
    <row r="163" spans="1:4" x14ac:dyDescent="0.2">
      <c r="A163" s="4" t="s">
        <v>19</v>
      </c>
      <c r="B163" s="4">
        <v>2019</v>
      </c>
      <c r="C163" s="4" t="s">
        <v>26</v>
      </c>
      <c r="D163" s="7">
        <v>583.9</v>
      </c>
    </row>
    <row r="164" spans="1:4" x14ac:dyDescent="0.2">
      <c r="A164" s="4" t="s">
        <v>20</v>
      </c>
      <c r="B164" s="4">
        <v>2019</v>
      </c>
      <c r="C164" s="4" t="s">
        <v>26</v>
      </c>
      <c r="D164" s="7">
        <v>119.8</v>
      </c>
    </row>
    <row r="165" spans="1:4" x14ac:dyDescent="0.2">
      <c r="A165" s="4" t="s">
        <v>21</v>
      </c>
      <c r="B165" s="4">
        <v>2019</v>
      </c>
      <c r="C165" s="4" t="s">
        <v>26</v>
      </c>
      <c r="D165" s="7">
        <v>544</v>
      </c>
    </row>
    <row r="166" spans="1:4" x14ac:dyDescent="0.2">
      <c r="A166" s="4" t="s">
        <v>22</v>
      </c>
      <c r="B166" s="4">
        <v>2019</v>
      </c>
      <c r="C166" s="4" t="s">
        <v>26</v>
      </c>
      <c r="D166" s="7">
        <v>313.3</v>
      </c>
    </row>
    <row r="167" spans="1:4" x14ac:dyDescent="0.2">
      <c r="A167" s="4" t="s">
        <v>23</v>
      </c>
      <c r="B167" s="4">
        <v>2019</v>
      </c>
      <c r="C167" s="4" t="s">
        <v>26</v>
      </c>
      <c r="D167" s="7">
        <v>67.3</v>
      </c>
    </row>
    <row r="168" spans="1:4" x14ac:dyDescent="0.2">
      <c r="A168" s="4" t="s">
        <v>24</v>
      </c>
      <c r="B168" s="4">
        <v>2019</v>
      </c>
      <c r="C168" s="4" t="s">
        <v>26</v>
      </c>
      <c r="D168" s="7">
        <v>185.8</v>
      </c>
    </row>
    <row r="169" spans="1:4" x14ac:dyDescent="0.2">
      <c r="A169" s="4" t="s">
        <v>25</v>
      </c>
      <c r="B169" s="4">
        <v>2019</v>
      </c>
      <c r="C169" s="4" t="s">
        <v>26</v>
      </c>
      <c r="D169" s="7">
        <v>209</v>
      </c>
    </row>
    <row r="170" spans="1:4" x14ac:dyDescent="0.2">
      <c r="A170" s="4" t="s">
        <v>5</v>
      </c>
      <c r="B170" s="4">
        <v>1999</v>
      </c>
      <c r="C170" s="4" t="s">
        <v>27</v>
      </c>
      <c r="D170" s="7">
        <v>104.3</v>
      </c>
    </row>
    <row r="171" spans="1:4" x14ac:dyDescent="0.2">
      <c r="A171" s="4" t="s">
        <v>6</v>
      </c>
      <c r="B171" s="4">
        <v>1999</v>
      </c>
      <c r="C171" s="4" t="s">
        <v>27</v>
      </c>
      <c r="D171" s="7">
        <v>5.6</v>
      </c>
    </row>
    <row r="172" spans="1:4" x14ac:dyDescent="0.2">
      <c r="A172" s="4" t="s">
        <v>7</v>
      </c>
      <c r="B172" s="4">
        <v>1999</v>
      </c>
      <c r="C172" s="4" t="s">
        <v>27</v>
      </c>
      <c r="D172" s="7">
        <v>42.7</v>
      </c>
    </row>
    <row r="173" spans="1:4" x14ac:dyDescent="0.2">
      <c r="A173" s="4" t="s">
        <v>8</v>
      </c>
      <c r="B173" s="4">
        <v>1999</v>
      </c>
      <c r="C173" s="4" t="s">
        <v>27</v>
      </c>
      <c r="D173" s="7">
        <v>291</v>
      </c>
    </row>
    <row r="174" spans="1:4" x14ac:dyDescent="0.2">
      <c r="A174" s="4" t="s">
        <v>9</v>
      </c>
      <c r="B174" s="4">
        <v>1999</v>
      </c>
      <c r="C174" s="4" t="s">
        <v>27</v>
      </c>
      <c r="D174" s="7">
        <v>37.200000000000003</v>
      </c>
    </row>
    <row r="175" spans="1:4" x14ac:dyDescent="0.2">
      <c r="A175" s="4" t="s">
        <v>10</v>
      </c>
      <c r="B175" s="4">
        <v>1999</v>
      </c>
      <c r="C175" s="4" t="s">
        <v>27</v>
      </c>
      <c r="D175" s="7">
        <v>11.3</v>
      </c>
    </row>
    <row r="176" spans="1:4" x14ac:dyDescent="0.2">
      <c r="A176" s="4" t="s">
        <v>11</v>
      </c>
      <c r="B176" s="4">
        <v>1999</v>
      </c>
      <c r="C176" s="4" t="s">
        <v>27</v>
      </c>
      <c r="D176" s="7">
        <v>132.1</v>
      </c>
    </row>
    <row r="177" spans="1:4" x14ac:dyDescent="0.2">
      <c r="A177" s="4" t="s">
        <v>12</v>
      </c>
      <c r="B177" s="4">
        <v>1999</v>
      </c>
      <c r="C177" s="4" t="s">
        <v>27</v>
      </c>
      <c r="D177" s="7">
        <v>109.3</v>
      </c>
    </row>
    <row r="178" spans="1:4" x14ac:dyDescent="0.2">
      <c r="A178" s="4" t="s">
        <v>13</v>
      </c>
      <c r="B178" s="4">
        <v>1999</v>
      </c>
      <c r="C178" s="4" t="s">
        <v>27</v>
      </c>
      <c r="D178" s="7">
        <v>21.6</v>
      </c>
    </row>
    <row r="179" spans="1:4" x14ac:dyDescent="0.2">
      <c r="A179" s="4" t="s">
        <v>14</v>
      </c>
      <c r="B179" s="4">
        <v>1999</v>
      </c>
      <c r="C179" s="4" t="s">
        <v>27</v>
      </c>
      <c r="D179" s="7">
        <v>58</v>
      </c>
    </row>
    <row r="180" spans="1:4" x14ac:dyDescent="0.2">
      <c r="A180" s="4" t="s">
        <v>15</v>
      </c>
      <c r="B180" s="4">
        <v>1999</v>
      </c>
      <c r="C180" s="4" t="s">
        <v>27</v>
      </c>
      <c r="D180" s="7">
        <v>125.1</v>
      </c>
    </row>
    <row r="181" spans="1:4" x14ac:dyDescent="0.2">
      <c r="A181" s="4" t="s">
        <v>16</v>
      </c>
      <c r="B181" s="4">
        <v>1999</v>
      </c>
      <c r="C181" s="4" t="s">
        <v>27</v>
      </c>
      <c r="D181" s="7">
        <v>56.1</v>
      </c>
    </row>
    <row r="182" spans="1:4" x14ac:dyDescent="0.2">
      <c r="A182" s="4" t="s">
        <v>17</v>
      </c>
      <c r="B182" s="4">
        <v>1999</v>
      </c>
      <c r="C182" s="4" t="s">
        <v>27</v>
      </c>
      <c r="D182" s="7">
        <v>16.600000000000001</v>
      </c>
    </row>
    <row r="183" spans="1:4" x14ac:dyDescent="0.2">
      <c r="A183" s="4" t="s">
        <v>18</v>
      </c>
      <c r="B183" s="4">
        <v>1999</v>
      </c>
      <c r="C183" s="4" t="s">
        <v>27</v>
      </c>
      <c r="D183" s="7">
        <v>19.600000000000001</v>
      </c>
    </row>
    <row r="184" spans="1:4" x14ac:dyDescent="0.2">
      <c r="A184" s="4" t="s">
        <v>19</v>
      </c>
      <c r="B184" s="4">
        <v>1999</v>
      </c>
      <c r="C184" s="4" t="s">
        <v>27</v>
      </c>
      <c r="D184" s="7">
        <v>122.8</v>
      </c>
    </row>
    <row r="185" spans="1:4" x14ac:dyDescent="0.2">
      <c r="A185" s="4" t="s">
        <v>20</v>
      </c>
      <c r="B185" s="4">
        <v>1999</v>
      </c>
      <c r="C185" s="4" t="s">
        <v>27</v>
      </c>
      <c r="D185" s="7">
        <v>31.3</v>
      </c>
    </row>
    <row r="186" spans="1:4" x14ac:dyDescent="0.2">
      <c r="A186" s="4" t="s">
        <v>21</v>
      </c>
      <c r="B186" s="4">
        <v>1999</v>
      </c>
      <c r="C186" s="4" t="s">
        <v>27</v>
      </c>
      <c r="D186" s="7">
        <v>101.89999999999999</v>
      </c>
    </row>
    <row r="187" spans="1:4" x14ac:dyDescent="0.2">
      <c r="A187" s="4" t="s">
        <v>22</v>
      </c>
      <c r="B187" s="4">
        <v>1999</v>
      </c>
      <c r="C187" s="4" t="s">
        <v>27</v>
      </c>
      <c r="D187" s="7">
        <v>81.8</v>
      </c>
    </row>
    <row r="188" spans="1:4" x14ac:dyDescent="0.2">
      <c r="A188" s="4" t="s">
        <v>23</v>
      </c>
      <c r="B188" s="4">
        <v>1999</v>
      </c>
      <c r="C188" s="4" t="s">
        <v>27</v>
      </c>
      <c r="D188" s="7">
        <v>22.9</v>
      </c>
    </row>
    <row r="189" spans="1:4" x14ac:dyDescent="0.2">
      <c r="A189" s="4" t="s">
        <v>24</v>
      </c>
      <c r="B189" s="4">
        <v>1999</v>
      </c>
      <c r="C189" s="4" t="s">
        <v>27</v>
      </c>
      <c r="D189" s="7">
        <v>40.099999999999966</v>
      </c>
    </row>
    <row r="190" spans="1:4" x14ac:dyDescent="0.2">
      <c r="A190" s="4" t="s">
        <v>25</v>
      </c>
      <c r="B190" s="4">
        <v>1999</v>
      </c>
      <c r="C190" s="4" t="s">
        <v>27</v>
      </c>
      <c r="D190" s="7">
        <v>119.1</v>
      </c>
    </row>
    <row r="191" spans="1:4" x14ac:dyDescent="0.2">
      <c r="A191" s="4" t="s">
        <v>5</v>
      </c>
      <c r="B191" s="4">
        <v>2011</v>
      </c>
      <c r="C191" s="4" t="s">
        <v>27</v>
      </c>
      <c r="D191" s="7">
        <v>135.6</v>
      </c>
    </row>
    <row r="192" spans="1:4" x14ac:dyDescent="0.2">
      <c r="A192" s="4" t="s">
        <v>6</v>
      </c>
      <c r="B192" s="4">
        <v>2011</v>
      </c>
      <c r="C192" s="4" t="s">
        <v>27</v>
      </c>
      <c r="D192" s="7">
        <v>6.4</v>
      </c>
    </row>
    <row r="193" spans="1:4" x14ac:dyDescent="0.2">
      <c r="A193" s="4" t="s">
        <v>7</v>
      </c>
      <c r="B193" s="4">
        <v>2011</v>
      </c>
      <c r="C193" s="4" t="s">
        <v>27</v>
      </c>
      <c r="D193" s="7">
        <v>48.1</v>
      </c>
    </row>
    <row r="194" spans="1:4" x14ac:dyDescent="0.2">
      <c r="A194" s="4" t="s">
        <v>8</v>
      </c>
      <c r="B194" s="4">
        <v>2011</v>
      </c>
      <c r="C194" s="4" t="s">
        <v>27</v>
      </c>
      <c r="D194" s="7">
        <v>312.10000000000002</v>
      </c>
    </row>
    <row r="195" spans="1:4" x14ac:dyDescent="0.2">
      <c r="A195" s="4" t="s">
        <v>9</v>
      </c>
      <c r="B195" s="4">
        <v>2011</v>
      </c>
      <c r="C195" s="4" t="s">
        <v>27</v>
      </c>
      <c r="D195" s="7">
        <v>45</v>
      </c>
    </row>
    <row r="196" spans="1:4" x14ac:dyDescent="0.2">
      <c r="A196" s="4" t="s">
        <v>10</v>
      </c>
      <c r="B196" s="4">
        <v>2011</v>
      </c>
      <c r="C196" s="4" t="s">
        <v>27</v>
      </c>
      <c r="D196" s="7">
        <v>10.6</v>
      </c>
    </row>
    <row r="197" spans="1:4" x14ac:dyDescent="0.2">
      <c r="A197" s="4" t="s">
        <v>11</v>
      </c>
      <c r="B197" s="4">
        <v>2011</v>
      </c>
      <c r="C197" s="4" t="s">
        <v>27</v>
      </c>
      <c r="D197" s="7">
        <v>141.1</v>
      </c>
    </row>
    <row r="198" spans="1:4" x14ac:dyDescent="0.2">
      <c r="A198" s="4" t="s">
        <v>12</v>
      </c>
      <c r="B198" s="4">
        <v>2011</v>
      </c>
      <c r="C198" s="4" t="s">
        <v>27</v>
      </c>
      <c r="D198" s="7">
        <v>109.4</v>
      </c>
    </row>
    <row r="199" spans="1:4" x14ac:dyDescent="0.2">
      <c r="A199" s="4" t="s">
        <v>13</v>
      </c>
      <c r="B199" s="4">
        <v>2011</v>
      </c>
      <c r="C199" s="4" t="s">
        <v>27</v>
      </c>
      <c r="D199" s="7">
        <v>19.399999999999999</v>
      </c>
    </row>
    <row r="200" spans="1:4" x14ac:dyDescent="0.2">
      <c r="A200" s="4" t="s">
        <v>14</v>
      </c>
      <c r="B200" s="4">
        <v>2011</v>
      </c>
      <c r="C200" s="4" t="s">
        <v>27</v>
      </c>
      <c r="D200" s="7">
        <v>48.7</v>
      </c>
    </row>
    <row r="201" spans="1:4" x14ac:dyDescent="0.2">
      <c r="A201" s="4" t="s">
        <v>15</v>
      </c>
      <c r="B201" s="4">
        <v>2011</v>
      </c>
      <c r="C201" s="4" t="s">
        <v>27</v>
      </c>
      <c r="D201" s="7">
        <v>111.6</v>
      </c>
    </row>
    <row r="202" spans="1:4" x14ac:dyDescent="0.2">
      <c r="A202" s="4" t="s">
        <v>16</v>
      </c>
      <c r="B202" s="4">
        <v>2011</v>
      </c>
      <c r="C202" s="4" t="s">
        <v>27</v>
      </c>
      <c r="D202" s="7">
        <v>51.9</v>
      </c>
    </row>
    <row r="203" spans="1:4" x14ac:dyDescent="0.2">
      <c r="A203" s="4" t="s">
        <v>17</v>
      </c>
      <c r="B203" s="4">
        <v>2011</v>
      </c>
      <c r="C203" s="4" t="s">
        <v>27</v>
      </c>
      <c r="D203" s="7">
        <v>22.3</v>
      </c>
    </row>
    <row r="204" spans="1:4" x14ac:dyDescent="0.2">
      <c r="A204" s="4" t="s">
        <v>18</v>
      </c>
      <c r="B204" s="4">
        <v>2011</v>
      </c>
      <c r="C204" s="4" t="s">
        <v>27</v>
      </c>
      <c r="D204" s="7">
        <v>21.4</v>
      </c>
    </row>
    <row r="205" spans="1:4" x14ac:dyDescent="0.2">
      <c r="A205" s="4" t="s">
        <v>19</v>
      </c>
      <c r="B205" s="4">
        <v>2011</v>
      </c>
      <c r="C205" s="4" t="s">
        <v>27</v>
      </c>
      <c r="D205" s="7">
        <v>166.7</v>
      </c>
    </row>
    <row r="206" spans="1:4" x14ac:dyDescent="0.2">
      <c r="A206" s="4" t="s">
        <v>20</v>
      </c>
      <c r="B206" s="4">
        <v>2011</v>
      </c>
      <c r="C206" s="4" t="s">
        <v>27</v>
      </c>
      <c r="D206" s="7">
        <v>38.299999999999997</v>
      </c>
    </row>
    <row r="207" spans="1:4" x14ac:dyDescent="0.2">
      <c r="A207" s="4" t="s">
        <v>21</v>
      </c>
      <c r="B207" s="4">
        <v>2011</v>
      </c>
      <c r="C207" s="4" t="s">
        <v>27</v>
      </c>
      <c r="D207" s="7">
        <v>114.8</v>
      </c>
    </row>
    <row r="208" spans="1:4" x14ac:dyDescent="0.2">
      <c r="A208" s="4" t="s">
        <v>22</v>
      </c>
      <c r="B208" s="4">
        <v>2011</v>
      </c>
      <c r="C208" s="4" t="s">
        <v>27</v>
      </c>
      <c r="D208" s="7">
        <v>124.1</v>
      </c>
    </row>
    <row r="209" spans="1:4" x14ac:dyDescent="0.2">
      <c r="A209" s="4" t="s">
        <v>23</v>
      </c>
      <c r="B209" s="4">
        <v>2011</v>
      </c>
      <c r="C209" s="4" t="s">
        <v>27</v>
      </c>
      <c r="D209" s="7">
        <v>31.2</v>
      </c>
    </row>
    <row r="210" spans="1:4" x14ac:dyDescent="0.2">
      <c r="A210" s="4" t="s">
        <v>24</v>
      </c>
      <c r="B210" s="4">
        <v>2011</v>
      </c>
      <c r="C210" s="4" t="s">
        <v>27</v>
      </c>
      <c r="D210" s="7">
        <v>42.8</v>
      </c>
    </row>
    <row r="211" spans="1:4" x14ac:dyDescent="0.2">
      <c r="A211" s="4" t="s">
        <v>25</v>
      </c>
      <c r="B211" s="4">
        <v>2011</v>
      </c>
      <c r="C211" s="4" t="s">
        <v>27</v>
      </c>
      <c r="D211" s="7">
        <v>166.1</v>
      </c>
    </row>
    <row r="212" spans="1:4" x14ac:dyDescent="0.2">
      <c r="A212" s="4" t="s">
        <v>5</v>
      </c>
      <c r="B212" s="4">
        <v>2012</v>
      </c>
      <c r="C212" s="4" t="s">
        <v>27</v>
      </c>
      <c r="D212" s="7">
        <v>139.4</v>
      </c>
    </row>
    <row r="213" spans="1:4" x14ac:dyDescent="0.2">
      <c r="A213" s="4" t="s">
        <v>6</v>
      </c>
      <c r="B213" s="4">
        <v>2012</v>
      </c>
      <c r="C213" s="4" t="s">
        <v>27</v>
      </c>
      <c r="D213" s="7">
        <v>6.3</v>
      </c>
    </row>
    <row r="214" spans="1:4" x14ac:dyDescent="0.2">
      <c r="A214" s="4" t="s">
        <v>7</v>
      </c>
      <c r="B214" s="4">
        <v>2012</v>
      </c>
      <c r="C214" s="4" t="s">
        <v>27</v>
      </c>
      <c r="D214" s="7">
        <v>41.6</v>
      </c>
    </row>
    <row r="215" spans="1:4" x14ac:dyDescent="0.2">
      <c r="A215" s="4" t="s">
        <v>8</v>
      </c>
      <c r="B215" s="4">
        <v>2012</v>
      </c>
      <c r="C215" s="4" t="s">
        <v>27</v>
      </c>
      <c r="D215" s="7">
        <v>307.60000000000002</v>
      </c>
    </row>
    <row r="216" spans="1:4" x14ac:dyDescent="0.2">
      <c r="A216" s="4" t="s">
        <v>9</v>
      </c>
      <c r="B216" s="4">
        <v>2012</v>
      </c>
      <c r="C216" s="4" t="s">
        <v>27</v>
      </c>
      <c r="D216" s="7">
        <v>48.7</v>
      </c>
    </row>
    <row r="217" spans="1:4" x14ac:dyDescent="0.2">
      <c r="A217" s="4" t="s">
        <v>10</v>
      </c>
      <c r="B217" s="4">
        <v>2012</v>
      </c>
      <c r="C217" s="4" t="s">
        <v>27</v>
      </c>
      <c r="D217" s="7">
        <v>10.5</v>
      </c>
    </row>
    <row r="218" spans="1:4" x14ac:dyDescent="0.2">
      <c r="A218" s="4" t="s">
        <v>11</v>
      </c>
      <c r="B218" s="4">
        <v>2012</v>
      </c>
      <c r="C218" s="4" t="s">
        <v>27</v>
      </c>
      <c r="D218" s="7">
        <v>119.7</v>
      </c>
    </row>
    <row r="219" spans="1:4" x14ac:dyDescent="0.2">
      <c r="A219" s="4" t="s">
        <v>12</v>
      </c>
      <c r="B219" s="4">
        <v>2012</v>
      </c>
      <c r="C219" s="4" t="s">
        <v>27</v>
      </c>
      <c r="D219" s="7">
        <v>101.2</v>
      </c>
    </row>
    <row r="220" spans="1:4" x14ac:dyDescent="0.2">
      <c r="A220" s="4" t="s">
        <v>13</v>
      </c>
      <c r="B220" s="4">
        <v>2012</v>
      </c>
      <c r="C220" s="4" t="s">
        <v>27</v>
      </c>
      <c r="D220" s="7">
        <v>18</v>
      </c>
    </row>
    <row r="221" spans="1:4" x14ac:dyDescent="0.2">
      <c r="A221" s="4" t="s">
        <v>14</v>
      </c>
      <c r="B221" s="4">
        <v>2012</v>
      </c>
      <c r="C221" s="4" t="s">
        <v>27</v>
      </c>
      <c r="D221" s="7">
        <v>43.7</v>
      </c>
    </row>
    <row r="222" spans="1:4" x14ac:dyDescent="0.2">
      <c r="A222" s="4" t="s">
        <v>15</v>
      </c>
      <c r="B222" s="4">
        <v>2012</v>
      </c>
      <c r="C222" s="4" t="s">
        <v>27</v>
      </c>
      <c r="D222" s="7">
        <v>101.2</v>
      </c>
    </row>
    <row r="223" spans="1:4" x14ac:dyDescent="0.2">
      <c r="A223" s="4" t="s">
        <v>16</v>
      </c>
      <c r="B223" s="4">
        <v>2012</v>
      </c>
      <c r="C223" s="4" t="s">
        <v>27</v>
      </c>
      <c r="D223" s="7">
        <v>46.4</v>
      </c>
    </row>
    <row r="224" spans="1:4" x14ac:dyDescent="0.2">
      <c r="A224" s="4" t="s">
        <v>17</v>
      </c>
      <c r="B224" s="4">
        <v>2012</v>
      </c>
      <c r="C224" s="4" t="s">
        <v>27</v>
      </c>
      <c r="D224" s="7">
        <v>20.9</v>
      </c>
    </row>
    <row r="225" spans="1:4" x14ac:dyDescent="0.2">
      <c r="A225" s="4" t="s">
        <v>18</v>
      </c>
      <c r="B225" s="4">
        <v>2012</v>
      </c>
      <c r="C225" s="4" t="s">
        <v>27</v>
      </c>
      <c r="D225" s="7">
        <v>19</v>
      </c>
    </row>
    <row r="226" spans="1:4" x14ac:dyDescent="0.2">
      <c r="A226" s="4" t="s">
        <v>19</v>
      </c>
      <c r="B226" s="4">
        <v>2012</v>
      </c>
      <c r="C226" s="4" t="s">
        <v>27</v>
      </c>
      <c r="D226" s="7">
        <v>158.80000000000001</v>
      </c>
    </row>
    <row r="227" spans="1:4" x14ac:dyDescent="0.2">
      <c r="A227" s="4" t="s">
        <v>20</v>
      </c>
      <c r="B227" s="4">
        <v>2012</v>
      </c>
      <c r="C227" s="4" t="s">
        <v>27</v>
      </c>
      <c r="D227" s="7">
        <v>30.9</v>
      </c>
    </row>
    <row r="228" spans="1:4" x14ac:dyDescent="0.2">
      <c r="A228" s="4" t="s">
        <v>21</v>
      </c>
      <c r="B228" s="4">
        <v>2012</v>
      </c>
      <c r="C228" s="4" t="s">
        <v>27</v>
      </c>
      <c r="D228" s="7">
        <v>118</v>
      </c>
    </row>
    <row r="229" spans="1:4" x14ac:dyDescent="0.2">
      <c r="A229" s="4" t="s">
        <v>22</v>
      </c>
      <c r="B229" s="4">
        <v>2012</v>
      </c>
      <c r="C229" s="4" t="s">
        <v>27</v>
      </c>
      <c r="D229" s="7">
        <v>115.8</v>
      </c>
    </row>
    <row r="230" spans="1:4" x14ac:dyDescent="0.2">
      <c r="A230" s="4" t="s">
        <v>23</v>
      </c>
      <c r="B230" s="4">
        <v>2012</v>
      </c>
      <c r="C230" s="4" t="s">
        <v>27</v>
      </c>
      <c r="D230" s="7">
        <v>29.5</v>
      </c>
    </row>
    <row r="231" spans="1:4" x14ac:dyDescent="0.2">
      <c r="A231" s="4" t="s">
        <v>24</v>
      </c>
      <c r="B231" s="4">
        <v>2012</v>
      </c>
      <c r="C231" s="4" t="s">
        <v>27</v>
      </c>
      <c r="D231" s="7">
        <v>38.9</v>
      </c>
    </row>
    <row r="232" spans="1:4" x14ac:dyDescent="0.2">
      <c r="A232" s="4" t="s">
        <v>25</v>
      </c>
      <c r="B232" s="4">
        <v>2012</v>
      </c>
      <c r="C232" s="4" t="s">
        <v>27</v>
      </c>
      <c r="D232" s="7">
        <v>157.4</v>
      </c>
    </row>
    <row r="233" spans="1:4" x14ac:dyDescent="0.2">
      <c r="A233" s="4" t="s">
        <v>5</v>
      </c>
      <c r="B233" s="4">
        <v>2019</v>
      </c>
      <c r="C233" s="4" t="s">
        <v>27</v>
      </c>
      <c r="D233" s="7">
        <v>96.8</v>
      </c>
    </row>
    <row r="234" spans="1:4" x14ac:dyDescent="0.2">
      <c r="A234" s="4" t="s">
        <v>6</v>
      </c>
      <c r="B234" s="4">
        <v>2019</v>
      </c>
      <c r="C234" s="4" t="s">
        <v>27</v>
      </c>
      <c r="D234" s="7">
        <v>4.5999999999999996</v>
      </c>
    </row>
    <row r="235" spans="1:4" x14ac:dyDescent="0.2">
      <c r="A235" s="4" t="s">
        <v>7</v>
      </c>
      <c r="B235" s="4">
        <v>2019</v>
      </c>
      <c r="C235" s="4" t="s">
        <v>27</v>
      </c>
      <c r="D235" s="7">
        <v>35.200000000000003</v>
      </c>
    </row>
    <row r="236" spans="1:4" x14ac:dyDescent="0.2">
      <c r="A236" s="4" t="s">
        <v>8</v>
      </c>
      <c r="B236" s="4">
        <v>2019</v>
      </c>
      <c r="C236" s="4" t="s">
        <v>27</v>
      </c>
      <c r="D236" s="7">
        <v>233.5</v>
      </c>
    </row>
    <row r="237" spans="1:4" x14ac:dyDescent="0.2">
      <c r="A237" s="4" t="s">
        <v>9</v>
      </c>
      <c r="B237" s="4">
        <v>2019</v>
      </c>
      <c r="C237" s="4" t="s">
        <v>27</v>
      </c>
      <c r="D237" s="7">
        <v>35.4</v>
      </c>
    </row>
    <row r="238" spans="1:4" x14ac:dyDescent="0.2">
      <c r="A238" s="4" t="s">
        <v>10</v>
      </c>
      <c r="B238" s="4">
        <v>2019</v>
      </c>
      <c r="C238" s="4" t="s">
        <v>27</v>
      </c>
      <c r="D238" s="7">
        <v>7</v>
      </c>
    </row>
    <row r="239" spans="1:4" x14ac:dyDescent="0.2">
      <c r="A239" s="4" t="s">
        <v>11</v>
      </c>
      <c r="B239" s="4">
        <v>2019</v>
      </c>
      <c r="C239" s="4" t="s">
        <v>27</v>
      </c>
      <c r="D239" s="7">
        <v>108.8</v>
      </c>
    </row>
    <row r="240" spans="1:4" x14ac:dyDescent="0.2">
      <c r="A240" s="4" t="s">
        <v>12</v>
      </c>
      <c r="B240" s="4">
        <v>2019</v>
      </c>
      <c r="C240" s="4" t="s">
        <v>27</v>
      </c>
      <c r="D240" s="7">
        <v>76.599999999999994</v>
      </c>
    </row>
    <row r="241" spans="1:4" x14ac:dyDescent="0.2">
      <c r="A241" s="4" t="s">
        <v>13</v>
      </c>
      <c r="B241" s="4">
        <v>2019</v>
      </c>
      <c r="C241" s="4" t="s">
        <v>27</v>
      </c>
      <c r="D241" s="7">
        <v>13.4</v>
      </c>
    </row>
    <row r="242" spans="1:4" x14ac:dyDescent="0.2">
      <c r="A242" s="4" t="s">
        <v>14</v>
      </c>
      <c r="B242" s="4">
        <v>2019</v>
      </c>
      <c r="C242" s="4" t="s">
        <v>27</v>
      </c>
      <c r="D242" s="7">
        <v>35.299999999999997</v>
      </c>
    </row>
    <row r="243" spans="1:4" x14ac:dyDescent="0.2">
      <c r="A243" s="4" t="s">
        <v>15</v>
      </c>
      <c r="B243" s="4">
        <v>2019</v>
      </c>
      <c r="C243" s="4" t="s">
        <v>27</v>
      </c>
      <c r="D243" s="7">
        <v>66.5</v>
      </c>
    </row>
    <row r="244" spans="1:4" x14ac:dyDescent="0.2">
      <c r="A244" s="4" t="s">
        <v>16</v>
      </c>
      <c r="B244" s="4">
        <v>2019</v>
      </c>
      <c r="C244" s="4" t="s">
        <v>27</v>
      </c>
      <c r="D244" s="7">
        <v>32.799999999999997</v>
      </c>
    </row>
    <row r="245" spans="1:4" x14ac:dyDescent="0.2">
      <c r="A245" s="4" t="s">
        <v>17</v>
      </c>
      <c r="B245" s="4">
        <v>2019</v>
      </c>
      <c r="C245" s="4" t="s">
        <v>27</v>
      </c>
      <c r="D245" s="7">
        <v>19</v>
      </c>
    </row>
    <row r="246" spans="1:4" x14ac:dyDescent="0.2">
      <c r="A246" s="4" t="s">
        <v>18</v>
      </c>
      <c r="B246" s="4">
        <v>2019</v>
      </c>
      <c r="C246" s="4" t="s">
        <v>27</v>
      </c>
      <c r="D246" s="7">
        <v>15.9</v>
      </c>
    </row>
    <row r="247" spans="1:4" x14ac:dyDescent="0.2">
      <c r="A247" s="4" t="s">
        <v>19</v>
      </c>
      <c r="B247" s="4">
        <v>2019</v>
      </c>
      <c r="C247" s="4" t="s">
        <v>27</v>
      </c>
      <c r="D247" s="7">
        <v>120.3</v>
      </c>
    </row>
    <row r="248" spans="1:4" x14ac:dyDescent="0.2">
      <c r="A248" s="4" t="s">
        <v>20</v>
      </c>
      <c r="B248" s="4">
        <v>2019</v>
      </c>
      <c r="C248" s="4" t="s">
        <v>27</v>
      </c>
      <c r="D248" s="7">
        <v>32.299999999999997</v>
      </c>
    </row>
    <row r="249" spans="1:4" x14ac:dyDescent="0.2">
      <c r="A249" s="4" t="s">
        <v>21</v>
      </c>
      <c r="B249" s="4">
        <v>2019</v>
      </c>
      <c r="C249" s="4" t="s">
        <v>27</v>
      </c>
      <c r="D249" s="7">
        <v>101.3</v>
      </c>
    </row>
    <row r="250" spans="1:4" x14ac:dyDescent="0.2">
      <c r="A250" s="4" t="s">
        <v>22</v>
      </c>
      <c r="B250" s="4">
        <v>2019</v>
      </c>
      <c r="C250" s="4" t="s">
        <v>27</v>
      </c>
      <c r="D250" s="7">
        <v>91.5</v>
      </c>
    </row>
    <row r="251" spans="1:4" x14ac:dyDescent="0.2">
      <c r="A251" s="4" t="s">
        <v>23</v>
      </c>
      <c r="B251" s="4">
        <v>2019</v>
      </c>
      <c r="C251" s="4" t="s">
        <v>27</v>
      </c>
      <c r="D251" s="7">
        <v>20.5</v>
      </c>
    </row>
    <row r="252" spans="1:4" x14ac:dyDescent="0.2">
      <c r="A252" s="4" t="s">
        <v>24</v>
      </c>
      <c r="B252" s="4">
        <v>2019</v>
      </c>
      <c r="C252" s="4" t="s">
        <v>27</v>
      </c>
      <c r="D252" s="7">
        <v>28.3</v>
      </c>
    </row>
    <row r="253" spans="1:4" x14ac:dyDescent="0.2">
      <c r="A253" s="4" t="s">
        <v>25</v>
      </c>
      <c r="B253" s="4">
        <v>2019</v>
      </c>
      <c r="C253" s="4" t="s">
        <v>27</v>
      </c>
      <c r="D253" s="7">
        <v>120.7</v>
      </c>
    </row>
    <row r="254" spans="1:4" x14ac:dyDescent="0.2">
      <c r="A254" s="4" t="s">
        <v>5</v>
      </c>
      <c r="B254" s="4">
        <v>1999</v>
      </c>
      <c r="C254" s="4" t="s">
        <v>28</v>
      </c>
      <c r="D254" s="7">
        <v>395</v>
      </c>
    </row>
    <row r="255" spans="1:4" x14ac:dyDescent="0.2">
      <c r="A255" s="4" t="s">
        <v>6</v>
      </c>
      <c r="B255" s="4">
        <v>1999</v>
      </c>
      <c r="C255" s="4" t="s">
        <v>28</v>
      </c>
      <c r="D255" s="7">
        <v>15.4</v>
      </c>
    </row>
    <row r="256" spans="1:4" x14ac:dyDescent="0.2">
      <c r="A256" s="4" t="s">
        <v>7</v>
      </c>
      <c r="B256" s="4">
        <v>1999</v>
      </c>
      <c r="C256" s="4" t="s">
        <v>28</v>
      </c>
      <c r="D256" s="7">
        <v>182.6</v>
      </c>
    </row>
    <row r="257" spans="1:4" x14ac:dyDescent="0.2">
      <c r="A257" s="4" t="s">
        <v>8</v>
      </c>
      <c r="B257" s="4">
        <v>1999</v>
      </c>
      <c r="C257" s="4" t="s">
        <v>28</v>
      </c>
      <c r="D257" s="7">
        <v>877.6</v>
      </c>
    </row>
    <row r="258" spans="1:4" x14ac:dyDescent="0.2">
      <c r="A258" s="4" t="s">
        <v>9</v>
      </c>
      <c r="B258" s="4">
        <v>1999</v>
      </c>
      <c r="C258" s="4" t="s">
        <v>28</v>
      </c>
      <c r="D258" s="7">
        <v>98</v>
      </c>
    </row>
    <row r="259" spans="1:4" x14ac:dyDescent="0.2">
      <c r="A259" s="4" t="s">
        <v>10</v>
      </c>
      <c r="B259" s="4">
        <v>1999</v>
      </c>
      <c r="C259" s="4" t="s">
        <v>28</v>
      </c>
      <c r="D259" s="7">
        <v>20.5</v>
      </c>
    </row>
    <row r="260" spans="1:4" x14ac:dyDescent="0.2">
      <c r="A260" s="4" t="s">
        <v>11</v>
      </c>
      <c r="B260" s="4">
        <v>1999</v>
      </c>
      <c r="C260" s="4" t="s">
        <v>28</v>
      </c>
      <c r="D260" s="7">
        <v>379.6</v>
      </c>
    </row>
    <row r="261" spans="1:4" x14ac:dyDescent="0.2">
      <c r="A261" s="4" t="s">
        <v>12</v>
      </c>
      <c r="B261" s="4">
        <v>1999</v>
      </c>
      <c r="C261" s="4" t="s">
        <v>28</v>
      </c>
      <c r="D261" s="7">
        <v>263.8</v>
      </c>
    </row>
    <row r="262" spans="1:4" x14ac:dyDescent="0.2">
      <c r="A262" s="4" t="s">
        <v>13</v>
      </c>
      <c r="B262" s="4">
        <v>1999</v>
      </c>
      <c r="C262" s="4" t="s">
        <v>28</v>
      </c>
      <c r="D262" s="7">
        <v>36.1</v>
      </c>
    </row>
    <row r="263" spans="1:4" x14ac:dyDescent="0.2">
      <c r="A263" s="4" t="s">
        <v>14</v>
      </c>
      <c r="B263" s="4">
        <v>1999</v>
      </c>
      <c r="C263" s="4" t="s">
        <v>28</v>
      </c>
      <c r="D263" s="7">
        <v>127.8</v>
      </c>
    </row>
    <row r="264" spans="1:4" x14ac:dyDescent="0.2">
      <c r="A264" s="4" t="s">
        <v>15</v>
      </c>
      <c r="B264" s="4">
        <v>1999</v>
      </c>
      <c r="C264" s="4" t="s">
        <v>28</v>
      </c>
      <c r="D264" s="7">
        <v>317</v>
      </c>
    </row>
    <row r="265" spans="1:4" x14ac:dyDescent="0.2">
      <c r="A265" s="4" t="s">
        <v>16</v>
      </c>
      <c r="B265" s="4">
        <v>1999</v>
      </c>
      <c r="C265" s="4" t="s">
        <v>28</v>
      </c>
      <c r="D265" s="7">
        <v>136</v>
      </c>
    </row>
    <row r="266" spans="1:4" x14ac:dyDescent="0.2">
      <c r="A266" s="4" t="s">
        <v>17</v>
      </c>
      <c r="B266" s="4">
        <v>1999</v>
      </c>
      <c r="C266" s="4" t="s">
        <v>28</v>
      </c>
      <c r="D266" s="7">
        <v>59</v>
      </c>
    </row>
    <row r="267" spans="1:4" x14ac:dyDescent="0.2">
      <c r="A267" s="4" t="s">
        <v>18</v>
      </c>
      <c r="B267" s="4">
        <v>1999</v>
      </c>
      <c r="C267" s="4" t="s">
        <v>28</v>
      </c>
      <c r="D267" s="7">
        <v>53.9</v>
      </c>
    </row>
    <row r="268" spans="1:4" x14ac:dyDescent="0.2">
      <c r="A268" s="4" t="s">
        <v>19</v>
      </c>
      <c r="B268" s="4">
        <v>1999</v>
      </c>
      <c r="C268" s="4" t="s">
        <v>28</v>
      </c>
      <c r="D268" s="7">
        <v>418.4</v>
      </c>
    </row>
    <row r="269" spans="1:4" x14ac:dyDescent="0.2">
      <c r="A269" s="4" t="s">
        <v>20</v>
      </c>
      <c r="B269" s="4">
        <v>1999</v>
      </c>
      <c r="C269" s="4" t="s">
        <v>28</v>
      </c>
      <c r="D269" s="7">
        <v>123.2</v>
      </c>
    </row>
    <row r="270" spans="1:4" x14ac:dyDescent="0.2">
      <c r="A270" s="4" t="s">
        <v>21</v>
      </c>
      <c r="B270" s="4">
        <v>1999</v>
      </c>
      <c r="C270" s="4" t="s">
        <v>28</v>
      </c>
      <c r="D270" s="7">
        <v>425.3</v>
      </c>
    </row>
    <row r="271" spans="1:4" x14ac:dyDescent="0.2">
      <c r="A271" s="4" t="s">
        <v>22</v>
      </c>
      <c r="B271" s="4">
        <v>1999</v>
      </c>
      <c r="C271" s="4" t="s">
        <v>28</v>
      </c>
      <c r="D271" s="7">
        <v>369.8</v>
      </c>
    </row>
    <row r="272" spans="1:4" x14ac:dyDescent="0.2">
      <c r="A272" s="4" t="s">
        <v>23</v>
      </c>
      <c r="B272" s="4">
        <v>1999</v>
      </c>
      <c r="C272" s="4" t="s">
        <v>28</v>
      </c>
      <c r="D272" s="7">
        <v>80.5</v>
      </c>
    </row>
    <row r="273" spans="1:4" x14ac:dyDescent="0.2">
      <c r="A273" s="4" t="s">
        <v>24</v>
      </c>
      <c r="B273" s="4">
        <v>1999</v>
      </c>
      <c r="C273" s="4" t="s">
        <v>28</v>
      </c>
      <c r="D273" s="7">
        <v>126.30000000000013</v>
      </c>
    </row>
    <row r="274" spans="1:4" x14ac:dyDescent="0.2">
      <c r="A274" s="4" t="s">
        <v>25</v>
      </c>
      <c r="B274" s="4">
        <v>1999</v>
      </c>
      <c r="C274" s="4" t="s">
        <v>28</v>
      </c>
      <c r="D274" s="7">
        <v>510.3</v>
      </c>
    </row>
    <row r="275" spans="1:4" x14ac:dyDescent="0.2">
      <c r="A275" s="4" t="s">
        <v>5</v>
      </c>
      <c r="B275" s="4">
        <v>2011</v>
      </c>
      <c r="C275" s="4" t="s">
        <v>28</v>
      </c>
      <c r="D275" s="7">
        <v>439.9</v>
      </c>
    </row>
    <row r="276" spans="1:4" x14ac:dyDescent="0.2">
      <c r="A276" s="4" t="s">
        <v>6</v>
      </c>
      <c r="B276" s="4">
        <v>2011</v>
      </c>
      <c r="C276" s="4" t="s">
        <v>28</v>
      </c>
      <c r="D276" s="7">
        <v>14.5</v>
      </c>
    </row>
    <row r="277" spans="1:4" x14ac:dyDescent="0.2">
      <c r="A277" s="4" t="s">
        <v>7</v>
      </c>
      <c r="B277" s="4">
        <v>2011</v>
      </c>
      <c r="C277" s="4" t="s">
        <v>28</v>
      </c>
      <c r="D277" s="7">
        <v>199.20000000000002</v>
      </c>
    </row>
    <row r="278" spans="1:4" x14ac:dyDescent="0.2">
      <c r="A278" s="4" t="s">
        <v>8</v>
      </c>
      <c r="B278" s="4">
        <v>2011</v>
      </c>
      <c r="C278" s="4" t="s">
        <v>28</v>
      </c>
      <c r="D278" s="7">
        <v>1041.5999999999999</v>
      </c>
    </row>
    <row r="279" spans="1:4" x14ac:dyDescent="0.2">
      <c r="A279" s="4" t="s">
        <v>9</v>
      </c>
      <c r="B279" s="4">
        <v>2011</v>
      </c>
      <c r="C279" s="4" t="s">
        <v>28</v>
      </c>
      <c r="D279" s="7">
        <v>126.7</v>
      </c>
    </row>
    <row r="280" spans="1:4" x14ac:dyDescent="0.2">
      <c r="A280" s="4" t="s">
        <v>10</v>
      </c>
      <c r="B280" s="4">
        <v>2011</v>
      </c>
      <c r="C280" s="4" t="s">
        <v>28</v>
      </c>
      <c r="D280" s="7">
        <v>22.8</v>
      </c>
    </row>
    <row r="281" spans="1:4" x14ac:dyDescent="0.2">
      <c r="A281" s="4" t="s">
        <v>11</v>
      </c>
      <c r="B281" s="4">
        <v>2011</v>
      </c>
      <c r="C281" s="4" t="s">
        <v>28</v>
      </c>
      <c r="D281" s="7">
        <v>451.29999999999995</v>
      </c>
    </row>
    <row r="282" spans="1:4" x14ac:dyDescent="0.2">
      <c r="A282" s="4" t="s">
        <v>12</v>
      </c>
      <c r="B282" s="4">
        <v>2011</v>
      </c>
      <c r="C282" s="4" t="s">
        <v>28</v>
      </c>
      <c r="D282" s="7">
        <v>323.40000000000003</v>
      </c>
    </row>
    <row r="283" spans="1:4" x14ac:dyDescent="0.2">
      <c r="A283" s="4" t="s">
        <v>13</v>
      </c>
      <c r="B283" s="4">
        <v>2011</v>
      </c>
      <c r="C283" s="4" t="s">
        <v>28</v>
      </c>
      <c r="D283" s="7">
        <v>44.400000000000006</v>
      </c>
    </row>
    <row r="284" spans="1:4" x14ac:dyDescent="0.2">
      <c r="A284" s="4" t="s">
        <v>14</v>
      </c>
      <c r="B284" s="4">
        <v>2011</v>
      </c>
      <c r="C284" s="4" t="s">
        <v>28</v>
      </c>
      <c r="D284" s="7">
        <v>163</v>
      </c>
    </row>
    <row r="285" spans="1:4" x14ac:dyDescent="0.2">
      <c r="A285" s="4" t="s">
        <v>15</v>
      </c>
      <c r="B285" s="4">
        <v>2011</v>
      </c>
      <c r="C285" s="4" t="s">
        <v>28</v>
      </c>
      <c r="D285" s="7">
        <v>378.90000000000003</v>
      </c>
    </row>
    <row r="286" spans="1:4" x14ac:dyDescent="0.2">
      <c r="A286" s="4" t="s">
        <v>16</v>
      </c>
      <c r="B286" s="4">
        <v>2011</v>
      </c>
      <c r="C286" s="4" t="s">
        <v>28</v>
      </c>
      <c r="D286" s="7">
        <v>159.6</v>
      </c>
    </row>
    <row r="287" spans="1:4" x14ac:dyDescent="0.2">
      <c r="A287" s="4" t="s">
        <v>17</v>
      </c>
      <c r="B287" s="4">
        <v>2011</v>
      </c>
      <c r="C287" s="4" t="s">
        <v>28</v>
      </c>
      <c r="D287" s="7">
        <v>71.3</v>
      </c>
    </row>
    <row r="288" spans="1:4" x14ac:dyDescent="0.2">
      <c r="A288" s="4" t="s">
        <v>18</v>
      </c>
      <c r="B288" s="4">
        <v>2011</v>
      </c>
      <c r="C288" s="4" t="s">
        <v>28</v>
      </c>
      <c r="D288" s="7">
        <v>54.1</v>
      </c>
    </row>
    <row r="289" spans="1:4" x14ac:dyDescent="0.2">
      <c r="A289" s="4" t="s">
        <v>19</v>
      </c>
      <c r="B289" s="4">
        <v>2011</v>
      </c>
      <c r="C289" s="4" t="s">
        <v>28</v>
      </c>
      <c r="D289" s="7">
        <v>533.6</v>
      </c>
    </row>
    <row r="290" spans="1:4" x14ac:dyDescent="0.2">
      <c r="A290" s="4" t="s">
        <v>20</v>
      </c>
      <c r="B290" s="4">
        <v>2011</v>
      </c>
      <c r="C290" s="4" t="s">
        <v>28</v>
      </c>
      <c r="D290" s="7">
        <v>124.7</v>
      </c>
    </row>
    <row r="291" spans="1:4" x14ac:dyDescent="0.2">
      <c r="A291" s="4" t="s">
        <v>21</v>
      </c>
      <c r="B291" s="4">
        <v>2011</v>
      </c>
      <c r="C291" s="4" t="s">
        <v>28</v>
      </c>
      <c r="D291" s="7">
        <v>488.90000000000003</v>
      </c>
    </row>
    <row r="292" spans="1:4" x14ac:dyDescent="0.2">
      <c r="A292" s="4" t="s">
        <v>22</v>
      </c>
      <c r="B292" s="4">
        <v>2011</v>
      </c>
      <c r="C292" s="4" t="s">
        <v>28</v>
      </c>
      <c r="D292" s="7">
        <v>418.2</v>
      </c>
    </row>
    <row r="293" spans="1:4" x14ac:dyDescent="0.2">
      <c r="A293" s="4" t="s">
        <v>23</v>
      </c>
      <c r="B293" s="4">
        <v>2011</v>
      </c>
      <c r="C293" s="4" t="s">
        <v>28</v>
      </c>
      <c r="D293" s="7">
        <v>96.7</v>
      </c>
    </row>
    <row r="294" spans="1:4" x14ac:dyDescent="0.2">
      <c r="A294" s="4" t="s">
        <v>24</v>
      </c>
      <c r="B294" s="4">
        <v>2011</v>
      </c>
      <c r="C294" s="4" t="s">
        <v>28</v>
      </c>
      <c r="D294" s="7">
        <v>155.6</v>
      </c>
    </row>
    <row r="295" spans="1:4" x14ac:dyDescent="0.2">
      <c r="A295" s="4" t="s">
        <v>25</v>
      </c>
      <c r="B295" s="4">
        <v>2011</v>
      </c>
      <c r="C295" s="4" t="s">
        <v>28</v>
      </c>
      <c r="D295" s="7">
        <v>635.4</v>
      </c>
    </row>
    <row r="296" spans="1:4" x14ac:dyDescent="0.2">
      <c r="A296" s="4" t="s">
        <v>5</v>
      </c>
      <c r="B296" s="4">
        <v>2012</v>
      </c>
      <c r="C296" s="4" t="s">
        <v>28</v>
      </c>
      <c r="D296" s="7">
        <v>443.90000000000003</v>
      </c>
    </row>
    <row r="297" spans="1:4" x14ac:dyDescent="0.2">
      <c r="A297" s="4" t="s">
        <v>6</v>
      </c>
      <c r="B297" s="4">
        <v>2012</v>
      </c>
      <c r="C297" s="4" t="s">
        <v>28</v>
      </c>
      <c r="D297" s="7">
        <v>14</v>
      </c>
    </row>
    <row r="298" spans="1:4" x14ac:dyDescent="0.2">
      <c r="A298" s="4" t="s">
        <v>7</v>
      </c>
      <c r="B298" s="4">
        <v>2012</v>
      </c>
      <c r="C298" s="4" t="s">
        <v>28</v>
      </c>
      <c r="D298" s="7">
        <v>199.9</v>
      </c>
    </row>
    <row r="299" spans="1:4" x14ac:dyDescent="0.2">
      <c r="A299" s="4" t="s">
        <v>8</v>
      </c>
      <c r="B299" s="4">
        <v>2012</v>
      </c>
      <c r="C299" s="4" t="s">
        <v>28</v>
      </c>
      <c r="D299" s="7">
        <v>1095.3</v>
      </c>
    </row>
    <row r="300" spans="1:4" x14ac:dyDescent="0.2">
      <c r="A300" s="4" t="s">
        <v>9</v>
      </c>
      <c r="B300" s="4">
        <v>2012</v>
      </c>
      <c r="C300" s="4" t="s">
        <v>28</v>
      </c>
      <c r="D300" s="7">
        <v>131.6</v>
      </c>
    </row>
    <row r="301" spans="1:4" x14ac:dyDescent="0.2">
      <c r="A301" s="4" t="s">
        <v>10</v>
      </c>
      <c r="B301" s="4">
        <v>2012</v>
      </c>
      <c r="C301" s="4" t="s">
        <v>28</v>
      </c>
      <c r="D301" s="7">
        <v>24.4</v>
      </c>
    </row>
    <row r="302" spans="1:4" x14ac:dyDescent="0.2">
      <c r="A302" s="4" t="s">
        <v>11</v>
      </c>
      <c r="B302" s="4">
        <v>2012</v>
      </c>
      <c r="C302" s="4" t="s">
        <v>28</v>
      </c>
      <c r="D302" s="7">
        <v>465.8</v>
      </c>
    </row>
    <row r="303" spans="1:4" x14ac:dyDescent="0.2">
      <c r="A303" s="4" t="s">
        <v>12</v>
      </c>
      <c r="B303" s="4">
        <v>2012</v>
      </c>
      <c r="C303" s="4" t="s">
        <v>28</v>
      </c>
      <c r="D303" s="7">
        <v>326</v>
      </c>
    </row>
    <row r="304" spans="1:4" x14ac:dyDescent="0.2">
      <c r="A304" s="4" t="s">
        <v>13</v>
      </c>
      <c r="B304" s="4">
        <v>2012</v>
      </c>
      <c r="C304" s="4" t="s">
        <v>28</v>
      </c>
      <c r="D304" s="7">
        <v>43.6</v>
      </c>
    </row>
    <row r="305" spans="1:4" x14ac:dyDescent="0.2">
      <c r="A305" s="4" t="s">
        <v>14</v>
      </c>
      <c r="B305" s="4">
        <v>2012</v>
      </c>
      <c r="C305" s="4" t="s">
        <v>28</v>
      </c>
      <c r="D305" s="7">
        <v>156.80000000000001</v>
      </c>
    </row>
    <row r="306" spans="1:4" x14ac:dyDescent="0.2">
      <c r="A306" s="4" t="s">
        <v>15</v>
      </c>
      <c r="B306" s="4">
        <v>2012</v>
      </c>
      <c r="C306" s="4" t="s">
        <v>28</v>
      </c>
      <c r="D306" s="7">
        <v>368.8</v>
      </c>
    </row>
    <row r="307" spans="1:4" x14ac:dyDescent="0.2">
      <c r="A307" s="4" t="s">
        <v>16</v>
      </c>
      <c r="B307" s="4">
        <v>2012</v>
      </c>
      <c r="C307" s="4" t="s">
        <v>28</v>
      </c>
      <c r="D307" s="7">
        <v>164.1</v>
      </c>
    </row>
    <row r="308" spans="1:4" x14ac:dyDescent="0.2">
      <c r="A308" s="4" t="s">
        <v>17</v>
      </c>
      <c r="B308" s="4">
        <v>2012</v>
      </c>
      <c r="C308" s="4" t="s">
        <v>28</v>
      </c>
      <c r="D308" s="7">
        <v>75.5</v>
      </c>
    </row>
    <row r="309" spans="1:4" x14ac:dyDescent="0.2">
      <c r="A309" s="4" t="s">
        <v>18</v>
      </c>
      <c r="B309" s="4">
        <v>2012</v>
      </c>
      <c r="C309" s="4" t="s">
        <v>28</v>
      </c>
      <c r="D309" s="7">
        <v>56.6</v>
      </c>
    </row>
    <row r="310" spans="1:4" x14ac:dyDescent="0.2">
      <c r="A310" s="4" t="s">
        <v>19</v>
      </c>
      <c r="B310" s="4">
        <v>2012</v>
      </c>
      <c r="C310" s="4" t="s">
        <v>28</v>
      </c>
      <c r="D310" s="7">
        <v>559</v>
      </c>
    </row>
    <row r="311" spans="1:4" x14ac:dyDescent="0.2">
      <c r="A311" s="4" t="s">
        <v>20</v>
      </c>
      <c r="B311" s="4">
        <v>2012</v>
      </c>
      <c r="C311" s="4" t="s">
        <v>28</v>
      </c>
      <c r="D311" s="7">
        <v>117.2</v>
      </c>
    </row>
    <row r="312" spans="1:4" x14ac:dyDescent="0.2">
      <c r="A312" s="4" t="s">
        <v>21</v>
      </c>
      <c r="B312" s="4">
        <v>2012</v>
      </c>
      <c r="C312" s="4" t="s">
        <v>28</v>
      </c>
      <c r="D312" s="7">
        <v>490.9</v>
      </c>
    </row>
    <row r="313" spans="1:4" x14ac:dyDescent="0.2">
      <c r="A313" s="4" t="s">
        <v>22</v>
      </c>
      <c r="B313" s="4">
        <v>2012</v>
      </c>
      <c r="C313" s="4" t="s">
        <v>28</v>
      </c>
      <c r="D313" s="7">
        <v>426.6</v>
      </c>
    </row>
    <row r="314" spans="1:4" x14ac:dyDescent="0.2">
      <c r="A314" s="4" t="s">
        <v>23</v>
      </c>
      <c r="B314" s="4">
        <v>2012</v>
      </c>
      <c r="C314" s="4" t="s">
        <v>28</v>
      </c>
      <c r="D314" s="7">
        <v>95.5</v>
      </c>
    </row>
    <row r="315" spans="1:4" x14ac:dyDescent="0.2">
      <c r="A315" s="4" t="s">
        <v>24</v>
      </c>
      <c r="B315" s="4">
        <v>2012</v>
      </c>
      <c r="C315" s="4" t="s">
        <v>28</v>
      </c>
      <c r="D315" s="7">
        <v>153.1</v>
      </c>
    </row>
    <row r="316" spans="1:4" x14ac:dyDescent="0.2">
      <c r="A316" s="4" t="s">
        <v>25</v>
      </c>
      <c r="B316" s="4">
        <v>2012</v>
      </c>
      <c r="C316" s="4" t="s">
        <v>28</v>
      </c>
      <c r="D316" s="7">
        <v>648.90000000000009</v>
      </c>
    </row>
    <row r="317" spans="1:4" x14ac:dyDescent="0.2">
      <c r="A317" s="4" t="s">
        <v>5</v>
      </c>
      <c r="B317" s="4">
        <v>2019</v>
      </c>
      <c r="C317" s="4" t="s">
        <v>28</v>
      </c>
      <c r="D317" s="7">
        <v>450.3</v>
      </c>
    </row>
    <row r="318" spans="1:4" x14ac:dyDescent="0.2">
      <c r="A318" s="4" t="s">
        <v>6</v>
      </c>
      <c r="B318" s="4">
        <v>2019</v>
      </c>
      <c r="C318" s="4" t="s">
        <v>28</v>
      </c>
      <c r="D318" s="7">
        <v>14.7</v>
      </c>
    </row>
    <row r="319" spans="1:4" x14ac:dyDescent="0.2">
      <c r="A319" s="4" t="s">
        <v>7</v>
      </c>
      <c r="B319" s="4">
        <v>2019</v>
      </c>
      <c r="C319" s="4" t="s">
        <v>28</v>
      </c>
      <c r="D319" s="7">
        <v>190.9</v>
      </c>
    </row>
    <row r="320" spans="1:4" x14ac:dyDescent="0.2">
      <c r="A320" s="4" t="s">
        <v>8</v>
      </c>
      <c r="B320" s="4">
        <v>2019</v>
      </c>
      <c r="C320" s="4" t="s">
        <v>28</v>
      </c>
      <c r="D320" s="7">
        <v>1145.0999999999999</v>
      </c>
    </row>
    <row r="321" spans="1:4" x14ac:dyDescent="0.2">
      <c r="A321" s="4" t="s">
        <v>9</v>
      </c>
      <c r="B321" s="4">
        <v>2019</v>
      </c>
      <c r="C321" s="4" t="s">
        <v>28</v>
      </c>
      <c r="D321" s="7">
        <v>130.5</v>
      </c>
    </row>
    <row r="322" spans="1:4" x14ac:dyDescent="0.2">
      <c r="A322" s="4" t="s">
        <v>10</v>
      </c>
      <c r="B322" s="4">
        <v>2019</v>
      </c>
      <c r="C322" s="4" t="s">
        <v>28</v>
      </c>
      <c r="D322" s="7">
        <v>29.6</v>
      </c>
    </row>
    <row r="323" spans="1:4" x14ac:dyDescent="0.2">
      <c r="A323" s="4" t="s">
        <v>11</v>
      </c>
      <c r="B323" s="4">
        <v>2019</v>
      </c>
      <c r="C323" s="4" t="s">
        <v>28</v>
      </c>
      <c r="D323" s="7">
        <v>488.6</v>
      </c>
    </row>
    <row r="324" spans="1:4" x14ac:dyDescent="0.2">
      <c r="A324" s="4" t="s">
        <v>12</v>
      </c>
      <c r="B324" s="4">
        <v>2019</v>
      </c>
      <c r="C324" s="4" t="s">
        <v>28</v>
      </c>
      <c r="D324" s="7">
        <v>333.5</v>
      </c>
    </row>
    <row r="325" spans="1:4" x14ac:dyDescent="0.2">
      <c r="A325" s="4" t="s">
        <v>13</v>
      </c>
      <c r="B325" s="4">
        <v>2019</v>
      </c>
      <c r="C325" s="4" t="s">
        <v>28</v>
      </c>
      <c r="D325" s="7">
        <v>46.5</v>
      </c>
    </row>
    <row r="326" spans="1:4" x14ac:dyDescent="0.2">
      <c r="A326" s="4" t="s">
        <v>14</v>
      </c>
      <c r="B326" s="4">
        <v>2019</v>
      </c>
      <c r="C326" s="4" t="s">
        <v>28</v>
      </c>
      <c r="D326" s="7">
        <v>155.80000000000001</v>
      </c>
    </row>
    <row r="327" spans="1:4" x14ac:dyDescent="0.2">
      <c r="A327" s="4" t="s">
        <v>15</v>
      </c>
      <c r="B327" s="4">
        <v>2019</v>
      </c>
      <c r="C327" s="4" t="s">
        <v>28</v>
      </c>
      <c r="D327" s="7">
        <v>386.1</v>
      </c>
    </row>
    <row r="328" spans="1:4" x14ac:dyDescent="0.2">
      <c r="A328" s="4" t="s">
        <v>16</v>
      </c>
      <c r="B328" s="4">
        <v>2019</v>
      </c>
      <c r="C328" s="4" t="s">
        <v>28</v>
      </c>
      <c r="D328" s="7">
        <v>176</v>
      </c>
    </row>
    <row r="329" spans="1:4" x14ac:dyDescent="0.2">
      <c r="A329" s="4" t="s">
        <v>17</v>
      </c>
      <c r="B329" s="4">
        <v>2019</v>
      </c>
      <c r="C329" s="4" t="s">
        <v>28</v>
      </c>
      <c r="D329" s="7">
        <v>79.5</v>
      </c>
    </row>
    <row r="330" spans="1:4" x14ac:dyDescent="0.2">
      <c r="A330" s="4" t="s">
        <v>18</v>
      </c>
      <c r="B330" s="4">
        <v>2019</v>
      </c>
      <c r="C330" s="4" t="s">
        <v>28</v>
      </c>
      <c r="D330" s="7">
        <v>62.3</v>
      </c>
    </row>
    <row r="331" spans="1:4" x14ac:dyDescent="0.2">
      <c r="A331" s="4" t="s">
        <v>19</v>
      </c>
      <c r="B331" s="4">
        <v>2019</v>
      </c>
      <c r="C331" s="4" t="s">
        <v>28</v>
      </c>
      <c r="D331" s="7">
        <v>566.79999999999995</v>
      </c>
    </row>
    <row r="332" spans="1:4" x14ac:dyDescent="0.2">
      <c r="A332" s="4" t="s">
        <v>20</v>
      </c>
      <c r="B332" s="4">
        <v>2019</v>
      </c>
      <c r="C332" s="4" t="s">
        <v>28</v>
      </c>
      <c r="D332" s="7">
        <v>124.60000000000001</v>
      </c>
    </row>
    <row r="333" spans="1:4" x14ac:dyDescent="0.2">
      <c r="A333" s="4" t="s">
        <v>21</v>
      </c>
      <c r="B333" s="4">
        <v>2019</v>
      </c>
      <c r="C333" s="4" t="s">
        <v>28</v>
      </c>
      <c r="D333" s="7">
        <v>508.90000000000003</v>
      </c>
    </row>
    <row r="334" spans="1:4" x14ac:dyDescent="0.2">
      <c r="A334" s="4" t="s">
        <v>22</v>
      </c>
      <c r="B334" s="4">
        <v>2019</v>
      </c>
      <c r="C334" s="4" t="s">
        <v>28</v>
      </c>
      <c r="D334" s="7">
        <v>434</v>
      </c>
    </row>
    <row r="335" spans="1:4" x14ac:dyDescent="0.2">
      <c r="A335" s="4" t="s">
        <v>23</v>
      </c>
      <c r="B335" s="4">
        <v>2019</v>
      </c>
      <c r="C335" s="4" t="s">
        <v>28</v>
      </c>
      <c r="D335" s="7">
        <v>98.4</v>
      </c>
    </row>
    <row r="336" spans="1:4" x14ac:dyDescent="0.2">
      <c r="A336" s="4" t="s">
        <v>24</v>
      </c>
      <c r="B336" s="4">
        <v>2019</v>
      </c>
      <c r="C336" s="4" t="s">
        <v>28</v>
      </c>
      <c r="D336" s="7">
        <v>159</v>
      </c>
    </row>
    <row r="337" spans="1:4" x14ac:dyDescent="0.2">
      <c r="A337" s="4" t="s">
        <v>25</v>
      </c>
      <c r="B337" s="4">
        <v>2019</v>
      </c>
      <c r="C337" s="4" t="s">
        <v>28</v>
      </c>
      <c r="D337" s="7">
        <v>710</v>
      </c>
    </row>
    <row r="338" spans="1:4" x14ac:dyDescent="0.2">
      <c r="A338" s="4" t="s">
        <v>5</v>
      </c>
      <c r="B338" s="4">
        <v>1999</v>
      </c>
      <c r="C338" s="4" t="s">
        <v>29</v>
      </c>
      <c r="D338" s="7">
        <v>166.2</v>
      </c>
    </row>
    <row r="339" spans="1:4" x14ac:dyDescent="0.2">
      <c r="A339" s="4" t="s">
        <v>6</v>
      </c>
      <c r="B339" s="4">
        <v>1999</v>
      </c>
      <c r="C339" s="4" t="s">
        <v>29</v>
      </c>
      <c r="D339" s="7">
        <v>3.9</v>
      </c>
    </row>
    <row r="340" spans="1:4" x14ac:dyDescent="0.2">
      <c r="A340" s="4" t="s">
        <v>7</v>
      </c>
      <c r="B340" s="4">
        <v>1999</v>
      </c>
      <c r="C340" s="4" t="s">
        <v>29</v>
      </c>
      <c r="D340" s="7">
        <v>73.8</v>
      </c>
    </row>
    <row r="341" spans="1:4" x14ac:dyDescent="0.2">
      <c r="A341" s="4" t="s">
        <v>8</v>
      </c>
      <c r="B341" s="4">
        <v>1999</v>
      </c>
      <c r="C341" s="4" t="s">
        <v>29</v>
      </c>
      <c r="D341" s="7">
        <v>486.2</v>
      </c>
    </row>
    <row r="342" spans="1:4" x14ac:dyDescent="0.2">
      <c r="A342" s="4" t="s">
        <v>9</v>
      </c>
      <c r="B342" s="4">
        <v>1999</v>
      </c>
      <c r="C342" s="4" t="s">
        <v>29</v>
      </c>
      <c r="D342" s="7">
        <v>34.799999999999997</v>
      </c>
    </row>
    <row r="343" spans="1:4" x14ac:dyDescent="0.2">
      <c r="A343" s="4" t="s">
        <v>10</v>
      </c>
      <c r="B343" s="4">
        <v>1999</v>
      </c>
      <c r="C343" s="4" t="s">
        <v>29</v>
      </c>
      <c r="D343" s="7">
        <v>7.4</v>
      </c>
    </row>
    <row r="344" spans="1:4" x14ac:dyDescent="0.2">
      <c r="A344" s="4" t="s">
        <v>11</v>
      </c>
      <c r="B344" s="4">
        <v>1999</v>
      </c>
      <c r="C344" s="4" t="s">
        <v>29</v>
      </c>
      <c r="D344" s="7">
        <v>116.4</v>
      </c>
    </row>
    <row r="345" spans="1:4" x14ac:dyDescent="0.2">
      <c r="A345" s="4" t="s">
        <v>12</v>
      </c>
      <c r="B345" s="4">
        <v>1999</v>
      </c>
      <c r="C345" s="4" t="s">
        <v>29</v>
      </c>
      <c r="D345" s="7">
        <v>69.3</v>
      </c>
    </row>
    <row r="346" spans="1:4" x14ac:dyDescent="0.2">
      <c r="A346" s="4" t="s">
        <v>13</v>
      </c>
      <c r="B346" s="4">
        <v>1999</v>
      </c>
      <c r="C346" s="4" t="s">
        <v>29</v>
      </c>
      <c r="D346" s="7">
        <v>8.1</v>
      </c>
    </row>
    <row r="347" spans="1:4" x14ac:dyDescent="0.2">
      <c r="A347" s="4" t="s">
        <v>14</v>
      </c>
      <c r="B347" s="4">
        <v>1999</v>
      </c>
      <c r="C347" s="4" t="s">
        <v>29</v>
      </c>
      <c r="D347" s="7">
        <v>34.9</v>
      </c>
    </row>
    <row r="348" spans="1:4" x14ac:dyDescent="0.2">
      <c r="A348" s="4" t="s">
        <v>15</v>
      </c>
      <c r="B348" s="4">
        <v>1999</v>
      </c>
      <c r="C348" s="4" t="s">
        <v>29</v>
      </c>
      <c r="D348" s="7">
        <v>95.4</v>
      </c>
    </row>
    <row r="349" spans="1:4" x14ac:dyDescent="0.2">
      <c r="A349" s="4" t="s">
        <v>16</v>
      </c>
      <c r="B349" s="4">
        <v>1999</v>
      </c>
      <c r="C349" s="4" t="s">
        <v>29</v>
      </c>
      <c r="D349" s="7">
        <v>33.1</v>
      </c>
    </row>
    <row r="350" spans="1:4" x14ac:dyDescent="0.2">
      <c r="A350" s="4" t="s">
        <v>17</v>
      </c>
      <c r="B350" s="4">
        <v>1999</v>
      </c>
      <c r="C350" s="4" t="s">
        <v>29</v>
      </c>
      <c r="D350" s="7">
        <v>14.2</v>
      </c>
    </row>
    <row r="351" spans="1:4" x14ac:dyDescent="0.2">
      <c r="A351" s="4" t="s">
        <v>18</v>
      </c>
      <c r="B351" s="4">
        <v>1999</v>
      </c>
      <c r="C351" s="4" t="s">
        <v>29</v>
      </c>
      <c r="D351" s="7">
        <v>16.100000000000001</v>
      </c>
    </row>
    <row r="352" spans="1:4" x14ac:dyDescent="0.2">
      <c r="A352" s="4" t="s">
        <v>19</v>
      </c>
      <c r="B352" s="4">
        <v>1999</v>
      </c>
      <c r="C352" s="4" t="s">
        <v>29</v>
      </c>
      <c r="D352" s="7">
        <v>161.4</v>
      </c>
    </row>
    <row r="353" spans="1:4" x14ac:dyDescent="0.2">
      <c r="A353" s="4" t="s">
        <v>20</v>
      </c>
      <c r="B353" s="4">
        <v>1999</v>
      </c>
      <c r="C353" s="4" t="s">
        <v>29</v>
      </c>
      <c r="D353" s="7">
        <v>41.4</v>
      </c>
    </row>
    <row r="354" spans="1:4" x14ac:dyDescent="0.2">
      <c r="A354" s="4" t="s">
        <v>21</v>
      </c>
      <c r="B354" s="4">
        <v>1999</v>
      </c>
      <c r="C354" s="4" t="s">
        <v>29</v>
      </c>
      <c r="D354" s="7">
        <v>163.09999999999997</v>
      </c>
    </row>
    <row r="355" spans="1:4" x14ac:dyDescent="0.2">
      <c r="A355" s="4" t="s">
        <v>22</v>
      </c>
      <c r="B355" s="4">
        <v>1999</v>
      </c>
      <c r="C355" s="4" t="s">
        <v>29</v>
      </c>
      <c r="D355" s="7">
        <v>128.19999999999999</v>
      </c>
    </row>
    <row r="356" spans="1:4" x14ac:dyDescent="0.2">
      <c r="A356" s="4" t="s">
        <v>23</v>
      </c>
      <c r="B356" s="4">
        <v>1999</v>
      </c>
      <c r="C356" s="4" t="s">
        <v>29</v>
      </c>
      <c r="D356" s="7">
        <v>24.6</v>
      </c>
    </row>
    <row r="357" spans="1:4" x14ac:dyDescent="0.2">
      <c r="A357" s="4" t="s">
        <v>24</v>
      </c>
      <c r="B357" s="4">
        <v>1999</v>
      </c>
      <c r="C357" s="4" t="s">
        <v>29</v>
      </c>
      <c r="D357" s="7">
        <v>49.699999999999989</v>
      </c>
    </row>
    <row r="358" spans="1:4" x14ac:dyDescent="0.2">
      <c r="A358" s="4" t="s">
        <v>25</v>
      </c>
      <c r="B358" s="4">
        <v>1999</v>
      </c>
      <c r="C358" s="4" t="s">
        <v>29</v>
      </c>
      <c r="D358" s="7">
        <v>268.39999999999998</v>
      </c>
    </row>
    <row r="359" spans="1:4" x14ac:dyDescent="0.2">
      <c r="A359" s="4" t="s">
        <v>5</v>
      </c>
      <c r="B359" s="4">
        <v>2011</v>
      </c>
      <c r="C359" s="4" t="s">
        <v>29</v>
      </c>
      <c r="D359" s="7">
        <v>235</v>
      </c>
    </row>
    <row r="360" spans="1:4" x14ac:dyDescent="0.2">
      <c r="A360" s="4" t="s">
        <v>6</v>
      </c>
      <c r="B360" s="4">
        <v>2011</v>
      </c>
      <c r="C360" s="4" t="s">
        <v>29</v>
      </c>
      <c r="D360" s="7">
        <v>4.5999999999999996</v>
      </c>
    </row>
    <row r="361" spans="1:4" x14ac:dyDescent="0.2">
      <c r="A361" s="4" t="s">
        <v>7</v>
      </c>
      <c r="B361" s="4">
        <v>2011</v>
      </c>
      <c r="C361" s="4" t="s">
        <v>29</v>
      </c>
      <c r="D361" s="7">
        <v>94.199999999999989</v>
      </c>
    </row>
    <row r="362" spans="1:4" x14ac:dyDescent="0.2">
      <c r="A362" s="4" t="s">
        <v>8</v>
      </c>
      <c r="B362" s="4">
        <v>2011</v>
      </c>
      <c r="C362" s="4" t="s">
        <v>29</v>
      </c>
      <c r="D362" s="7">
        <v>666.1</v>
      </c>
    </row>
    <row r="363" spans="1:4" x14ac:dyDescent="0.2">
      <c r="A363" s="4" t="s">
        <v>9</v>
      </c>
      <c r="B363" s="4">
        <v>2011</v>
      </c>
      <c r="C363" s="4" t="s">
        <v>29</v>
      </c>
      <c r="D363" s="7">
        <v>54.800000000000004</v>
      </c>
    </row>
    <row r="364" spans="1:4" x14ac:dyDescent="0.2">
      <c r="A364" s="4" t="s">
        <v>10</v>
      </c>
      <c r="B364" s="4">
        <v>2011</v>
      </c>
      <c r="C364" s="4" t="s">
        <v>29</v>
      </c>
      <c r="D364" s="7">
        <v>9.6999999999999993</v>
      </c>
    </row>
    <row r="365" spans="1:4" x14ac:dyDescent="0.2">
      <c r="A365" s="4" t="s">
        <v>11</v>
      </c>
      <c r="B365" s="4">
        <v>2011</v>
      </c>
      <c r="C365" s="4" t="s">
        <v>29</v>
      </c>
      <c r="D365" s="7">
        <v>191.60000000000002</v>
      </c>
    </row>
    <row r="366" spans="1:4" x14ac:dyDescent="0.2">
      <c r="A366" s="4" t="s">
        <v>12</v>
      </c>
      <c r="B366" s="4">
        <v>2011</v>
      </c>
      <c r="C366" s="4" t="s">
        <v>29</v>
      </c>
      <c r="D366" s="7">
        <v>147.10000000000002</v>
      </c>
    </row>
    <row r="367" spans="1:4" x14ac:dyDescent="0.2">
      <c r="A367" s="4" t="s">
        <v>13</v>
      </c>
      <c r="B367" s="4">
        <v>2011</v>
      </c>
      <c r="C367" s="4" t="s">
        <v>29</v>
      </c>
      <c r="D367" s="7">
        <v>19.600000000000001</v>
      </c>
    </row>
    <row r="368" spans="1:4" x14ac:dyDescent="0.2">
      <c r="A368" s="4" t="s">
        <v>14</v>
      </c>
      <c r="B368" s="4">
        <v>2011</v>
      </c>
      <c r="C368" s="4" t="s">
        <v>29</v>
      </c>
      <c r="D368" s="7">
        <v>58.400000000000006</v>
      </c>
    </row>
    <row r="369" spans="1:4" x14ac:dyDescent="0.2">
      <c r="A369" s="4" t="s">
        <v>15</v>
      </c>
      <c r="B369" s="4">
        <v>2011</v>
      </c>
      <c r="C369" s="4" t="s">
        <v>29</v>
      </c>
      <c r="D369" s="7">
        <v>154.6</v>
      </c>
    </row>
    <row r="370" spans="1:4" x14ac:dyDescent="0.2">
      <c r="A370" s="4" t="s">
        <v>16</v>
      </c>
      <c r="B370" s="4">
        <v>2011</v>
      </c>
      <c r="C370" s="4" t="s">
        <v>29</v>
      </c>
      <c r="D370" s="7">
        <v>72</v>
      </c>
    </row>
    <row r="371" spans="1:4" x14ac:dyDescent="0.2">
      <c r="A371" s="4" t="s">
        <v>17</v>
      </c>
      <c r="B371" s="4">
        <v>2011</v>
      </c>
      <c r="C371" s="4" t="s">
        <v>29</v>
      </c>
      <c r="D371" s="7">
        <v>23.9</v>
      </c>
    </row>
    <row r="372" spans="1:4" x14ac:dyDescent="0.2">
      <c r="A372" s="4" t="s">
        <v>18</v>
      </c>
      <c r="B372" s="4">
        <v>2011</v>
      </c>
      <c r="C372" s="4" t="s">
        <v>29</v>
      </c>
      <c r="D372" s="7">
        <v>27.799999999999997</v>
      </c>
    </row>
    <row r="373" spans="1:4" x14ac:dyDescent="0.2">
      <c r="A373" s="4" t="s">
        <v>19</v>
      </c>
      <c r="B373" s="4">
        <v>2011</v>
      </c>
      <c r="C373" s="4" t="s">
        <v>29</v>
      </c>
      <c r="D373" s="7">
        <v>234</v>
      </c>
    </row>
    <row r="374" spans="1:4" x14ac:dyDescent="0.2">
      <c r="A374" s="4" t="s">
        <v>20</v>
      </c>
      <c r="B374" s="4">
        <v>2011</v>
      </c>
      <c r="C374" s="4" t="s">
        <v>29</v>
      </c>
      <c r="D374" s="7">
        <v>57.8</v>
      </c>
    </row>
    <row r="375" spans="1:4" x14ac:dyDescent="0.2">
      <c r="A375" s="4" t="s">
        <v>21</v>
      </c>
      <c r="B375" s="4">
        <v>2011</v>
      </c>
      <c r="C375" s="4" t="s">
        <v>29</v>
      </c>
      <c r="D375" s="7">
        <v>249.9</v>
      </c>
    </row>
    <row r="376" spans="1:4" x14ac:dyDescent="0.2">
      <c r="A376" s="4" t="s">
        <v>22</v>
      </c>
      <c r="B376" s="4">
        <v>2011</v>
      </c>
      <c r="C376" s="4" t="s">
        <v>29</v>
      </c>
      <c r="D376" s="7">
        <v>204.5</v>
      </c>
    </row>
    <row r="377" spans="1:4" x14ac:dyDescent="0.2">
      <c r="A377" s="4" t="s">
        <v>23</v>
      </c>
      <c r="B377" s="4">
        <v>2011</v>
      </c>
      <c r="C377" s="4" t="s">
        <v>29</v>
      </c>
      <c r="D377" s="7">
        <v>39.700000000000003</v>
      </c>
    </row>
    <row r="378" spans="1:4" x14ac:dyDescent="0.2">
      <c r="A378" s="4" t="s">
        <v>24</v>
      </c>
      <c r="B378" s="4">
        <v>2011</v>
      </c>
      <c r="C378" s="4" t="s">
        <v>29</v>
      </c>
      <c r="D378" s="7">
        <v>60.8</v>
      </c>
    </row>
    <row r="379" spans="1:4" x14ac:dyDescent="0.2">
      <c r="A379" s="4" t="s">
        <v>25</v>
      </c>
      <c r="B379" s="4">
        <v>2011</v>
      </c>
      <c r="C379" s="4" t="s">
        <v>29</v>
      </c>
      <c r="D379" s="7">
        <v>350.1</v>
      </c>
    </row>
    <row r="380" spans="1:4" x14ac:dyDescent="0.2">
      <c r="A380" s="4" t="s">
        <v>5</v>
      </c>
      <c r="B380" s="4">
        <v>2012</v>
      </c>
      <c r="C380" s="4" t="s">
        <v>29</v>
      </c>
      <c r="D380" s="7">
        <v>230.5</v>
      </c>
    </row>
    <row r="381" spans="1:4" x14ac:dyDescent="0.2">
      <c r="A381" s="4" t="s">
        <v>6</v>
      </c>
      <c r="B381" s="4">
        <v>2012</v>
      </c>
      <c r="C381" s="4" t="s">
        <v>29</v>
      </c>
      <c r="D381" s="7">
        <v>4.9000000000000004</v>
      </c>
    </row>
    <row r="382" spans="1:4" x14ac:dyDescent="0.2">
      <c r="A382" s="4" t="s">
        <v>7</v>
      </c>
      <c r="B382" s="4">
        <v>2012</v>
      </c>
      <c r="C382" s="4" t="s">
        <v>29</v>
      </c>
      <c r="D382" s="7">
        <v>83.2</v>
      </c>
    </row>
    <row r="383" spans="1:4" x14ac:dyDescent="0.2">
      <c r="A383" s="4" t="s">
        <v>8</v>
      </c>
      <c r="B383" s="4">
        <v>2012</v>
      </c>
      <c r="C383" s="4" t="s">
        <v>29</v>
      </c>
      <c r="D383" s="7">
        <v>615.70000000000005</v>
      </c>
    </row>
    <row r="384" spans="1:4" x14ac:dyDescent="0.2">
      <c r="A384" s="4" t="s">
        <v>9</v>
      </c>
      <c r="B384" s="4">
        <v>2012</v>
      </c>
      <c r="C384" s="4" t="s">
        <v>29</v>
      </c>
      <c r="D384" s="7">
        <v>54.7</v>
      </c>
    </row>
    <row r="385" spans="1:4" x14ac:dyDescent="0.2">
      <c r="A385" s="4" t="s">
        <v>10</v>
      </c>
      <c r="B385" s="4">
        <v>2012</v>
      </c>
      <c r="C385" s="4" t="s">
        <v>29</v>
      </c>
      <c r="D385" s="7">
        <v>10.9</v>
      </c>
    </row>
    <row r="386" spans="1:4" x14ac:dyDescent="0.2">
      <c r="A386" s="4" t="s">
        <v>11</v>
      </c>
      <c r="B386" s="4">
        <v>2012</v>
      </c>
      <c r="C386" s="4" t="s">
        <v>29</v>
      </c>
      <c r="D386" s="7">
        <v>201.89999999999998</v>
      </c>
    </row>
    <row r="387" spans="1:4" x14ac:dyDescent="0.2">
      <c r="A387" s="4" t="s">
        <v>12</v>
      </c>
      <c r="B387" s="4">
        <v>2012</v>
      </c>
      <c r="C387" s="4" t="s">
        <v>29</v>
      </c>
      <c r="D387" s="7">
        <v>143.30000000000001</v>
      </c>
    </row>
    <row r="388" spans="1:4" x14ac:dyDescent="0.2">
      <c r="A388" s="4" t="s">
        <v>13</v>
      </c>
      <c r="B388" s="4">
        <v>2012</v>
      </c>
      <c r="C388" s="4" t="s">
        <v>29</v>
      </c>
      <c r="D388" s="7">
        <v>18.599999999999998</v>
      </c>
    </row>
    <row r="389" spans="1:4" x14ac:dyDescent="0.2">
      <c r="A389" s="4" t="s">
        <v>14</v>
      </c>
      <c r="B389" s="4">
        <v>2012</v>
      </c>
      <c r="C389" s="4" t="s">
        <v>29</v>
      </c>
      <c r="D389" s="7">
        <v>63.8</v>
      </c>
    </row>
    <row r="390" spans="1:4" x14ac:dyDescent="0.2">
      <c r="A390" s="4" t="s">
        <v>15</v>
      </c>
      <c r="B390" s="4">
        <v>2012</v>
      </c>
      <c r="C390" s="4" t="s">
        <v>29</v>
      </c>
      <c r="D390" s="7">
        <v>153.69999999999999</v>
      </c>
    </row>
    <row r="391" spans="1:4" x14ac:dyDescent="0.2">
      <c r="A391" s="4" t="s">
        <v>16</v>
      </c>
      <c r="B391" s="4">
        <v>2012</v>
      </c>
      <c r="C391" s="4" t="s">
        <v>29</v>
      </c>
      <c r="D391" s="7">
        <v>74.2</v>
      </c>
    </row>
    <row r="392" spans="1:4" x14ac:dyDescent="0.2">
      <c r="A392" s="4" t="s">
        <v>17</v>
      </c>
      <c r="B392" s="4">
        <v>2012</v>
      </c>
      <c r="C392" s="4" t="s">
        <v>29</v>
      </c>
      <c r="D392" s="7">
        <v>24.6</v>
      </c>
    </row>
    <row r="393" spans="1:4" x14ac:dyDescent="0.2">
      <c r="A393" s="4" t="s">
        <v>18</v>
      </c>
      <c r="B393" s="4">
        <v>2012</v>
      </c>
      <c r="C393" s="4" t="s">
        <v>29</v>
      </c>
      <c r="D393" s="7">
        <v>26.6</v>
      </c>
    </row>
    <row r="394" spans="1:4" x14ac:dyDescent="0.2">
      <c r="A394" s="4" t="s">
        <v>19</v>
      </c>
      <c r="B394" s="4">
        <v>2012</v>
      </c>
      <c r="C394" s="4" t="s">
        <v>29</v>
      </c>
      <c r="D394" s="7">
        <v>223.5</v>
      </c>
    </row>
    <row r="395" spans="1:4" x14ac:dyDescent="0.2">
      <c r="A395" s="4" t="s">
        <v>20</v>
      </c>
      <c r="B395" s="4">
        <v>2012</v>
      </c>
      <c r="C395" s="4" t="s">
        <v>29</v>
      </c>
      <c r="D395" s="7">
        <v>64</v>
      </c>
    </row>
    <row r="396" spans="1:4" x14ac:dyDescent="0.2">
      <c r="A396" s="4" t="s">
        <v>21</v>
      </c>
      <c r="B396" s="4">
        <v>2012</v>
      </c>
      <c r="C396" s="4" t="s">
        <v>29</v>
      </c>
      <c r="D396" s="7">
        <v>249</v>
      </c>
    </row>
    <row r="397" spans="1:4" x14ac:dyDescent="0.2">
      <c r="A397" s="4" t="s">
        <v>22</v>
      </c>
      <c r="B397" s="4">
        <v>2012</v>
      </c>
      <c r="C397" s="4" t="s">
        <v>29</v>
      </c>
      <c r="D397" s="7">
        <v>212.8</v>
      </c>
    </row>
    <row r="398" spans="1:4" x14ac:dyDescent="0.2">
      <c r="A398" s="4" t="s">
        <v>23</v>
      </c>
      <c r="B398" s="4">
        <v>2012</v>
      </c>
      <c r="C398" s="4" t="s">
        <v>29</v>
      </c>
      <c r="D398" s="7">
        <v>38.9</v>
      </c>
    </row>
    <row r="399" spans="1:4" x14ac:dyDescent="0.2">
      <c r="A399" s="4" t="s">
        <v>24</v>
      </c>
      <c r="B399" s="4">
        <v>2012</v>
      </c>
      <c r="C399" s="4" t="s">
        <v>29</v>
      </c>
      <c r="D399" s="7">
        <v>71.5</v>
      </c>
    </row>
    <row r="400" spans="1:4" x14ac:dyDescent="0.2">
      <c r="A400" s="4" t="s">
        <v>25</v>
      </c>
      <c r="B400" s="4">
        <v>2012</v>
      </c>
      <c r="C400" s="4" t="s">
        <v>29</v>
      </c>
      <c r="D400" s="7">
        <v>340.8</v>
      </c>
    </row>
    <row r="401" spans="1:4" x14ac:dyDescent="0.2">
      <c r="A401" s="4" t="s">
        <v>5</v>
      </c>
      <c r="B401" s="4">
        <v>2019</v>
      </c>
      <c r="C401" s="4" t="s">
        <v>29</v>
      </c>
      <c r="D401" s="7">
        <v>260.10000000000002</v>
      </c>
    </row>
    <row r="402" spans="1:4" x14ac:dyDescent="0.2">
      <c r="A402" s="4" t="s">
        <v>6</v>
      </c>
      <c r="B402" s="4">
        <v>2019</v>
      </c>
      <c r="C402" s="4" t="s">
        <v>29</v>
      </c>
      <c r="D402" s="7">
        <v>4.9000000000000004</v>
      </c>
    </row>
    <row r="403" spans="1:4" x14ac:dyDescent="0.2">
      <c r="A403" s="4" t="s">
        <v>7</v>
      </c>
      <c r="B403" s="4">
        <v>2019</v>
      </c>
      <c r="C403" s="4" t="s">
        <v>29</v>
      </c>
      <c r="D403" s="7">
        <v>83</v>
      </c>
    </row>
    <row r="404" spans="1:4" x14ac:dyDescent="0.2">
      <c r="A404" s="4" t="s">
        <v>8</v>
      </c>
      <c r="B404" s="4">
        <v>2019</v>
      </c>
      <c r="C404" s="4" t="s">
        <v>29</v>
      </c>
      <c r="D404" s="7">
        <v>757</v>
      </c>
    </row>
    <row r="405" spans="1:4" x14ac:dyDescent="0.2">
      <c r="A405" s="4" t="s">
        <v>9</v>
      </c>
      <c r="B405" s="4">
        <v>2019</v>
      </c>
      <c r="C405" s="4" t="s">
        <v>29</v>
      </c>
      <c r="D405" s="7">
        <v>58.900000000000006</v>
      </c>
    </row>
    <row r="406" spans="1:4" x14ac:dyDescent="0.2">
      <c r="A406" s="4" t="s">
        <v>10</v>
      </c>
      <c r="B406" s="4">
        <v>2019</v>
      </c>
      <c r="C406" s="4" t="s">
        <v>29</v>
      </c>
      <c r="D406" s="7">
        <v>9.5</v>
      </c>
    </row>
    <row r="407" spans="1:4" x14ac:dyDescent="0.2">
      <c r="A407" s="4" t="s">
        <v>11</v>
      </c>
      <c r="B407" s="4">
        <v>2019</v>
      </c>
      <c r="C407" s="4" t="s">
        <v>29</v>
      </c>
      <c r="D407" s="7">
        <v>193.1</v>
      </c>
    </row>
    <row r="408" spans="1:4" x14ac:dyDescent="0.2">
      <c r="A408" s="4" t="s">
        <v>12</v>
      </c>
      <c r="B408" s="4">
        <v>2019</v>
      </c>
      <c r="C408" s="4" t="s">
        <v>29</v>
      </c>
      <c r="D408" s="7">
        <v>147.19999999999999</v>
      </c>
    </row>
    <row r="409" spans="1:4" x14ac:dyDescent="0.2">
      <c r="A409" s="4" t="s">
        <v>13</v>
      </c>
      <c r="B409" s="4">
        <v>2019</v>
      </c>
      <c r="C409" s="4" t="s">
        <v>29</v>
      </c>
      <c r="D409" s="7">
        <v>22.1</v>
      </c>
    </row>
    <row r="410" spans="1:4" x14ac:dyDescent="0.2">
      <c r="A410" s="4" t="s">
        <v>14</v>
      </c>
      <c r="B410" s="4">
        <v>2019</v>
      </c>
      <c r="C410" s="4" t="s">
        <v>29</v>
      </c>
      <c r="D410" s="7">
        <v>61.9</v>
      </c>
    </row>
    <row r="411" spans="1:4" x14ac:dyDescent="0.2">
      <c r="A411" s="4" t="s">
        <v>15</v>
      </c>
      <c r="B411" s="4">
        <v>2019</v>
      </c>
      <c r="C411" s="4" t="s">
        <v>29</v>
      </c>
      <c r="D411" s="7">
        <v>158.10000000000002</v>
      </c>
    </row>
    <row r="412" spans="1:4" x14ac:dyDescent="0.2">
      <c r="A412" s="4" t="s">
        <v>16</v>
      </c>
      <c r="B412" s="4">
        <v>2019</v>
      </c>
      <c r="C412" s="4" t="s">
        <v>29</v>
      </c>
      <c r="D412" s="7">
        <v>70</v>
      </c>
    </row>
    <row r="413" spans="1:4" x14ac:dyDescent="0.2">
      <c r="A413" s="4" t="s">
        <v>17</v>
      </c>
      <c r="B413" s="4">
        <v>2019</v>
      </c>
      <c r="C413" s="4" t="s">
        <v>29</v>
      </c>
      <c r="D413" s="7">
        <v>24.400000000000002</v>
      </c>
    </row>
    <row r="414" spans="1:4" x14ac:dyDescent="0.2">
      <c r="A414" s="4" t="s">
        <v>18</v>
      </c>
      <c r="B414" s="4">
        <v>2019</v>
      </c>
      <c r="C414" s="4" t="s">
        <v>29</v>
      </c>
      <c r="D414" s="7">
        <v>31.700000000000003</v>
      </c>
    </row>
    <row r="415" spans="1:4" x14ac:dyDescent="0.2">
      <c r="A415" s="4" t="s">
        <v>19</v>
      </c>
      <c r="B415" s="4">
        <v>2019</v>
      </c>
      <c r="C415" s="4" t="s">
        <v>29</v>
      </c>
      <c r="D415" s="7">
        <v>273.5</v>
      </c>
    </row>
    <row r="416" spans="1:4" x14ac:dyDescent="0.2">
      <c r="A416" s="4" t="s">
        <v>20</v>
      </c>
      <c r="B416" s="4">
        <v>2019</v>
      </c>
      <c r="C416" s="4" t="s">
        <v>29</v>
      </c>
      <c r="D416" s="7">
        <v>62.1</v>
      </c>
    </row>
    <row r="417" spans="1:4" x14ac:dyDescent="0.2">
      <c r="A417" s="4" t="s">
        <v>21</v>
      </c>
      <c r="B417" s="4">
        <v>2019</v>
      </c>
      <c r="C417" s="4" t="s">
        <v>29</v>
      </c>
      <c r="D417" s="7">
        <v>252.6</v>
      </c>
    </row>
    <row r="418" spans="1:4" x14ac:dyDescent="0.2">
      <c r="A418" s="4" t="s">
        <v>22</v>
      </c>
      <c r="B418" s="4">
        <v>2019</v>
      </c>
      <c r="C418" s="4" t="s">
        <v>29</v>
      </c>
      <c r="D418" s="7">
        <v>220.2</v>
      </c>
    </row>
    <row r="419" spans="1:4" x14ac:dyDescent="0.2">
      <c r="A419" s="4" t="s">
        <v>23</v>
      </c>
      <c r="B419" s="4">
        <v>2019</v>
      </c>
      <c r="C419" s="4" t="s">
        <v>29</v>
      </c>
      <c r="D419" s="7">
        <v>41</v>
      </c>
    </row>
    <row r="420" spans="1:4" x14ac:dyDescent="0.2">
      <c r="A420" s="4" t="s">
        <v>24</v>
      </c>
      <c r="B420" s="4">
        <v>2019</v>
      </c>
      <c r="C420" s="4" t="s">
        <v>29</v>
      </c>
      <c r="D420" s="7">
        <v>72.7</v>
      </c>
    </row>
    <row r="421" spans="1:4" x14ac:dyDescent="0.2">
      <c r="A421" s="4" t="s">
        <v>25</v>
      </c>
      <c r="B421" s="4">
        <v>2019</v>
      </c>
      <c r="C421" s="4" t="s">
        <v>29</v>
      </c>
      <c r="D421" s="7">
        <v>401.3</v>
      </c>
    </row>
    <row r="422" spans="1:4" x14ac:dyDescent="0.2">
      <c r="A422" s="4" t="s">
        <v>5</v>
      </c>
      <c r="B422" s="4">
        <v>1999</v>
      </c>
      <c r="C422" s="4" t="s">
        <v>30</v>
      </c>
      <c r="D422" s="7">
        <v>395.6</v>
      </c>
    </row>
    <row r="423" spans="1:4" x14ac:dyDescent="0.2">
      <c r="A423" s="4" t="s">
        <v>6</v>
      </c>
      <c r="B423" s="4">
        <v>1999</v>
      </c>
      <c r="C423" s="4" t="s">
        <v>30</v>
      </c>
      <c r="D423" s="7">
        <v>17</v>
      </c>
    </row>
    <row r="424" spans="1:4" x14ac:dyDescent="0.2">
      <c r="A424" s="4" t="s">
        <v>7</v>
      </c>
      <c r="B424" s="4">
        <v>1999</v>
      </c>
      <c r="C424" s="4" t="s">
        <v>30</v>
      </c>
      <c r="D424" s="7">
        <v>171.4</v>
      </c>
    </row>
    <row r="425" spans="1:4" x14ac:dyDescent="0.2">
      <c r="A425" s="4" t="s">
        <v>8</v>
      </c>
      <c r="B425" s="4">
        <v>1999</v>
      </c>
      <c r="C425" s="4" t="s">
        <v>30</v>
      </c>
      <c r="D425" s="7">
        <v>778.4</v>
      </c>
    </row>
    <row r="426" spans="1:4" x14ac:dyDescent="0.2">
      <c r="A426" s="4" t="s">
        <v>9</v>
      </c>
      <c r="B426" s="4">
        <v>1999</v>
      </c>
      <c r="C426" s="4" t="s">
        <v>30</v>
      </c>
      <c r="D426" s="7">
        <v>121.7</v>
      </c>
    </row>
    <row r="427" spans="1:4" x14ac:dyDescent="0.2">
      <c r="A427" s="4" t="s">
        <v>10</v>
      </c>
      <c r="B427" s="4">
        <v>1999</v>
      </c>
      <c r="C427" s="4" t="s">
        <v>30</v>
      </c>
      <c r="D427" s="7">
        <v>32.4</v>
      </c>
    </row>
    <row r="428" spans="1:4" x14ac:dyDescent="0.2">
      <c r="A428" s="4" t="s">
        <v>11</v>
      </c>
      <c r="B428" s="4">
        <v>1999</v>
      </c>
      <c r="C428" s="4" t="s">
        <v>30</v>
      </c>
      <c r="D428" s="7">
        <v>550.9</v>
      </c>
    </row>
    <row r="429" spans="1:4" x14ac:dyDescent="0.2">
      <c r="A429" s="4" t="s">
        <v>12</v>
      </c>
      <c r="B429" s="4">
        <v>1999</v>
      </c>
      <c r="C429" s="4" t="s">
        <v>30</v>
      </c>
      <c r="D429" s="7">
        <v>381.2</v>
      </c>
    </row>
    <row r="430" spans="1:4" x14ac:dyDescent="0.2">
      <c r="A430" s="4" t="s">
        <v>13</v>
      </c>
      <c r="B430" s="4">
        <v>1999</v>
      </c>
      <c r="C430" s="4" t="s">
        <v>30</v>
      </c>
      <c r="D430" s="7">
        <v>52</v>
      </c>
    </row>
    <row r="431" spans="1:4" x14ac:dyDescent="0.2">
      <c r="A431" s="4" t="s">
        <v>14</v>
      </c>
      <c r="B431" s="4">
        <v>1999</v>
      </c>
      <c r="C431" s="4" t="s">
        <v>30</v>
      </c>
      <c r="D431" s="7">
        <v>197</v>
      </c>
    </row>
    <row r="432" spans="1:4" x14ac:dyDescent="0.2">
      <c r="A432" s="4" t="s">
        <v>15</v>
      </c>
      <c r="B432" s="4">
        <v>1999</v>
      </c>
      <c r="C432" s="4" t="s">
        <v>30</v>
      </c>
      <c r="D432" s="7">
        <v>520.29999999999995</v>
      </c>
    </row>
    <row r="433" spans="1:4" x14ac:dyDescent="0.2">
      <c r="A433" s="4" t="s">
        <v>16</v>
      </c>
      <c r="B433" s="4">
        <v>1999</v>
      </c>
      <c r="C433" s="4" t="s">
        <v>30</v>
      </c>
      <c r="D433" s="7">
        <v>182.5</v>
      </c>
    </row>
    <row r="434" spans="1:4" x14ac:dyDescent="0.2">
      <c r="A434" s="4" t="s">
        <v>17</v>
      </c>
      <c r="B434" s="4">
        <v>1999</v>
      </c>
      <c r="C434" s="4" t="s">
        <v>30</v>
      </c>
      <c r="D434" s="7">
        <v>57.3</v>
      </c>
    </row>
    <row r="435" spans="1:4" x14ac:dyDescent="0.2">
      <c r="A435" s="4" t="s">
        <v>18</v>
      </c>
      <c r="B435" s="4">
        <v>1999</v>
      </c>
      <c r="C435" s="4" t="s">
        <v>30</v>
      </c>
      <c r="D435" s="7">
        <v>53.4</v>
      </c>
    </row>
    <row r="436" spans="1:4" x14ac:dyDescent="0.2">
      <c r="A436" s="4" t="s">
        <v>19</v>
      </c>
      <c r="B436" s="4">
        <v>1999</v>
      </c>
      <c r="C436" s="4" t="s">
        <v>30</v>
      </c>
      <c r="D436" s="7">
        <v>388</v>
      </c>
    </row>
    <row r="437" spans="1:4" x14ac:dyDescent="0.2">
      <c r="A437" s="4" t="s">
        <v>20</v>
      </c>
      <c r="B437" s="4">
        <v>1999</v>
      </c>
      <c r="C437" s="4" t="s">
        <v>30</v>
      </c>
      <c r="D437" s="7">
        <v>122.9</v>
      </c>
    </row>
    <row r="438" spans="1:4" x14ac:dyDescent="0.2">
      <c r="A438" s="4" t="s">
        <v>21</v>
      </c>
      <c r="B438" s="4">
        <v>1999</v>
      </c>
      <c r="C438" s="4" t="s">
        <v>30</v>
      </c>
      <c r="D438" s="7">
        <v>370.70000000000005</v>
      </c>
    </row>
    <row r="439" spans="1:4" x14ac:dyDescent="0.2">
      <c r="A439" s="4" t="s">
        <v>22</v>
      </c>
      <c r="B439" s="4">
        <v>1999</v>
      </c>
      <c r="C439" s="4" t="s">
        <v>30</v>
      </c>
      <c r="D439" s="7">
        <v>330.1</v>
      </c>
    </row>
    <row r="440" spans="1:4" x14ac:dyDescent="0.2">
      <c r="A440" s="4" t="s">
        <v>23</v>
      </c>
      <c r="B440" s="4">
        <v>1999</v>
      </c>
      <c r="C440" s="4" t="s">
        <v>30</v>
      </c>
      <c r="D440" s="7">
        <v>91.9</v>
      </c>
    </row>
    <row r="441" spans="1:4" x14ac:dyDescent="0.2">
      <c r="A441" s="4" t="s">
        <v>24</v>
      </c>
      <c r="B441" s="4">
        <v>1999</v>
      </c>
      <c r="C441" s="4" t="s">
        <v>30</v>
      </c>
      <c r="D441" s="7">
        <v>134.40000000000009</v>
      </c>
    </row>
    <row r="442" spans="1:4" x14ac:dyDescent="0.2">
      <c r="A442" s="4" t="s">
        <v>25</v>
      </c>
      <c r="B442" s="4">
        <v>1999</v>
      </c>
      <c r="C442" s="4" t="s">
        <v>30</v>
      </c>
      <c r="D442" s="7">
        <v>659.3</v>
      </c>
    </row>
    <row r="443" spans="1:4" x14ac:dyDescent="0.2">
      <c r="A443" s="4" t="s">
        <v>5</v>
      </c>
      <c r="B443" s="4">
        <v>2011</v>
      </c>
      <c r="C443" s="4" t="s">
        <v>30</v>
      </c>
      <c r="D443" s="7">
        <v>464.29999999999995</v>
      </c>
    </row>
    <row r="444" spans="1:4" x14ac:dyDescent="0.2">
      <c r="A444" s="4" t="s">
        <v>6</v>
      </c>
      <c r="B444" s="4">
        <v>2011</v>
      </c>
      <c r="C444" s="4" t="s">
        <v>30</v>
      </c>
      <c r="D444" s="7">
        <v>19.7</v>
      </c>
    </row>
    <row r="445" spans="1:4" x14ac:dyDescent="0.2">
      <c r="A445" s="4" t="s">
        <v>7</v>
      </c>
      <c r="B445" s="4">
        <v>2011</v>
      </c>
      <c r="C445" s="4" t="s">
        <v>30</v>
      </c>
      <c r="D445" s="7">
        <v>185.8</v>
      </c>
    </row>
    <row r="446" spans="1:4" x14ac:dyDescent="0.2">
      <c r="A446" s="4" t="s">
        <v>8</v>
      </c>
      <c r="B446" s="4">
        <v>2011</v>
      </c>
      <c r="C446" s="4" t="s">
        <v>30</v>
      </c>
      <c r="D446" s="7">
        <v>934</v>
      </c>
    </row>
    <row r="447" spans="1:4" x14ac:dyDescent="0.2">
      <c r="A447" s="4" t="s">
        <v>9</v>
      </c>
      <c r="B447" s="4">
        <v>2011</v>
      </c>
      <c r="C447" s="4" t="s">
        <v>30</v>
      </c>
      <c r="D447" s="7">
        <v>138.6</v>
      </c>
    </row>
    <row r="448" spans="1:4" x14ac:dyDescent="0.2">
      <c r="A448" s="4" t="s">
        <v>10</v>
      </c>
      <c r="B448" s="4">
        <v>2011</v>
      </c>
      <c r="C448" s="4" t="s">
        <v>30</v>
      </c>
      <c r="D448" s="7">
        <v>31</v>
      </c>
    </row>
    <row r="449" spans="1:4" x14ac:dyDescent="0.2">
      <c r="A449" s="4" t="s">
        <v>11</v>
      </c>
      <c r="B449" s="4">
        <v>2011</v>
      </c>
      <c r="C449" s="4" t="s">
        <v>30</v>
      </c>
      <c r="D449" s="7">
        <v>493.5</v>
      </c>
    </row>
    <row r="450" spans="1:4" x14ac:dyDescent="0.2">
      <c r="A450" s="4" t="s">
        <v>12</v>
      </c>
      <c r="B450" s="4">
        <v>2011</v>
      </c>
      <c r="C450" s="4" t="s">
        <v>30</v>
      </c>
      <c r="D450" s="7">
        <v>346.59999999999997</v>
      </c>
    </row>
    <row r="451" spans="1:4" x14ac:dyDescent="0.2">
      <c r="A451" s="4" t="s">
        <v>13</v>
      </c>
      <c r="B451" s="4">
        <v>2011</v>
      </c>
      <c r="C451" s="4" t="s">
        <v>30</v>
      </c>
      <c r="D451" s="7">
        <v>52.900000000000006</v>
      </c>
    </row>
    <row r="452" spans="1:4" x14ac:dyDescent="0.2">
      <c r="A452" s="4" t="s">
        <v>14</v>
      </c>
      <c r="B452" s="4">
        <v>2011</v>
      </c>
      <c r="C452" s="4" t="s">
        <v>30</v>
      </c>
      <c r="D452" s="7">
        <v>183.4</v>
      </c>
    </row>
    <row r="453" spans="1:4" x14ac:dyDescent="0.2">
      <c r="A453" s="4" t="s">
        <v>15</v>
      </c>
      <c r="B453" s="4">
        <v>2011</v>
      </c>
      <c r="C453" s="4" t="s">
        <v>30</v>
      </c>
      <c r="D453" s="7">
        <v>528.4</v>
      </c>
    </row>
    <row r="454" spans="1:4" x14ac:dyDescent="0.2">
      <c r="A454" s="4" t="s">
        <v>16</v>
      </c>
      <c r="B454" s="4">
        <v>2011</v>
      </c>
      <c r="C454" s="4" t="s">
        <v>30</v>
      </c>
      <c r="D454" s="7">
        <v>208.2</v>
      </c>
    </row>
    <row r="455" spans="1:4" x14ac:dyDescent="0.2">
      <c r="A455" s="4" t="s">
        <v>17</v>
      </c>
      <c r="B455" s="4">
        <v>2011</v>
      </c>
      <c r="C455" s="4" t="s">
        <v>30</v>
      </c>
      <c r="D455" s="7">
        <v>67.5</v>
      </c>
    </row>
    <row r="456" spans="1:4" x14ac:dyDescent="0.2">
      <c r="A456" s="4" t="s">
        <v>18</v>
      </c>
      <c r="B456" s="4">
        <v>2011</v>
      </c>
      <c r="C456" s="4" t="s">
        <v>30</v>
      </c>
      <c r="D456" s="7">
        <v>70.8</v>
      </c>
    </row>
    <row r="457" spans="1:4" x14ac:dyDescent="0.2">
      <c r="A457" s="4" t="s">
        <v>19</v>
      </c>
      <c r="B457" s="4">
        <v>2011</v>
      </c>
      <c r="C457" s="4" t="s">
        <v>30</v>
      </c>
      <c r="D457" s="7">
        <v>471.4</v>
      </c>
    </row>
    <row r="458" spans="1:4" x14ac:dyDescent="0.2">
      <c r="A458" s="4" t="s">
        <v>20</v>
      </c>
      <c r="B458" s="4">
        <v>2011</v>
      </c>
      <c r="C458" s="4" t="s">
        <v>30</v>
      </c>
      <c r="D458" s="7">
        <v>137</v>
      </c>
    </row>
    <row r="459" spans="1:4" x14ac:dyDescent="0.2">
      <c r="A459" s="4" t="s">
        <v>21</v>
      </c>
      <c r="B459" s="4">
        <v>2011</v>
      </c>
      <c r="C459" s="4" t="s">
        <v>30</v>
      </c>
      <c r="D459" s="7">
        <v>453.70000000000005</v>
      </c>
    </row>
    <row r="460" spans="1:4" x14ac:dyDescent="0.2">
      <c r="A460" s="4" t="s">
        <v>22</v>
      </c>
      <c r="B460" s="4">
        <v>2011</v>
      </c>
      <c r="C460" s="4" t="s">
        <v>30</v>
      </c>
      <c r="D460" s="7">
        <v>420.59999999999997</v>
      </c>
    </row>
    <row r="461" spans="1:4" x14ac:dyDescent="0.2">
      <c r="A461" s="4" t="s">
        <v>23</v>
      </c>
      <c r="B461" s="4">
        <v>2011</v>
      </c>
      <c r="C461" s="4" t="s">
        <v>30</v>
      </c>
      <c r="D461" s="7">
        <v>97</v>
      </c>
    </row>
    <row r="462" spans="1:4" x14ac:dyDescent="0.2">
      <c r="A462" s="4" t="s">
        <v>24</v>
      </c>
      <c r="B462" s="4">
        <v>2011</v>
      </c>
      <c r="C462" s="4" t="s">
        <v>30</v>
      </c>
      <c r="D462" s="7">
        <v>158.69999999999999</v>
      </c>
    </row>
    <row r="463" spans="1:4" x14ac:dyDescent="0.2">
      <c r="A463" s="4" t="s">
        <v>25</v>
      </c>
      <c r="B463" s="4">
        <v>2011</v>
      </c>
      <c r="C463" s="4" t="s">
        <v>30</v>
      </c>
      <c r="D463" s="7">
        <v>741</v>
      </c>
    </row>
    <row r="464" spans="1:4" x14ac:dyDescent="0.2">
      <c r="A464" s="4" t="s">
        <v>5</v>
      </c>
      <c r="B464" s="4">
        <v>2012</v>
      </c>
      <c r="C464" s="4" t="s">
        <v>30</v>
      </c>
      <c r="D464" s="7">
        <v>462.6</v>
      </c>
    </row>
    <row r="465" spans="1:4" x14ac:dyDescent="0.2">
      <c r="A465" s="4" t="s">
        <v>6</v>
      </c>
      <c r="B465" s="4">
        <v>2012</v>
      </c>
      <c r="C465" s="4" t="s">
        <v>30</v>
      </c>
      <c r="D465" s="7">
        <v>19</v>
      </c>
    </row>
    <row r="466" spans="1:4" x14ac:dyDescent="0.2">
      <c r="A466" s="4" t="s">
        <v>7</v>
      </c>
      <c r="B466" s="4">
        <v>2012</v>
      </c>
      <c r="C466" s="4" t="s">
        <v>30</v>
      </c>
      <c r="D466" s="7">
        <v>191.2</v>
      </c>
    </row>
    <row r="467" spans="1:4" x14ac:dyDescent="0.2">
      <c r="A467" s="4" t="s">
        <v>8</v>
      </c>
      <c r="B467" s="4">
        <v>2012</v>
      </c>
      <c r="C467" s="4" t="s">
        <v>30</v>
      </c>
      <c r="D467" s="7">
        <v>936.5</v>
      </c>
    </row>
    <row r="468" spans="1:4" x14ac:dyDescent="0.2">
      <c r="A468" s="4" t="s">
        <v>9</v>
      </c>
      <c r="B468" s="4">
        <v>2012</v>
      </c>
      <c r="C468" s="4" t="s">
        <v>30</v>
      </c>
      <c r="D468" s="7">
        <v>134.5</v>
      </c>
    </row>
    <row r="469" spans="1:4" x14ac:dyDescent="0.2">
      <c r="A469" s="4" t="s">
        <v>10</v>
      </c>
      <c r="B469" s="4">
        <v>2012</v>
      </c>
      <c r="C469" s="4" t="s">
        <v>30</v>
      </c>
      <c r="D469" s="7">
        <v>31.1</v>
      </c>
    </row>
    <row r="470" spans="1:4" x14ac:dyDescent="0.2">
      <c r="A470" s="4" t="s">
        <v>11</v>
      </c>
      <c r="B470" s="4">
        <v>2012</v>
      </c>
      <c r="C470" s="4" t="s">
        <v>30</v>
      </c>
      <c r="D470" s="7">
        <v>498.1</v>
      </c>
    </row>
    <row r="471" spans="1:4" x14ac:dyDescent="0.2">
      <c r="A471" s="4" t="s">
        <v>12</v>
      </c>
      <c r="B471" s="4">
        <v>2012</v>
      </c>
      <c r="C471" s="4" t="s">
        <v>30</v>
      </c>
      <c r="D471" s="7">
        <v>349.9</v>
      </c>
    </row>
    <row r="472" spans="1:4" x14ac:dyDescent="0.2">
      <c r="A472" s="4" t="s">
        <v>13</v>
      </c>
      <c r="B472" s="4">
        <v>2012</v>
      </c>
      <c r="C472" s="4" t="s">
        <v>30</v>
      </c>
      <c r="D472" s="7">
        <v>53.4</v>
      </c>
    </row>
    <row r="473" spans="1:4" x14ac:dyDescent="0.2">
      <c r="A473" s="4" t="s">
        <v>14</v>
      </c>
      <c r="B473" s="4">
        <v>2012</v>
      </c>
      <c r="C473" s="4" t="s">
        <v>30</v>
      </c>
      <c r="D473" s="7">
        <v>174</v>
      </c>
    </row>
    <row r="474" spans="1:4" x14ac:dyDescent="0.2">
      <c r="A474" s="4" t="s">
        <v>15</v>
      </c>
      <c r="B474" s="4">
        <v>2012</v>
      </c>
      <c r="C474" s="4" t="s">
        <v>30</v>
      </c>
      <c r="D474" s="7">
        <v>518.9</v>
      </c>
    </row>
    <row r="475" spans="1:4" x14ac:dyDescent="0.2">
      <c r="A475" s="4" t="s">
        <v>16</v>
      </c>
      <c r="B475" s="4">
        <v>2012</v>
      </c>
      <c r="C475" s="4" t="s">
        <v>30</v>
      </c>
      <c r="D475" s="7">
        <v>208</v>
      </c>
    </row>
    <row r="476" spans="1:4" x14ac:dyDescent="0.2">
      <c r="A476" s="4" t="s">
        <v>17</v>
      </c>
      <c r="B476" s="4">
        <v>2012</v>
      </c>
      <c r="C476" s="4" t="s">
        <v>30</v>
      </c>
      <c r="D476" s="7">
        <v>69</v>
      </c>
    </row>
    <row r="477" spans="1:4" x14ac:dyDescent="0.2">
      <c r="A477" s="4" t="s">
        <v>18</v>
      </c>
      <c r="B477" s="4">
        <v>2012</v>
      </c>
      <c r="C477" s="4" t="s">
        <v>30</v>
      </c>
      <c r="D477" s="7">
        <v>70.900000000000006</v>
      </c>
    </row>
    <row r="478" spans="1:4" x14ac:dyDescent="0.2">
      <c r="A478" s="4" t="s">
        <v>19</v>
      </c>
      <c r="B478" s="4">
        <v>2012</v>
      </c>
      <c r="C478" s="4" t="s">
        <v>30</v>
      </c>
      <c r="D478" s="7">
        <v>469.8</v>
      </c>
    </row>
    <row r="479" spans="1:4" x14ac:dyDescent="0.2">
      <c r="A479" s="4" t="s">
        <v>20</v>
      </c>
      <c r="B479" s="4">
        <v>2012</v>
      </c>
      <c r="C479" s="4" t="s">
        <v>30</v>
      </c>
      <c r="D479" s="7">
        <v>139.1</v>
      </c>
    </row>
    <row r="480" spans="1:4" x14ac:dyDescent="0.2">
      <c r="A480" s="4" t="s">
        <v>21</v>
      </c>
      <c r="B480" s="4">
        <v>2012</v>
      </c>
      <c r="C480" s="4" t="s">
        <v>30</v>
      </c>
      <c r="D480" s="7">
        <v>466.3</v>
      </c>
    </row>
    <row r="481" spans="1:4" x14ac:dyDescent="0.2">
      <c r="A481" s="4" t="s">
        <v>22</v>
      </c>
      <c r="B481" s="4">
        <v>2012</v>
      </c>
      <c r="C481" s="4" t="s">
        <v>30</v>
      </c>
      <c r="D481" s="7">
        <v>425.59999999999997</v>
      </c>
    </row>
    <row r="482" spans="1:4" x14ac:dyDescent="0.2">
      <c r="A482" s="4" t="s">
        <v>23</v>
      </c>
      <c r="B482" s="4">
        <v>2012</v>
      </c>
      <c r="C482" s="4" t="s">
        <v>30</v>
      </c>
      <c r="D482" s="7">
        <v>96.6</v>
      </c>
    </row>
    <row r="483" spans="1:4" x14ac:dyDescent="0.2">
      <c r="A483" s="4" t="s">
        <v>24</v>
      </c>
      <c r="B483" s="4">
        <v>2012</v>
      </c>
      <c r="C483" s="4" t="s">
        <v>30</v>
      </c>
      <c r="D483" s="7">
        <v>159</v>
      </c>
    </row>
    <row r="484" spans="1:4" x14ac:dyDescent="0.2">
      <c r="A484" s="4" t="s">
        <v>25</v>
      </c>
      <c r="B484" s="4">
        <v>2012</v>
      </c>
      <c r="C484" s="4" t="s">
        <v>30</v>
      </c>
      <c r="D484" s="7">
        <v>777.30000000000007</v>
      </c>
    </row>
    <row r="485" spans="1:4" x14ac:dyDescent="0.2">
      <c r="A485" s="4" t="s">
        <v>5</v>
      </c>
      <c r="B485" s="4">
        <v>2019</v>
      </c>
      <c r="C485" s="4" t="s">
        <v>30</v>
      </c>
      <c r="D485" s="7">
        <v>442.4</v>
      </c>
    </row>
    <row r="486" spans="1:4" x14ac:dyDescent="0.2">
      <c r="A486" s="4" t="s">
        <v>6</v>
      </c>
      <c r="B486" s="4">
        <v>2019</v>
      </c>
      <c r="C486" s="4" t="s">
        <v>30</v>
      </c>
      <c r="D486" s="7">
        <v>18.600000000000001</v>
      </c>
    </row>
    <row r="487" spans="1:4" x14ac:dyDescent="0.2">
      <c r="A487" s="4" t="s">
        <v>7</v>
      </c>
      <c r="B487" s="4">
        <v>2019</v>
      </c>
      <c r="C487" s="4" t="s">
        <v>30</v>
      </c>
      <c r="D487" s="7">
        <v>181.6</v>
      </c>
    </row>
    <row r="488" spans="1:4" x14ac:dyDescent="0.2">
      <c r="A488" s="4" t="s">
        <v>8</v>
      </c>
      <c r="B488" s="4">
        <v>2019</v>
      </c>
      <c r="C488" s="4" t="s">
        <v>30</v>
      </c>
      <c r="D488" s="7">
        <v>1009.5</v>
      </c>
    </row>
    <row r="489" spans="1:4" x14ac:dyDescent="0.2">
      <c r="A489" s="4" t="s">
        <v>9</v>
      </c>
      <c r="B489" s="4">
        <v>2019</v>
      </c>
      <c r="C489" s="4" t="s">
        <v>30</v>
      </c>
      <c r="D489" s="7">
        <v>126.6</v>
      </c>
    </row>
    <row r="490" spans="1:4" x14ac:dyDescent="0.2">
      <c r="A490" s="4" t="s">
        <v>10</v>
      </c>
      <c r="B490" s="4">
        <v>2019</v>
      </c>
      <c r="C490" s="4" t="s">
        <v>30</v>
      </c>
      <c r="D490" s="7">
        <v>30.9</v>
      </c>
    </row>
    <row r="491" spans="1:4" x14ac:dyDescent="0.2">
      <c r="A491" s="4" t="s">
        <v>11</v>
      </c>
      <c r="B491" s="4">
        <v>2019</v>
      </c>
      <c r="C491" s="4" t="s">
        <v>30</v>
      </c>
      <c r="D491" s="7">
        <v>488.8</v>
      </c>
    </row>
    <row r="492" spans="1:4" x14ac:dyDescent="0.2">
      <c r="A492" s="4" t="s">
        <v>12</v>
      </c>
      <c r="B492" s="4">
        <v>2019</v>
      </c>
      <c r="C492" s="4" t="s">
        <v>30</v>
      </c>
      <c r="D492" s="7">
        <v>340.9</v>
      </c>
    </row>
    <row r="493" spans="1:4" x14ac:dyDescent="0.2">
      <c r="A493" s="4" t="s">
        <v>13</v>
      </c>
      <c r="B493" s="4">
        <v>2019</v>
      </c>
      <c r="C493" s="4" t="s">
        <v>30</v>
      </c>
      <c r="D493" s="7">
        <v>52</v>
      </c>
    </row>
    <row r="494" spans="1:4" x14ac:dyDescent="0.2">
      <c r="A494" s="4" t="s">
        <v>14</v>
      </c>
      <c r="B494" s="4">
        <v>2019</v>
      </c>
      <c r="C494" s="4" t="s">
        <v>30</v>
      </c>
      <c r="D494" s="7">
        <v>160.30000000000001</v>
      </c>
    </row>
    <row r="495" spans="1:4" x14ac:dyDescent="0.2">
      <c r="A495" s="4" t="s">
        <v>15</v>
      </c>
      <c r="B495" s="4">
        <v>2019</v>
      </c>
      <c r="C495" s="4" t="s">
        <v>30</v>
      </c>
      <c r="D495" s="7">
        <v>452.9</v>
      </c>
    </row>
    <row r="496" spans="1:4" x14ac:dyDescent="0.2">
      <c r="A496" s="4" t="s">
        <v>16</v>
      </c>
      <c r="B496" s="4">
        <v>2019</v>
      </c>
      <c r="C496" s="4" t="s">
        <v>30</v>
      </c>
      <c r="D496" s="7">
        <v>207.79999999999998</v>
      </c>
    </row>
    <row r="497" spans="1:4" x14ac:dyDescent="0.2">
      <c r="A497" s="4" t="s">
        <v>17</v>
      </c>
      <c r="B497" s="4">
        <v>2019</v>
      </c>
      <c r="C497" s="4" t="s">
        <v>30</v>
      </c>
      <c r="D497" s="7">
        <v>71.7</v>
      </c>
    </row>
    <row r="498" spans="1:4" x14ac:dyDescent="0.2">
      <c r="A498" s="4" t="s">
        <v>18</v>
      </c>
      <c r="B498" s="4">
        <v>2019</v>
      </c>
      <c r="C498" s="4" t="s">
        <v>30</v>
      </c>
      <c r="D498" s="7">
        <v>73.3</v>
      </c>
    </row>
    <row r="499" spans="1:4" x14ac:dyDescent="0.2">
      <c r="A499" s="4" t="s">
        <v>19</v>
      </c>
      <c r="B499" s="4">
        <v>2019</v>
      </c>
      <c r="C499" s="4" t="s">
        <v>30</v>
      </c>
      <c r="D499" s="7">
        <v>493.90000000000003</v>
      </c>
    </row>
    <row r="500" spans="1:4" x14ac:dyDescent="0.2">
      <c r="A500" s="4" t="s">
        <v>20</v>
      </c>
      <c r="B500" s="4">
        <v>2019</v>
      </c>
      <c r="C500" s="4" t="s">
        <v>30</v>
      </c>
      <c r="D500" s="7">
        <v>139.4</v>
      </c>
    </row>
    <row r="501" spans="1:4" x14ac:dyDescent="0.2">
      <c r="A501" s="4" t="s">
        <v>21</v>
      </c>
      <c r="B501" s="4">
        <v>2019</v>
      </c>
      <c r="C501" s="4" t="s">
        <v>30</v>
      </c>
      <c r="D501" s="7">
        <v>488.79999999999995</v>
      </c>
    </row>
    <row r="502" spans="1:4" x14ac:dyDescent="0.2">
      <c r="A502" s="4" t="s">
        <v>22</v>
      </c>
      <c r="B502" s="4">
        <v>2019</v>
      </c>
      <c r="C502" s="4" t="s">
        <v>30</v>
      </c>
      <c r="D502" s="7">
        <v>425.20000000000005</v>
      </c>
    </row>
    <row r="503" spans="1:4" x14ac:dyDescent="0.2">
      <c r="A503" s="4" t="s">
        <v>23</v>
      </c>
      <c r="B503" s="4">
        <v>2019</v>
      </c>
      <c r="C503" s="4" t="s">
        <v>30</v>
      </c>
      <c r="D503" s="7">
        <v>104.10000000000001</v>
      </c>
    </row>
    <row r="504" spans="1:4" x14ac:dyDescent="0.2">
      <c r="A504" s="4" t="s">
        <v>24</v>
      </c>
      <c r="B504" s="4">
        <v>2019</v>
      </c>
      <c r="C504" s="4" t="s">
        <v>30</v>
      </c>
      <c r="D504" s="7">
        <v>153.5</v>
      </c>
    </row>
    <row r="505" spans="1:4" x14ac:dyDescent="0.2">
      <c r="A505" s="4" t="s">
        <v>25</v>
      </c>
      <c r="B505" s="4">
        <v>2019</v>
      </c>
      <c r="C505" s="4" t="s">
        <v>30</v>
      </c>
      <c r="D505" s="7">
        <v>783.2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1DA-C4F5-3C46-A6BB-3DFEEB1FAC69}">
  <dimension ref="A1:C25"/>
  <sheetViews>
    <sheetView workbookViewId="0">
      <selection activeCell="J27" sqref="J27"/>
    </sheetView>
  </sheetViews>
  <sheetFormatPr baseColWidth="10" defaultRowHeight="16" x14ac:dyDescent="0.2"/>
  <cols>
    <col min="3" max="3" width="16.83203125" style="3" bestFit="1" customWidth="1"/>
  </cols>
  <sheetData>
    <row r="1" spans="1:3" x14ac:dyDescent="0.2">
      <c r="A1" s="6" t="s">
        <v>1</v>
      </c>
      <c r="B1" s="6" t="s">
        <v>2</v>
      </c>
      <c r="C1" s="11" t="s">
        <v>39</v>
      </c>
    </row>
    <row r="2" spans="1:3" x14ac:dyDescent="0.2">
      <c r="A2" s="4">
        <v>1999</v>
      </c>
      <c r="B2" s="4" t="s">
        <v>4</v>
      </c>
      <c r="C2" s="12">
        <v>202007036</v>
      </c>
    </row>
    <row r="3" spans="1:3" x14ac:dyDescent="0.2">
      <c r="A3" s="4">
        <v>1999</v>
      </c>
      <c r="B3" s="4" t="s">
        <v>26</v>
      </c>
      <c r="C3" s="12">
        <v>5088277490</v>
      </c>
    </row>
    <row r="4" spans="1:3" x14ac:dyDescent="0.2">
      <c r="A4" s="4">
        <v>1999</v>
      </c>
      <c r="B4" s="4" t="s">
        <v>27</v>
      </c>
      <c r="C4" s="12">
        <v>0</v>
      </c>
    </row>
    <row r="5" spans="1:3" x14ac:dyDescent="0.2">
      <c r="A5" s="4">
        <v>1999</v>
      </c>
      <c r="B5" s="4" t="s">
        <v>28</v>
      </c>
      <c r="C5" s="12">
        <v>0</v>
      </c>
    </row>
    <row r="6" spans="1:3" x14ac:dyDescent="0.2">
      <c r="A6" s="4">
        <v>1999</v>
      </c>
      <c r="B6" s="4" t="s">
        <v>29</v>
      </c>
      <c r="C6" s="12">
        <v>12765</v>
      </c>
    </row>
    <row r="7" spans="1:3" x14ac:dyDescent="0.2">
      <c r="A7" s="4">
        <v>1999</v>
      </c>
      <c r="B7" s="4" t="s">
        <v>30</v>
      </c>
      <c r="C7" s="12">
        <v>1516677</v>
      </c>
    </row>
    <row r="8" spans="1:3" x14ac:dyDescent="0.2">
      <c r="A8" s="4">
        <v>2011</v>
      </c>
      <c r="B8" s="4" t="s">
        <v>4</v>
      </c>
      <c r="C8" s="12">
        <v>386066150</v>
      </c>
    </row>
    <row r="9" spans="1:3" x14ac:dyDescent="0.2">
      <c r="A9" s="4">
        <v>2011</v>
      </c>
      <c r="B9" s="4" t="s">
        <v>26</v>
      </c>
      <c r="C9" s="12">
        <v>40664269329</v>
      </c>
    </row>
    <row r="10" spans="1:3" x14ac:dyDescent="0.2">
      <c r="A10" s="4">
        <v>2011</v>
      </c>
      <c r="B10" s="4" t="s">
        <v>27</v>
      </c>
      <c r="C10" s="12">
        <v>0</v>
      </c>
    </row>
    <row r="11" spans="1:3" x14ac:dyDescent="0.2">
      <c r="A11" s="4">
        <v>2011</v>
      </c>
      <c r="B11" s="4" t="s">
        <v>28</v>
      </c>
      <c r="C11" s="12">
        <v>0</v>
      </c>
    </row>
    <row r="12" spans="1:3" x14ac:dyDescent="0.2">
      <c r="A12" s="4">
        <v>2011</v>
      </c>
      <c r="B12" s="4" t="s">
        <v>29</v>
      </c>
      <c r="C12" s="12">
        <v>3893</v>
      </c>
    </row>
    <row r="13" spans="1:3" x14ac:dyDescent="0.2">
      <c r="A13" s="4">
        <v>2011</v>
      </c>
      <c r="B13" s="4" t="s">
        <v>30</v>
      </c>
      <c r="C13" s="12">
        <v>11221243</v>
      </c>
    </row>
    <row r="14" spans="1:3" x14ac:dyDescent="0.2">
      <c r="A14" s="4">
        <v>2012</v>
      </c>
      <c r="B14" s="4" t="s">
        <v>4</v>
      </c>
      <c r="C14" s="12">
        <v>171416323</v>
      </c>
    </row>
    <row r="15" spans="1:3" x14ac:dyDescent="0.2">
      <c r="A15" s="4">
        <v>2012</v>
      </c>
      <c r="B15" s="4" t="s">
        <v>26</v>
      </c>
      <c r="C15" s="12">
        <v>53252880888</v>
      </c>
    </row>
    <row r="16" spans="1:3" x14ac:dyDescent="0.2">
      <c r="A16" s="4">
        <v>2012</v>
      </c>
      <c r="B16" s="4" t="s">
        <v>27</v>
      </c>
      <c r="C16" s="12">
        <v>0</v>
      </c>
    </row>
    <row r="17" spans="1:3" x14ac:dyDescent="0.2">
      <c r="A17" s="4">
        <v>2012</v>
      </c>
      <c r="B17" s="4" t="s">
        <v>28</v>
      </c>
      <c r="C17" s="12">
        <v>0</v>
      </c>
    </row>
    <row r="18" spans="1:3" x14ac:dyDescent="0.2">
      <c r="A18" s="4">
        <v>2012</v>
      </c>
      <c r="B18" s="4" t="s">
        <v>29</v>
      </c>
      <c r="C18" s="12">
        <v>353055</v>
      </c>
    </row>
    <row r="19" spans="1:3" x14ac:dyDescent="0.2">
      <c r="A19" s="4">
        <v>2012</v>
      </c>
      <c r="B19" s="4" t="s">
        <v>30</v>
      </c>
      <c r="C19" s="12">
        <v>10839454</v>
      </c>
    </row>
    <row r="20" spans="1:3" x14ac:dyDescent="0.2">
      <c r="A20" s="4">
        <v>2019</v>
      </c>
      <c r="B20" s="4" t="s">
        <v>4</v>
      </c>
      <c r="C20" s="12">
        <v>343802930.00700003</v>
      </c>
    </row>
    <row r="21" spans="1:3" x14ac:dyDescent="0.2">
      <c r="A21" s="4">
        <v>2019</v>
      </c>
      <c r="B21" s="4" t="s">
        <v>26</v>
      </c>
      <c r="C21" s="12">
        <v>35040500839.445007</v>
      </c>
    </row>
    <row r="22" spans="1:3" x14ac:dyDescent="0.2">
      <c r="A22" s="4">
        <v>2019</v>
      </c>
      <c r="B22" s="4" t="s">
        <v>27</v>
      </c>
      <c r="C22" s="12">
        <v>0</v>
      </c>
    </row>
    <row r="23" spans="1:3" x14ac:dyDescent="0.2">
      <c r="A23" s="4">
        <v>2019</v>
      </c>
      <c r="B23" s="4" t="s">
        <v>28</v>
      </c>
      <c r="C23" s="12">
        <v>0</v>
      </c>
    </row>
    <row r="24" spans="1:3" x14ac:dyDescent="0.2">
      <c r="A24" s="4">
        <v>2019</v>
      </c>
      <c r="B24" s="4" t="s">
        <v>29</v>
      </c>
      <c r="C24" s="12">
        <v>48224.546000000002</v>
      </c>
    </row>
    <row r="25" spans="1:3" x14ac:dyDescent="0.2">
      <c r="A25" s="4">
        <v>2019</v>
      </c>
      <c r="B25" s="4" t="s">
        <v>30</v>
      </c>
      <c r="C25" s="12">
        <v>4753334.9400000004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2F8-2892-7A47-98CA-CE357686A290}">
  <dimension ref="A1:C25"/>
  <sheetViews>
    <sheetView workbookViewId="0">
      <selection activeCell="G9" sqref="G9"/>
    </sheetView>
  </sheetViews>
  <sheetFormatPr baseColWidth="10" defaultRowHeight="16" x14ac:dyDescent="0.2"/>
  <sheetData>
    <row r="1" spans="1:3" x14ac:dyDescent="0.2">
      <c r="A1" s="6" t="s">
        <v>1</v>
      </c>
      <c r="B1" s="6" t="s">
        <v>2</v>
      </c>
      <c r="C1" s="6" t="s">
        <v>31</v>
      </c>
    </row>
    <row r="2" spans="1:3" x14ac:dyDescent="0.2">
      <c r="A2" s="4">
        <v>1999</v>
      </c>
      <c r="B2" s="4" t="s">
        <v>4</v>
      </c>
      <c r="C2" s="7">
        <f>SUM(employment!D2:D22)</f>
        <v>1053.8999999999999</v>
      </c>
    </row>
    <row r="3" spans="1:3" x14ac:dyDescent="0.2">
      <c r="A3" s="4">
        <v>1999</v>
      </c>
      <c r="B3" s="4" t="s">
        <v>26</v>
      </c>
      <c r="C3" s="7">
        <f>SUM(employment!D86:D106)</f>
        <v>5066.0000000000009</v>
      </c>
    </row>
    <row r="4" spans="1:3" x14ac:dyDescent="0.2">
      <c r="A4" s="4">
        <v>1999</v>
      </c>
      <c r="B4" s="4" t="s">
        <v>27</v>
      </c>
      <c r="C4" s="7">
        <f>SUM(employment!D170:D190)</f>
        <v>1550.3999999999999</v>
      </c>
    </row>
    <row r="5" spans="1:3" x14ac:dyDescent="0.2">
      <c r="A5" s="4">
        <v>1999</v>
      </c>
      <c r="B5" s="4" t="s">
        <v>28</v>
      </c>
      <c r="C5" s="7">
        <f>SUM(employment!D254:D274)</f>
        <v>5016.1000000000004</v>
      </c>
    </row>
    <row r="6" spans="1:3" x14ac:dyDescent="0.2">
      <c r="A6" s="4">
        <v>1999</v>
      </c>
      <c r="B6" s="4" t="s">
        <v>29</v>
      </c>
      <c r="C6" s="7">
        <f>SUM(employment!D338:D358)</f>
        <v>1996.6</v>
      </c>
    </row>
    <row r="7" spans="1:3" x14ac:dyDescent="0.2">
      <c r="A7" s="4">
        <v>1999</v>
      </c>
      <c r="B7" s="4" t="s">
        <v>30</v>
      </c>
      <c r="C7" s="7">
        <f>SUM(employment!D422:D442)</f>
        <v>5608.4000000000005</v>
      </c>
    </row>
    <row r="8" spans="1:3" x14ac:dyDescent="0.2">
      <c r="A8" s="4">
        <v>2011</v>
      </c>
      <c r="B8" s="4" t="s">
        <v>4</v>
      </c>
      <c r="C8" s="7">
        <f>SUM(employment!D23:D43)</f>
        <v>781.19999999999982</v>
      </c>
    </row>
    <row r="9" spans="1:3" x14ac:dyDescent="0.2">
      <c r="A9" s="4">
        <v>2011</v>
      </c>
      <c r="B9" s="4" t="s">
        <v>26</v>
      </c>
      <c r="C9" s="7">
        <f>SUM(employment!D107:D127)</f>
        <v>4554.5999999999985</v>
      </c>
    </row>
    <row r="10" spans="1:3" x14ac:dyDescent="0.2">
      <c r="A10" s="4">
        <v>2011</v>
      </c>
      <c r="B10" s="4" t="s">
        <v>27</v>
      </c>
      <c r="C10" s="7">
        <f>SUM(employment!D191:D211)</f>
        <v>1767.6</v>
      </c>
    </row>
    <row r="11" spans="1:3" x14ac:dyDescent="0.2">
      <c r="A11" s="4">
        <v>2011</v>
      </c>
      <c r="B11" s="4" t="s">
        <v>28</v>
      </c>
      <c r="C11" s="7">
        <f>SUM(employment!D254:D274)</f>
        <v>5016.1000000000004</v>
      </c>
    </row>
    <row r="12" spans="1:3" x14ac:dyDescent="0.2">
      <c r="A12" s="4">
        <v>2011</v>
      </c>
      <c r="B12" s="4" t="s">
        <v>29</v>
      </c>
      <c r="C12" s="7">
        <f>SUM(employment!D359:D379)</f>
        <v>2956.2</v>
      </c>
    </row>
    <row r="13" spans="1:3" x14ac:dyDescent="0.2">
      <c r="A13" s="4">
        <v>2011</v>
      </c>
      <c r="B13" s="4" t="s">
        <v>30</v>
      </c>
      <c r="C13" s="7">
        <f>SUM(employment!D443:D463)</f>
        <v>6204.0999999999995</v>
      </c>
    </row>
    <row r="14" spans="1:3" x14ac:dyDescent="0.2">
      <c r="A14" s="4">
        <v>2012</v>
      </c>
      <c r="B14" s="4" t="s">
        <v>4</v>
      </c>
      <c r="C14" s="7">
        <f>SUM(employment!D44:D64)</f>
        <v>778.7</v>
      </c>
    </row>
    <row r="15" spans="1:3" x14ac:dyDescent="0.2">
      <c r="A15" s="4">
        <v>2012</v>
      </c>
      <c r="B15" s="4" t="s">
        <v>26</v>
      </c>
      <c r="C15" s="7">
        <f>SUM(employment!D128:D148)</f>
        <v>4473.3</v>
      </c>
    </row>
    <row r="16" spans="1:3" x14ac:dyDescent="0.2">
      <c r="A16" s="4">
        <v>2012</v>
      </c>
      <c r="B16" s="4" t="s">
        <v>27</v>
      </c>
      <c r="C16" s="7">
        <f>SUM(employment!D212:D232)</f>
        <v>1673.5000000000005</v>
      </c>
    </row>
    <row r="17" spans="1:3" x14ac:dyDescent="0.2">
      <c r="A17" s="4">
        <v>2012</v>
      </c>
      <c r="B17" s="4" t="s">
        <v>28</v>
      </c>
      <c r="C17" s="7">
        <f>SUM(employment!D296:D316)</f>
        <v>6057.5</v>
      </c>
    </row>
    <row r="18" spans="1:3" x14ac:dyDescent="0.2">
      <c r="A18" s="4">
        <v>2012</v>
      </c>
      <c r="B18" s="4" t="s">
        <v>29</v>
      </c>
      <c r="C18" s="7">
        <f>SUM(employment!D380:D400)</f>
        <v>2907.1000000000004</v>
      </c>
    </row>
    <row r="19" spans="1:3" x14ac:dyDescent="0.2">
      <c r="A19" s="4">
        <v>2012</v>
      </c>
      <c r="B19" s="4" t="s">
        <v>30</v>
      </c>
      <c r="C19" s="7">
        <f>SUM(employment!D464:D484)</f>
        <v>6250.800000000002</v>
      </c>
    </row>
    <row r="20" spans="1:3" x14ac:dyDescent="0.2">
      <c r="A20" s="4">
        <v>2019</v>
      </c>
      <c r="B20" s="4" t="s">
        <v>4</v>
      </c>
      <c r="C20" s="7">
        <f>SUM(employment!D65:D85)</f>
        <v>832.00000000000023</v>
      </c>
    </row>
    <row r="21" spans="1:3" x14ac:dyDescent="0.2">
      <c r="A21" s="4">
        <v>2019</v>
      </c>
      <c r="B21" s="4" t="s">
        <v>26</v>
      </c>
      <c r="C21" s="7">
        <f>SUM(employment!D149:D169)</f>
        <v>4586.4000000000005</v>
      </c>
    </row>
    <row r="22" spans="1:3" x14ac:dyDescent="0.2">
      <c r="A22" s="4">
        <v>2019</v>
      </c>
      <c r="B22" s="4" t="s">
        <v>27</v>
      </c>
      <c r="C22" s="7">
        <f>SUM(employment!D233:D253)</f>
        <v>1295.6999999999998</v>
      </c>
    </row>
    <row r="23" spans="1:3" x14ac:dyDescent="0.2">
      <c r="A23" s="4">
        <v>2019</v>
      </c>
      <c r="B23" s="4" t="s">
        <v>28</v>
      </c>
      <c r="C23" s="7">
        <f>SUM(employment!D317:D337)</f>
        <v>6291.0999999999995</v>
      </c>
    </row>
    <row r="24" spans="1:3" x14ac:dyDescent="0.2">
      <c r="A24" s="4">
        <v>2019</v>
      </c>
      <c r="B24" s="4" t="s">
        <v>29</v>
      </c>
      <c r="C24" s="7">
        <f>SUM(employment!D401:D421)</f>
        <v>3205.3</v>
      </c>
    </row>
    <row r="25" spans="1:3" x14ac:dyDescent="0.2">
      <c r="A25" s="4">
        <v>2019</v>
      </c>
      <c r="B25" s="4" t="s">
        <v>30</v>
      </c>
      <c r="C25" s="7">
        <f>SUM(employment!D485:D505)</f>
        <v>6245.4000000000005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B875-8FD0-0E4D-AC2D-07795905D00A}">
  <dimension ref="A1:C13"/>
  <sheetViews>
    <sheetView workbookViewId="0">
      <selection activeCell="F15" sqref="F15"/>
    </sheetView>
  </sheetViews>
  <sheetFormatPr baseColWidth="10" defaultRowHeight="16" x14ac:dyDescent="0.2"/>
  <cols>
    <col min="3" max="3" width="17.5" style="2" bestFit="1" customWidth="1"/>
  </cols>
  <sheetData>
    <row r="1" spans="1:3" x14ac:dyDescent="0.2">
      <c r="A1" s="9" t="s">
        <v>32</v>
      </c>
      <c r="B1" s="9" t="s">
        <v>2</v>
      </c>
      <c r="C1" s="11" t="s">
        <v>36</v>
      </c>
    </row>
    <row r="2" spans="1:3" x14ac:dyDescent="0.2">
      <c r="A2" s="13" t="s">
        <v>33</v>
      </c>
      <c r="B2" s="13" t="s">
        <v>4</v>
      </c>
      <c r="C2" s="12">
        <f>import!C8-import!C2</f>
        <v>184059114</v>
      </c>
    </row>
    <row r="3" spans="1:3" x14ac:dyDescent="0.2">
      <c r="A3" s="13" t="s">
        <v>33</v>
      </c>
      <c r="B3" s="13" t="s">
        <v>26</v>
      </c>
      <c r="C3" s="12">
        <f>import!C9-import!C3</f>
        <v>35575991839</v>
      </c>
    </row>
    <row r="4" spans="1:3" x14ac:dyDescent="0.2">
      <c r="A4" s="13" t="s">
        <v>33</v>
      </c>
      <c r="B4" s="13" t="s">
        <v>27</v>
      </c>
      <c r="C4" s="12">
        <f>import!C10-import!C4</f>
        <v>0</v>
      </c>
    </row>
    <row r="5" spans="1:3" x14ac:dyDescent="0.2">
      <c r="A5" s="13" t="s">
        <v>33</v>
      </c>
      <c r="B5" s="13" t="s">
        <v>28</v>
      </c>
      <c r="C5" s="12">
        <f>import!C11-import!C5</f>
        <v>0</v>
      </c>
    </row>
    <row r="6" spans="1:3" x14ac:dyDescent="0.2">
      <c r="A6" s="13" t="s">
        <v>33</v>
      </c>
      <c r="B6" s="13" t="s">
        <v>29</v>
      </c>
      <c r="C6" s="12">
        <f>import!C12-import!C6</f>
        <v>-8872</v>
      </c>
    </row>
    <row r="7" spans="1:3" x14ac:dyDescent="0.2">
      <c r="A7" s="13" t="s">
        <v>33</v>
      </c>
      <c r="B7" s="13" t="s">
        <v>30</v>
      </c>
      <c r="C7" s="12">
        <f>import!C13-import!C7</f>
        <v>9704566</v>
      </c>
    </row>
    <row r="8" spans="1:3" x14ac:dyDescent="0.2">
      <c r="A8" s="13" t="s">
        <v>34</v>
      </c>
      <c r="B8" s="13" t="s">
        <v>4</v>
      </c>
      <c r="C8" s="12">
        <f>import!C20-import!C14</f>
        <v>172386607.00700003</v>
      </c>
    </row>
    <row r="9" spans="1:3" x14ac:dyDescent="0.2">
      <c r="A9" s="13" t="s">
        <v>34</v>
      </c>
      <c r="B9" s="13" t="s">
        <v>26</v>
      </c>
      <c r="C9" s="12">
        <f>import!C21-import!C15</f>
        <v>-18212380048.554993</v>
      </c>
    </row>
    <row r="10" spans="1:3" x14ac:dyDescent="0.2">
      <c r="A10" s="13" t="s">
        <v>34</v>
      </c>
      <c r="B10" s="13" t="s">
        <v>27</v>
      </c>
      <c r="C10" s="12">
        <f>import!C22-import!C16</f>
        <v>0</v>
      </c>
    </row>
    <row r="11" spans="1:3" x14ac:dyDescent="0.2">
      <c r="A11" s="13" t="s">
        <v>34</v>
      </c>
      <c r="B11" s="13" t="s">
        <v>28</v>
      </c>
      <c r="C11" s="12">
        <f>import!C23-import!C17</f>
        <v>0</v>
      </c>
    </row>
    <row r="12" spans="1:3" x14ac:dyDescent="0.2">
      <c r="A12" s="13" t="s">
        <v>34</v>
      </c>
      <c r="B12" s="13" t="s">
        <v>29</v>
      </c>
      <c r="C12" s="12">
        <f>import!C24-import!C18</f>
        <v>-304830.45400000003</v>
      </c>
    </row>
    <row r="13" spans="1:3" x14ac:dyDescent="0.2">
      <c r="A13" s="13" t="s">
        <v>34</v>
      </c>
      <c r="B13" s="13" t="s">
        <v>30</v>
      </c>
      <c r="C13" s="12">
        <f>import!C25-import!C19</f>
        <v>-6086119.0599999996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632D-D0D1-A545-A84C-96C4A3907A55}">
  <dimension ref="A1:G13"/>
  <sheetViews>
    <sheetView workbookViewId="0">
      <selection activeCell="H11" sqref="H11"/>
    </sheetView>
  </sheetViews>
  <sheetFormatPr baseColWidth="10" defaultRowHeight="16" x14ac:dyDescent="0.2"/>
  <cols>
    <col min="1" max="3" width="10.83203125" style="1"/>
    <col min="4" max="4" width="18.5" style="1" bestFit="1" customWidth="1"/>
    <col min="5" max="5" width="14" style="1" bestFit="1" customWidth="1"/>
  </cols>
  <sheetData>
    <row r="1" spans="1:7" s="8" customFormat="1" ht="15" customHeight="1" x14ac:dyDescent="0.2">
      <c r="A1" s="6" t="s">
        <v>32</v>
      </c>
      <c r="B1" s="6" t="s">
        <v>2</v>
      </c>
      <c r="C1" s="6" t="s">
        <v>35</v>
      </c>
      <c r="D1" s="15" t="s">
        <v>36</v>
      </c>
      <c r="E1" s="6" t="s">
        <v>37</v>
      </c>
    </row>
    <row r="2" spans="1:7" x14ac:dyDescent="0.2">
      <c r="A2" s="4" t="s">
        <v>33</v>
      </c>
      <c r="B2" s="4" t="s">
        <v>4</v>
      </c>
      <c r="C2" s="7">
        <f>L_i!C2</f>
        <v>1053.8999999999999</v>
      </c>
      <c r="D2" s="19">
        <f>delta_M!C2</f>
        <v>184059114</v>
      </c>
      <c r="E2" s="19">
        <f>D2/C2</f>
        <v>174645.71021918592</v>
      </c>
    </row>
    <row r="3" spans="1:7" x14ac:dyDescent="0.2">
      <c r="A3" s="4" t="s">
        <v>33</v>
      </c>
      <c r="B3" s="4" t="s">
        <v>26</v>
      </c>
      <c r="C3" s="7">
        <f>L_i!C3</f>
        <v>5066.0000000000009</v>
      </c>
      <c r="D3" s="19">
        <f>delta_M!C3</f>
        <v>35575991839</v>
      </c>
      <c r="E3" s="19">
        <f t="shared" ref="E3:E13" si="0">D3/C3</f>
        <v>7022501.3499802593</v>
      </c>
    </row>
    <row r="4" spans="1:7" x14ac:dyDescent="0.2">
      <c r="A4" s="4" t="s">
        <v>33</v>
      </c>
      <c r="B4" s="4" t="s">
        <v>27</v>
      </c>
      <c r="C4" s="7">
        <f>L_i!C4</f>
        <v>1550.3999999999999</v>
      </c>
      <c r="D4" s="19">
        <f>delta_M!C4</f>
        <v>0</v>
      </c>
      <c r="E4" s="19">
        <f t="shared" si="0"/>
        <v>0</v>
      </c>
    </row>
    <row r="5" spans="1:7" x14ac:dyDescent="0.2">
      <c r="A5" s="4" t="s">
        <v>33</v>
      </c>
      <c r="B5" s="4" t="s">
        <v>28</v>
      </c>
      <c r="C5" s="7">
        <f>L_i!C5</f>
        <v>5016.1000000000004</v>
      </c>
      <c r="D5" s="19">
        <f>delta_M!C5</f>
        <v>0</v>
      </c>
      <c r="E5" s="19">
        <f t="shared" si="0"/>
        <v>0</v>
      </c>
    </row>
    <row r="6" spans="1:7" x14ac:dyDescent="0.2">
      <c r="A6" s="4" t="s">
        <v>33</v>
      </c>
      <c r="B6" s="4" t="s">
        <v>29</v>
      </c>
      <c r="C6" s="7">
        <f>L_i!C6</f>
        <v>1996.6</v>
      </c>
      <c r="D6" s="19">
        <f>delta_M!C6</f>
        <v>-8872</v>
      </c>
      <c r="E6" s="19">
        <f t="shared" si="0"/>
        <v>-4.443554041871181</v>
      </c>
    </row>
    <row r="7" spans="1:7" x14ac:dyDescent="0.2">
      <c r="A7" s="4" t="s">
        <v>33</v>
      </c>
      <c r="B7" s="4" t="s">
        <v>30</v>
      </c>
      <c r="C7" s="7">
        <f>L_i!C7</f>
        <v>5608.4000000000005</v>
      </c>
      <c r="D7" s="19">
        <f>delta_M!C7</f>
        <v>9704566</v>
      </c>
      <c r="E7" s="19">
        <f t="shared" si="0"/>
        <v>1730.3626702802937</v>
      </c>
      <c r="G7" s="8"/>
    </row>
    <row r="8" spans="1:7" x14ac:dyDescent="0.2">
      <c r="A8" s="4" t="s">
        <v>34</v>
      </c>
      <c r="B8" s="4" t="s">
        <v>4</v>
      </c>
      <c r="C8" s="7">
        <f>L_i!C14</f>
        <v>778.7</v>
      </c>
      <c r="D8" s="19">
        <f>delta_M!C8</f>
        <v>172386607.00700003</v>
      </c>
      <c r="E8" s="19">
        <f t="shared" si="0"/>
        <v>221377.4329099782</v>
      </c>
    </row>
    <row r="9" spans="1:7" x14ac:dyDescent="0.2">
      <c r="A9" s="4" t="s">
        <v>34</v>
      </c>
      <c r="B9" s="4" t="s">
        <v>26</v>
      </c>
      <c r="C9" s="7">
        <f>L_i!C15</f>
        <v>4473.3</v>
      </c>
      <c r="D9" s="19">
        <f>delta_M!C9</f>
        <v>-18212380048.554993</v>
      </c>
      <c r="E9" s="19">
        <f t="shared" si="0"/>
        <v>-4071352.256400195</v>
      </c>
    </row>
    <row r="10" spans="1:7" x14ac:dyDescent="0.2">
      <c r="A10" s="4" t="s">
        <v>34</v>
      </c>
      <c r="B10" s="4" t="s">
        <v>27</v>
      </c>
      <c r="C10" s="7">
        <f>L_i!C16</f>
        <v>1673.5000000000005</v>
      </c>
      <c r="D10" s="19">
        <f>delta_M!C10</f>
        <v>0</v>
      </c>
      <c r="E10" s="19">
        <f t="shared" si="0"/>
        <v>0</v>
      </c>
    </row>
    <row r="11" spans="1:7" x14ac:dyDescent="0.2">
      <c r="A11" s="4" t="s">
        <v>34</v>
      </c>
      <c r="B11" s="4" t="s">
        <v>28</v>
      </c>
      <c r="C11" s="7">
        <f>L_i!C17</f>
        <v>6057.5</v>
      </c>
      <c r="D11" s="19">
        <f>delta_M!C11</f>
        <v>0</v>
      </c>
      <c r="E11" s="19">
        <f t="shared" si="0"/>
        <v>0</v>
      </c>
    </row>
    <row r="12" spans="1:7" x14ac:dyDescent="0.2">
      <c r="A12" s="4" t="s">
        <v>34</v>
      </c>
      <c r="B12" s="4" t="s">
        <v>29</v>
      </c>
      <c r="C12" s="7">
        <f>L_i!C18</f>
        <v>2907.1000000000004</v>
      </c>
      <c r="D12" s="19">
        <f>delta_M!C12</f>
        <v>-304830.45400000003</v>
      </c>
      <c r="E12" s="19">
        <f t="shared" si="0"/>
        <v>-104.85723022943827</v>
      </c>
    </row>
    <row r="13" spans="1:7" x14ac:dyDescent="0.2">
      <c r="A13" s="4" t="s">
        <v>34</v>
      </c>
      <c r="B13" s="4" t="s">
        <v>30</v>
      </c>
      <c r="C13" s="7">
        <f>L_i!C19</f>
        <v>6250.800000000002</v>
      </c>
      <c r="D13" s="19">
        <f>delta_M!C13</f>
        <v>-6086119.0599999996</v>
      </c>
      <c r="E13" s="19">
        <f t="shared" si="0"/>
        <v>-973.65442183400489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9E9-3C55-664F-AA32-8A8AA83F5540}">
  <dimension ref="A1:R23"/>
  <sheetViews>
    <sheetView workbookViewId="0">
      <selection activeCell="L31" sqref="L31"/>
    </sheetView>
  </sheetViews>
  <sheetFormatPr baseColWidth="10" defaultRowHeight="16" x14ac:dyDescent="0.2"/>
  <cols>
    <col min="1" max="1" width="32.1640625" bestFit="1" customWidth="1"/>
    <col min="11" max="11" width="32.1640625" bestFit="1" customWidth="1"/>
  </cols>
  <sheetData>
    <row r="1" spans="1:18" x14ac:dyDescent="0.2">
      <c r="A1" s="5">
        <v>1999</v>
      </c>
      <c r="B1" s="5"/>
      <c r="C1" s="5"/>
      <c r="D1" s="5"/>
      <c r="E1" s="5"/>
      <c r="F1" s="5"/>
      <c r="G1" s="5"/>
      <c r="H1" s="5"/>
      <c r="K1" s="5">
        <v>2012</v>
      </c>
      <c r="L1" s="5"/>
      <c r="M1" s="5"/>
      <c r="N1" s="5"/>
      <c r="O1" s="5"/>
      <c r="P1" s="5"/>
      <c r="Q1" s="5"/>
      <c r="R1" s="5"/>
    </row>
    <row r="2" spans="1:18" x14ac:dyDescent="0.2">
      <c r="A2" s="9"/>
      <c r="B2" s="9" t="s">
        <v>4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38</v>
      </c>
      <c r="K2" s="6"/>
      <c r="L2" s="6" t="s">
        <v>4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40</v>
      </c>
    </row>
    <row r="3" spans="1:18" x14ac:dyDescent="0.2">
      <c r="A3" s="9" t="s">
        <v>5</v>
      </c>
      <c r="B3" s="7">
        <f>employment!D2</f>
        <v>57.9</v>
      </c>
      <c r="C3" s="7">
        <f>employment!D87</f>
        <v>6.4</v>
      </c>
      <c r="D3" s="7">
        <f>employment!D170</f>
        <v>104.3</v>
      </c>
      <c r="E3" s="7">
        <f>employment!D254</f>
        <v>395</v>
      </c>
      <c r="F3" s="7">
        <f>employment!D338</f>
        <v>166.2</v>
      </c>
      <c r="G3" s="7">
        <f>employment!D422</f>
        <v>395.6</v>
      </c>
      <c r="H3" s="7">
        <f>SUM(B3:G3)</f>
        <v>1125.4000000000001</v>
      </c>
      <c r="K3" s="6" t="s">
        <v>5</v>
      </c>
      <c r="L3" s="7">
        <f>employment!D44</f>
        <v>49.1</v>
      </c>
      <c r="M3" s="7">
        <f>employment!D128</f>
        <v>455</v>
      </c>
      <c r="N3" s="7">
        <f>employment!D212</f>
        <v>139.4</v>
      </c>
      <c r="O3" s="7">
        <f>employment!D296</f>
        <v>443.90000000000003</v>
      </c>
      <c r="P3" s="7">
        <f>employment!D380</f>
        <v>230.5</v>
      </c>
      <c r="Q3" s="7">
        <f>employment!D464</f>
        <v>462.6</v>
      </c>
      <c r="R3" s="7">
        <f>SUM(L3:Q3)</f>
        <v>1780.5</v>
      </c>
    </row>
    <row r="4" spans="1:18" x14ac:dyDescent="0.2">
      <c r="A4" s="9" t="s">
        <v>6</v>
      </c>
      <c r="B4" s="7">
        <f>employment!D3</f>
        <v>2.7999999999999972</v>
      </c>
      <c r="C4" s="7">
        <f>employment!D88</f>
        <v>92.5</v>
      </c>
      <c r="D4" s="7">
        <f>employment!D171</f>
        <v>5.6</v>
      </c>
      <c r="E4" s="7">
        <f>employment!D255</f>
        <v>15.4</v>
      </c>
      <c r="F4" s="7">
        <f>employment!D339</f>
        <v>3.9</v>
      </c>
      <c r="G4" s="7">
        <f>employment!D423</f>
        <v>17</v>
      </c>
      <c r="H4" s="7">
        <f t="shared" ref="H4:H23" si="0">SUM(B4:G4)</f>
        <v>137.19999999999999</v>
      </c>
      <c r="K4" s="6" t="s">
        <v>6</v>
      </c>
      <c r="L4" s="7">
        <f>employment!D45</f>
        <v>2.1</v>
      </c>
      <c r="M4" s="7">
        <f>employment!D129</f>
        <v>5.8</v>
      </c>
      <c r="N4" s="7">
        <f>employment!D213</f>
        <v>6.3</v>
      </c>
      <c r="O4" s="7">
        <f>employment!D297</f>
        <v>14</v>
      </c>
      <c r="P4" s="7">
        <f>employment!D381</f>
        <v>4.9000000000000004</v>
      </c>
      <c r="Q4" s="7">
        <f>employment!D465</f>
        <v>19</v>
      </c>
      <c r="R4" s="7">
        <f t="shared" ref="R4:R23" si="1">SUM(L4:Q4)</f>
        <v>52.1</v>
      </c>
    </row>
    <row r="5" spans="1:18" x14ac:dyDescent="0.2">
      <c r="A5" s="9" t="s">
        <v>7</v>
      </c>
      <c r="B5" s="7">
        <f>employment!D4</f>
        <v>19.899999999999999</v>
      </c>
      <c r="C5" s="7">
        <f>employment!D89</f>
        <v>1268.4000000000001</v>
      </c>
      <c r="D5" s="7">
        <f>employment!D172</f>
        <v>42.7</v>
      </c>
      <c r="E5" s="7">
        <f>employment!D256</f>
        <v>182.6</v>
      </c>
      <c r="F5" s="7">
        <f>employment!D340</f>
        <v>73.8</v>
      </c>
      <c r="G5" s="7">
        <f>employment!D424</f>
        <v>171.4</v>
      </c>
      <c r="H5" s="7">
        <f t="shared" si="0"/>
        <v>1758.8000000000002</v>
      </c>
      <c r="K5" s="6" t="s">
        <v>7</v>
      </c>
      <c r="L5" s="7">
        <f>employment!D46</f>
        <v>12.6</v>
      </c>
      <c r="M5" s="7">
        <f>employment!D130</f>
        <v>72.5</v>
      </c>
      <c r="N5" s="7">
        <f>employment!D214</f>
        <v>41.6</v>
      </c>
      <c r="O5" s="7">
        <f>employment!D298</f>
        <v>199.9</v>
      </c>
      <c r="P5" s="7">
        <f>employment!D382</f>
        <v>83.2</v>
      </c>
      <c r="Q5" s="7">
        <f>employment!D466</f>
        <v>191.2</v>
      </c>
      <c r="R5" s="7">
        <f t="shared" si="1"/>
        <v>601</v>
      </c>
    </row>
    <row r="6" spans="1:18" x14ac:dyDescent="0.2">
      <c r="A6" s="9" t="s">
        <v>8</v>
      </c>
      <c r="B6" s="7">
        <f>employment!D5</f>
        <v>73.3</v>
      </c>
      <c r="C6" s="7">
        <f>employment!D90</f>
        <v>111.5</v>
      </c>
      <c r="D6" s="7">
        <f>employment!D173</f>
        <v>291</v>
      </c>
      <c r="E6" s="7">
        <f>employment!D257</f>
        <v>877.6</v>
      </c>
      <c r="F6" s="7">
        <f>employment!D341</f>
        <v>486.2</v>
      </c>
      <c r="G6" s="7">
        <f>employment!D425</f>
        <v>778.4</v>
      </c>
      <c r="H6" s="7">
        <f t="shared" si="0"/>
        <v>2618</v>
      </c>
      <c r="K6" s="6" t="s">
        <v>8</v>
      </c>
      <c r="L6" s="7">
        <f>employment!D47</f>
        <v>51.4</v>
      </c>
      <c r="M6" s="7">
        <f>employment!D131</f>
        <v>1101.2</v>
      </c>
      <c r="N6" s="7">
        <f>employment!D215</f>
        <v>307.60000000000002</v>
      </c>
      <c r="O6" s="7">
        <f>employment!D299</f>
        <v>1095.3</v>
      </c>
      <c r="P6" s="7">
        <f>employment!D383</f>
        <v>615.70000000000005</v>
      </c>
      <c r="Q6" s="7">
        <f>employment!D467</f>
        <v>936.5</v>
      </c>
      <c r="R6" s="7">
        <f t="shared" si="1"/>
        <v>4107.7</v>
      </c>
    </row>
    <row r="7" spans="1:18" x14ac:dyDescent="0.2">
      <c r="A7" s="9" t="s">
        <v>9</v>
      </c>
      <c r="B7" s="7">
        <f>employment!D6</f>
        <v>26.4</v>
      </c>
      <c r="C7" s="7">
        <f>employment!D91</f>
        <v>19.3</v>
      </c>
      <c r="D7" s="7">
        <f>employment!D174</f>
        <v>37.200000000000003</v>
      </c>
      <c r="E7" s="7">
        <f>employment!D258</f>
        <v>98</v>
      </c>
      <c r="F7" s="7">
        <f>employment!D342</f>
        <v>34.799999999999997</v>
      </c>
      <c r="G7" s="7">
        <f>employment!D426</f>
        <v>121.7</v>
      </c>
      <c r="H7" s="7">
        <f t="shared" si="0"/>
        <v>337.4</v>
      </c>
      <c r="K7" s="6" t="s">
        <v>9</v>
      </c>
      <c r="L7" s="7">
        <f>employment!D48</f>
        <v>11.9</v>
      </c>
      <c r="M7" s="7">
        <f>employment!D132</f>
        <v>110.4</v>
      </c>
      <c r="N7" s="7">
        <f>employment!D216</f>
        <v>48.7</v>
      </c>
      <c r="O7" s="7">
        <f>employment!D300</f>
        <v>131.6</v>
      </c>
      <c r="P7" s="7">
        <f>employment!D384</f>
        <v>54.7</v>
      </c>
      <c r="Q7" s="7">
        <f>employment!D468</f>
        <v>134.5</v>
      </c>
      <c r="R7" s="7">
        <f t="shared" si="1"/>
        <v>491.8</v>
      </c>
    </row>
    <row r="8" spans="1:18" x14ac:dyDescent="0.2">
      <c r="A8" s="9" t="s">
        <v>10</v>
      </c>
      <c r="B8" s="7">
        <f>employment!D7</f>
        <v>12.6</v>
      </c>
      <c r="C8" s="7">
        <f>employment!D92</f>
        <v>247.4</v>
      </c>
      <c r="D8" s="7">
        <f>employment!D175</f>
        <v>11.3</v>
      </c>
      <c r="E8" s="7">
        <f>employment!D259</f>
        <v>20.5</v>
      </c>
      <c r="F8" s="7">
        <f>employment!D343</f>
        <v>7.4</v>
      </c>
      <c r="G8" s="7">
        <f>employment!D427</f>
        <v>32.4</v>
      </c>
      <c r="H8" s="7">
        <f t="shared" si="0"/>
        <v>331.59999999999997</v>
      </c>
      <c r="K8" s="6" t="s">
        <v>10</v>
      </c>
      <c r="L8" s="7">
        <f>employment!D49</f>
        <v>6.7</v>
      </c>
      <c r="M8" s="7">
        <f>employment!D133</f>
        <v>18.600000000000001</v>
      </c>
      <c r="N8" s="7">
        <f>employment!D217</f>
        <v>10.5</v>
      </c>
      <c r="O8" s="7">
        <f>employment!D301</f>
        <v>24.4</v>
      </c>
      <c r="P8" s="7">
        <f>employment!D385</f>
        <v>10.9</v>
      </c>
      <c r="Q8" s="7">
        <f>employment!D469</f>
        <v>31.1</v>
      </c>
      <c r="R8" s="7">
        <f t="shared" si="1"/>
        <v>102.19999999999999</v>
      </c>
    </row>
    <row r="9" spans="1:18" x14ac:dyDescent="0.2">
      <c r="A9" s="9" t="s">
        <v>11</v>
      </c>
      <c r="B9" s="7">
        <f>employment!D8</f>
        <v>114.8</v>
      </c>
      <c r="C9" s="7">
        <f>employment!D93</f>
        <v>200.7</v>
      </c>
      <c r="D9" s="7">
        <f>employment!D176</f>
        <v>132.1</v>
      </c>
      <c r="E9" s="7">
        <f>employment!D260</f>
        <v>379.6</v>
      </c>
      <c r="F9" s="7">
        <f>employment!D344</f>
        <v>116.4</v>
      </c>
      <c r="G9" s="7">
        <f>employment!D428</f>
        <v>550.9</v>
      </c>
      <c r="H9" s="7">
        <f t="shared" si="0"/>
        <v>1494.5</v>
      </c>
      <c r="K9" s="6" t="s">
        <v>11</v>
      </c>
      <c r="L9" s="7">
        <f>employment!D50</f>
        <v>61.2</v>
      </c>
      <c r="M9" s="7">
        <f>employment!D134</f>
        <v>218.8</v>
      </c>
      <c r="N9" s="7">
        <f>employment!D218</f>
        <v>119.7</v>
      </c>
      <c r="O9" s="7">
        <f>employment!D302</f>
        <v>465.8</v>
      </c>
      <c r="P9" s="7">
        <f>employment!D386</f>
        <v>201.89999999999998</v>
      </c>
      <c r="Q9" s="7">
        <f>employment!D470</f>
        <v>498.1</v>
      </c>
      <c r="R9" s="7">
        <f t="shared" si="1"/>
        <v>1565.5</v>
      </c>
    </row>
    <row r="10" spans="1:18" x14ac:dyDescent="0.2">
      <c r="A10" s="9" t="s">
        <v>12</v>
      </c>
      <c r="B10" s="7">
        <f>employment!D9</f>
        <v>133.30000000000001</v>
      </c>
      <c r="C10" s="7">
        <f>employment!D94</f>
        <v>34.299999999999997</v>
      </c>
      <c r="D10" s="7">
        <f>employment!D177</f>
        <v>109.3</v>
      </c>
      <c r="E10" s="7">
        <f>employment!D261</f>
        <v>263.8</v>
      </c>
      <c r="F10" s="7">
        <f>employment!D345</f>
        <v>69.3</v>
      </c>
      <c r="G10" s="7">
        <f>employment!D429</f>
        <v>381.2</v>
      </c>
      <c r="H10" s="7">
        <f t="shared" si="0"/>
        <v>991.2</v>
      </c>
      <c r="K10" s="6" t="s">
        <v>12</v>
      </c>
      <c r="L10" s="7">
        <f>employment!D51</f>
        <v>106</v>
      </c>
      <c r="M10" s="7">
        <f>employment!D135</f>
        <v>191.6</v>
      </c>
      <c r="N10" s="7">
        <f>employment!D219</f>
        <v>101.2</v>
      </c>
      <c r="O10" s="7">
        <f>employment!D303</f>
        <v>326</v>
      </c>
      <c r="P10" s="7">
        <f>employment!D387</f>
        <v>143.30000000000001</v>
      </c>
      <c r="Q10" s="7">
        <f>employment!D471</f>
        <v>349.9</v>
      </c>
      <c r="R10" s="7">
        <f t="shared" si="1"/>
        <v>1218</v>
      </c>
    </row>
    <row r="11" spans="1:18" x14ac:dyDescent="0.2">
      <c r="A11" s="9" t="s">
        <v>13</v>
      </c>
      <c r="B11" s="7">
        <f>employment!D10</f>
        <v>21.5</v>
      </c>
      <c r="C11" s="7">
        <f>employment!D95</f>
        <v>39.200000000000003</v>
      </c>
      <c r="D11" s="7">
        <f>employment!D178</f>
        <v>21.6</v>
      </c>
      <c r="E11" s="7">
        <f>employment!D262</f>
        <v>36.1</v>
      </c>
      <c r="F11" s="7">
        <f>employment!D346</f>
        <v>8.1</v>
      </c>
      <c r="G11" s="7">
        <f>employment!D430</f>
        <v>52</v>
      </c>
      <c r="H11" s="7">
        <f t="shared" si="0"/>
        <v>178.5</v>
      </c>
      <c r="K11" s="6" t="s">
        <v>13</v>
      </c>
      <c r="L11" s="7">
        <f>employment!D52</f>
        <v>13.8</v>
      </c>
      <c r="M11" s="7">
        <f>employment!D136</f>
        <v>31.5</v>
      </c>
      <c r="N11" s="7">
        <f>employment!D220</f>
        <v>18</v>
      </c>
      <c r="O11" s="7">
        <f>employment!D304</f>
        <v>43.6</v>
      </c>
      <c r="P11" s="7">
        <f>employment!D388</f>
        <v>18.599999999999998</v>
      </c>
      <c r="Q11" s="7">
        <f>employment!D472</f>
        <v>53.4</v>
      </c>
      <c r="R11" s="7">
        <f t="shared" si="1"/>
        <v>178.9</v>
      </c>
    </row>
    <row r="12" spans="1:18" x14ac:dyDescent="0.2">
      <c r="A12" s="9" t="s">
        <v>14</v>
      </c>
      <c r="B12" s="7">
        <f>employment!D11</f>
        <v>63.5</v>
      </c>
      <c r="C12" s="7">
        <f>employment!D96</f>
        <v>125.4</v>
      </c>
      <c r="D12" s="7">
        <f>employment!D179</f>
        <v>58</v>
      </c>
      <c r="E12" s="7">
        <f>employment!D263</f>
        <v>127.8</v>
      </c>
      <c r="F12" s="7">
        <f>employment!D347</f>
        <v>34.9</v>
      </c>
      <c r="G12" s="7">
        <f>employment!D431</f>
        <v>197</v>
      </c>
      <c r="H12" s="7">
        <f t="shared" si="0"/>
        <v>606.59999999999991</v>
      </c>
      <c r="K12" s="6" t="s">
        <v>14</v>
      </c>
      <c r="L12" s="7">
        <f>employment!D53</f>
        <v>56.6</v>
      </c>
      <c r="M12" s="7">
        <f>employment!D137</f>
        <v>48</v>
      </c>
      <c r="N12" s="7">
        <f>employment!D221</f>
        <v>43.7</v>
      </c>
      <c r="O12" s="7">
        <f>employment!D305</f>
        <v>156.80000000000001</v>
      </c>
      <c r="P12" s="7">
        <f>employment!D389</f>
        <v>63.8</v>
      </c>
      <c r="Q12" s="7">
        <f>employment!D473</f>
        <v>174</v>
      </c>
      <c r="R12" s="7">
        <f t="shared" si="1"/>
        <v>542.90000000000009</v>
      </c>
    </row>
    <row r="13" spans="1:18" x14ac:dyDescent="0.2">
      <c r="A13" s="9" t="s">
        <v>15</v>
      </c>
      <c r="B13" s="7">
        <f>employment!D12</f>
        <v>118.2</v>
      </c>
      <c r="C13" s="7">
        <f>employment!D97</f>
        <v>59.4</v>
      </c>
      <c r="D13" s="7">
        <f>employment!D180</f>
        <v>125.1</v>
      </c>
      <c r="E13" s="7">
        <f>employment!D264</f>
        <v>317</v>
      </c>
      <c r="F13" s="7">
        <f>employment!D348</f>
        <v>95.4</v>
      </c>
      <c r="G13" s="7">
        <f>employment!D432</f>
        <v>520.29999999999995</v>
      </c>
      <c r="H13" s="7">
        <f t="shared" si="0"/>
        <v>1235.4000000000001</v>
      </c>
      <c r="K13" s="6" t="s">
        <v>15</v>
      </c>
      <c r="L13" s="7">
        <f>employment!D54</f>
        <v>113</v>
      </c>
      <c r="M13" s="7">
        <f>employment!D138</f>
        <v>126.4</v>
      </c>
      <c r="N13" s="7">
        <f>employment!D222</f>
        <v>101.2</v>
      </c>
      <c r="O13" s="7">
        <f>employment!D306</f>
        <v>368.8</v>
      </c>
      <c r="P13" s="7">
        <f>employment!D390</f>
        <v>153.69999999999999</v>
      </c>
      <c r="Q13" s="7">
        <f>employment!D474</f>
        <v>518.9</v>
      </c>
      <c r="R13" s="7">
        <f t="shared" si="1"/>
        <v>1382</v>
      </c>
    </row>
    <row r="14" spans="1:18" x14ac:dyDescent="0.2">
      <c r="A14" s="9" t="s">
        <v>16</v>
      </c>
      <c r="B14" s="7">
        <f>employment!D13</f>
        <v>39.5</v>
      </c>
      <c r="C14" s="7">
        <f>employment!D98</f>
        <v>34.799999999999997</v>
      </c>
      <c r="D14" s="7">
        <f>employment!D181</f>
        <v>56.1</v>
      </c>
      <c r="E14" s="7">
        <f>employment!D265</f>
        <v>136</v>
      </c>
      <c r="F14" s="7">
        <f>employment!D349</f>
        <v>33.1</v>
      </c>
      <c r="G14" s="7">
        <f>employment!D433</f>
        <v>182.5</v>
      </c>
      <c r="H14" s="7">
        <f t="shared" si="0"/>
        <v>482</v>
      </c>
      <c r="K14" s="6" t="s">
        <v>16</v>
      </c>
      <c r="L14" s="7">
        <f>employment!D55</f>
        <v>32.1</v>
      </c>
      <c r="M14" s="7">
        <f>employment!D139</f>
        <v>52.9</v>
      </c>
      <c r="N14" s="7">
        <f>employment!D223</f>
        <v>46.4</v>
      </c>
      <c r="O14" s="7">
        <f>employment!D307</f>
        <v>164.1</v>
      </c>
      <c r="P14" s="7">
        <f>employment!D391</f>
        <v>74.2</v>
      </c>
      <c r="Q14" s="7">
        <f>employment!D475</f>
        <v>208</v>
      </c>
      <c r="R14" s="7">
        <f t="shared" si="1"/>
        <v>577.70000000000005</v>
      </c>
    </row>
    <row r="15" spans="1:18" x14ac:dyDescent="0.2">
      <c r="A15" s="9" t="s">
        <v>17</v>
      </c>
      <c r="B15" s="7">
        <f>employment!D14</f>
        <v>21.8</v>
      </c>
      <c r="C15" s="7">
        <f>employment!D99</f>
        <v>36.1</v>
      </c>
      <c r="D15" s="7">
        <f>employment!D182</f>
        <v>16.600000000000001</v>
      </c>
      <c r="E15" s="7">
        <f>employment!D266</f>
        <v>59</v>
      </c>
      <c r="F15" s="7">
        <f>employment!D350</f>
        <v>14.2</v>
      </c>
      <c r="G15" s="7">
        <f>employment!D434</f>
        <v>57.3</v>
      </c>
      <c r="H15" s="7">
        <f t="shared" si="0"/>
        <v>205</v>
      </c>
      <c r="K15" s="6" t="s">
        <v>17</v>
      </c>
      <c r="L15" s="7">
        <f>employment!D56</f>
        <v>14.2</v>
      </c>
      <c r="M15" s="7">
        <f>employment!D140</f>
        <v>31.9</v>
      </c>
      <c r="N15" s="7">
        <f>employment!D224</f>
        <v>20.9</v>
      </c>
      <c r="O15" s="7">
        <f>employment!D308</f>
        <v>75.5</v>
      </c>
      <c r="P15" s="7">
        <f>employment!D392</f>
        <v>24.6</v>
      </c>
      <c r="Q15" s="7">
        <f>employment!D476</f>
        <v>69</v>
      </c>
      <c r="R15" s="7">
        <f t="shared" si="1"/>
        <v>236.1</v>
      </c>
    </row>
    <row r="16" spans="1:18" x14ac:dyDescent="0.2">
      <c r="A16" s="9" t="s">
        <v>18</v>
      </c>
      <c r="B16" s="7">
        <f>employment!D15</f>
        <v>9.9</v>
      </c>
      <c r="C16" s="7">
        <f>employment!D100</f>
        <v>681.1</v>
      </c>
      <c r="D16" s="7">
        <f>employment!D183</f>
        <v>19.600000000000001</v>
      </c>
      <c r="E16" s="7">
        <f>employment!D267</f>
        <v>53.9</v>
      </c>
      <c r="F16" s="7">
        <f>employment!D351</f>
        <v>16.100000000000001</v>
      </c>
      <c r="G16" s="7">
        <f>employment!D435</f>
        <v>53.4</v>
      </c>
      <c r="H16" s="7">
        <f t="shared" si="0"/>
        <v>834</v>
      </c>
      <c r="K16" s="6" t="s">
        <v>18</v>
      </c>
      <c r="L16" s="7">
        <f>employment!D57</f>
        <v>8.1</v>
      </c>
      <c r="M16" s="7">
        <f>employment!D141</f>
        <v>40.9</v>
      </c>
      <c r="N16" s="7">
        <f>employment!D225</f>
        <v>19</v>
      </c>
      <c r="O16" s="7">
        <f>employment!D309</f>
        <v>56.6</v>
      </c>
      <c r="P16" s="7">
        <f>employment!D393</f>
        <v>26.6</v>
      </c>
      <c r="Q16" s="7">
        <f>employment!D477</f>
        <v>70.900000000000006</v>
      </c>
      <c r="R16" s="7">
        <f t="shared" si="1"/>
        <v>222.1</v>
      </c>
    </row>
    <row r="17" spans="1:18" x14ac:dyDescent="0.2">
      <c r="A17" s="9" t="s">
        <v>19</v>
      </c>
      <c r="B17" s="7">
        <f>employment!D16</f>
        <v>80.599999999999994</v>
      </c>
      <c r="C17" s="7">
        <f>employment!D101</f>
        <v>124.8</v>
      </c>
      <c r="D17" s="7">
        <f>employment!D184</f>
        <v>122.8</v>
      </c>
      <c r="E17" s="7">
        <f>employment!D268</f>
        <v>418.4</v>
      </c>
      <c r="F17" s="7">
        <f>employment!D352</f>
        <v>161.4</v>
      </c>
      <c r="G17" s="7">
        <f>employment!D436</f>
        <v>388</v>
      </c>
      <c r="H17" s="7">
        <f t="shared" si="0"/>
        <v>1296</v>
      </c>
      <c r="K17" s="6" t="s">
        <v>19</v>
      </c>
      <c r="L17" s="7">
        <f>employment!D58</f>
        <v>70.599999999999994</v>
      </c>
      <c r="M17" s="7">
        <f>employment!D142</f>
        <v>582.1</v>
      </c>
      <c r="N17" s="7">
        <f>employment!D226</f>
        <v>158.80000000000001</v>
      </c>
      <c r="O17" s="7">
        <f>employment!D310</f>
        <v>559</v>
      </c>
      <c r="P17" s="7">
        <f>employment!D394</f>
        <v>223.5</v>
      </c>
      <c r="Q17" s="7">
        <f>employment!D478</f>
        <v>469.8</v>
      </c>
      <c r="R17" s="7">
        <f t="shared" si="1"/>
        <v>2063.8000000000002</v>
      </c>
    </row>
    <row r="18" spans="1:18" x14ac:dyDescent="0.2">
      <c r="A18" s="9" t="s">
        <v>20</v>
      </c>
      <c r="B18" s="7">
        <f>employment!D17</f>
        <v>21.6</v>
      </c>
      <c r="C18" s="7">
        <f>employment!D102</f>
        <v>520.10000000000025</v>
      </c>
      <c r="D18" s="7">
        <f>employment!D185</f>
        <v>31.3</v>
      </c>
      <c r="E18" s="7">
        <f>employment!D269</f>
        <v>123.2</v>
      </c>
      <c r="F18" s="7">
        <f>employment!D353</f>
        <v>41.4</v>
      </c>
      <c r="G18" s="7">
        <f>employment!D437</f>
        <v>122.9</v>
      </c>
      <c r="H18" s="7">
        <f t="shared" si="0"/>
        <v>860.50000000000023</v>
      </c>
      <c r="K18" s="6" t="s">
        <v>20</v>
      </c>
      <c r="L18" s="7">
        <f>employment!D59</f>
        <v>9.5</v>
      </c>
      <c r="M18" s="7">
        <f>employment!D143</f>
        <v>130.5</v>
      </c>
      <c r="N18" s="7">
        <f>employment!D227</f>
        <v>30.9</v>
      </c>
      <c r="O18" s="7">
        <f>employment!D311</f>
        <v>117.2</v>
      </c>
      <c r="P18" s="7">
        <f>employment!D395</f>
        <v>64</v>
      </c>
      <c r="Q18" s="7">
        <f>employment!D479</f>
        <v>139.1</v>
      </c>
      <c r="R18" s="7">
        <f t="shared" si="1"/>
        <v>491.20000000000005</v>
      </c>
    </row>
    <row r="19" spans="1:18" x14ac:dyDescent="0.2">
      <c r="A19" s="9" t="s">
        <v>21</v>
      </c>
      <c r="B19" s="7">
        <f>employment!D18</f>
        <v>105.4</v>
      </c>
      <c r="C19" s="7">
        <f>employment!D103</f>
        <v>383.8</v>
      </c>
      <c r="D19" s="7">
        <f>employment!D186</f>
        <v>101.89999999999999</v>
      </c>
      <c r="E19" s="7">
        <f>employment!D270</f>
        <v>425.3</v>
      </c>
      <c r="F19" s="7">
        <f>employment!D354</f>
        <v>163.09999999999997</v>
      </c>
      <c r="G19" s="7">
        <f>employment!D438</f>
        <v>370.70000000000005</v>
      </c>
      <c r="H19" s="7">
        <f t="shared" si="0"/>
        <v>1550.2</v>
      </c>
      <c r="K19" s="6" t="s">
        <v>21</v>
      </c>
      <c r="L19" s="7">
        <f>employment!D60</f>
        <v>62.1</v>
      </c>
      <c r="M19" s="7">
        <f>employment!D144</f>
        <v>498.1</v>
      </c>
      <c r="N19" s="7">
        <f>employment!D228</f>
        <v>118</v>
      </c>
      <c r="O19" s="7">
        <f>employment!D312</f>
        <v>490.9</v>
      </c>
      <c r="P19" s="7">
        <f>employment!D396</f>
        <v>249</v>
      </c>
      <c r="Q19" s="7">
        <f>employment!D480</f>
        <v>466.3</v>
      </c>
      <c r="R19" s="7">
        <f t="shared" si="1"/>
        <v>1884.3999999999999</v>
      </c>
    </row>
    <row r="20" spans="1:18" x14ac:dyDescent="0.2">
      <c r="A20" s="9" t="s">
        <v>22</v>
      </c>
      <c r="B20" s="7">
        <f>employment!D19</f>
        <v>42.8</v>
      </c>
      <c r="C20" s="7">
        <f>employment!D104</f>
        <v>76.3</v>
      </c>
      <c r="D20" s="7">
        <f>employment!D187</f>
        <v>81.8</v>
      </c>
      <c r="E20" s="7">
        <f>employment!D271</f>
        <v>369.8</v>
      </c>
      <c r="F20" s="7">
        <f>employment!D355</f>
        <v>128.19999999999999</v>
      </c>
      <c r="G20" s="7">
        <f>employment!D439</f>
        <v>330.1</v>
      </c>
      <c r="H20" s="7">
        <f t="shared" si="0"/>
        <v>1029</v>
      </c>
      <c r="K20" s="6" t="s">
        <v>22</v>
      </c>
      <c r="L20" s="7">
        <f>employment!D61</f>
        <v>40.9</v>
      </c>
      <c r="M20" s="7">
        <f>employment!D145</f>
        <v>280.2</v>
      </c>
      <c r="N20" s="7">
        <f>employment!D229</f>
        <v>115.8</v>
      </c>
      <c r="O20" s="7">
        <f>employment!D313</f>
        <v>426.6</v>
      </c>
      <c r="P20" s="7">
        <f>employment!D397</f>
        <v>212.8</v>
      </c>
      <c r="Q20" s="7">
        <f>employment!D481</f>
        <v>425.59999999999997</v>
      </c>
      <c r="R20" s="7">
        <f t="shared" si="1"/>
        <v>1501.8999999999999</v>
      </c>
    </row>
    <row r="21" spans="1:18" x14ac:dyDescent="0.2">
      <c r="A21" s="9" t="s">
        <v>23</v>
      </c>
      <c r="B21" s="7">
        <f>employment!D20</f>
        <v>13.9</v>
      </c>
      <c r="C21" s="7">
        <f>employment!D105</f>
        <v>197.79999999999995</v>
      </c>
      <c r="D21" s="7">
        <f>employment!D188</f>
        <v>22.9</v>
      </c>
      <c r="E21" s="7">
        <f>employment!D272</f>
        <v>80.5</v>
      </c>
      <c r="F21" s="7">
        <f>employment!D356</f>
        <v>24.6</v>
      </c>
      <c r="G21" s="7">
        <f>employment!D440</f>
        <v>91.9</v>
      </c>
      <c r="H21" s="7">
        <f t="shared" si="0"/>
        <v>431.6</v>
      </c>
      <c r="K21" s="6" t="s">
        <v>23</v>
      </c>
      <c r="L21" s="7">
        <f>employment!D62</f>
        <v>9.5</v>
      </c>
      <c r="M21" s="7">
        <f>employment!D146</f>
        <v>74.5</v>
      </c>
      <c r="N21" s="7">
        <f>employment!D230</f>
        <v>29.5</v>
      </c>
      <c r="O21" s="7">
        <f>employment!D314</f>
        <v>95.5</v>
      </c>
      <c r="P21" s="7">
        <f>employment!D398</f>
        <v>38.9</v>
      </c>
      <c r="Q21" s="7">
        <f>employment!D482</f>
        <v>96.6</v>
      </c>
      <c r="R21" s="7">
        <f t="shared" si="1"/>
        <v>344.5</v>
      </c>
    </row>
    <row r="22" spans="1:18" x14ac:dyDescent="0.2">
      <c r="A22" s="9" t="s">
        <v>24</v>
      </c>
      <c r="B22" s="7">
        <f>employment!D21</f>
        <v>21.800000000000004</v>
      </c>
      <c r="C22" s="7">
        <f>employment!D106</f>
        <v>231.5</v>
      </c>
      <c r="D22" s="7">
        <f>employment!D189</f>
        <v>40.099999999999966</v>
      </c>
      <c r="E22" s="7">
        <f>employment!D273</f>
        <v>126.30000000000013</v>
      </c>
      <c r="F22" s="7">
        <f>employment!D357</f>
        <v>49.699999999999989</v>
      </c>
      <c r="G22" s="7">
        <f>employment!D441</f>
        <v>134.40000000000009</v>
      </c>
      <c r="H22" s="7">
        <f t="shared" si="0"/>
        <v>603.80000000000018</v>
      </c>
      <c r="K22" s="6" t="s">
        <v>24</v>
      </c>
      <c r="L22" s="7">
        <f>employment!D63</f>
        <v>12.9</v>
      </c>
      <c r="M22" s="7">
        <f>employment!D147</f>
        <v>181.6</v>
      </c>
      <c r="N22" s="7">
        <f>employment!D231</f>
        <v>38.9</v>
      </c>
      <c r="O22" s="7">
        <f>employment!D315</f>
        <v>153.1</v>
      </c>
      <c r="P22" s="7">
        <f>employment!D399</f>
        <v>71.5</v>
      </c>
      <c r="Q22" s="7">
        <f>employment!D483</f>
        <v>159</v>
      </c>
      <c r="R22" s="7">
        <f t="shared" si="1"/>
        <v>617</v>
      </c>
    </row>
    <row r="23" spans="1:18" x14ac:dyDescent="0.2">
      <c r="A23" s="9" t="s">
        <v>25</v>
      </c>
      <c r="B23" s="7">
        <f>employment!D22</f>
        <v>52.4</v>
      </c>
      <c r="C23" s="7">
        <f>employment!D107</f>
        <v>475</v>
      </c>
      <c r="D23" s="7">
        <f>employment!D190</f>
        <v>119.1</v>
      </c>
      <c r="E23" s="7">
        <f>employment!D274</f>
        <v>510.3</v>
      </c>
      <c r="F23" s="7">
        <f>employment!D358</f>
        <v>268.39999999999998</v>
      </c>
      <c r="G23" s="7">
        <f>employment!D442</f>
        <v>659.3</v>
      </c>
      <c r="H23" s="7">
        <f t="shared" si="0"/>
        <v>2084.5</v>
      </c>
      <c r="K23" s="6" t="s">
        <v>25</v>
      </c>
      <c r="L23" s="7">
        <f>employment!D64</f>
        <v>34.4</v>
      </c>
      <c r="M23" s="7">
        <f>employment!D148</f>
        <v>220.8</v>
      </c>
      <c r="N23" s="7">
        <f>employment!D232</f>
        <v>157.4</v>
      </c>
      <c r="O23" s="7">
        <f>employment!D316</f>
        <v>648.90000000000009</v>
      </c>
      <c r="P23" s="7">
        <f>employment!D400</f>
        <v>340.8</v>
      </c>
      <c r="Q23" s="7">
        <f>employment!D484</f>
        <v>777.30000000000007</v>
      </c>
      <c r="R23" s="7">
        <f t="shared" si="1"/>
        <v>2179.6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9531-5238-C845-82EF-DD0B9B04A4B0}">
  <dimension ref="A1:P23"/>
  <sheetViews>
    <sheetView workbookViewId="0">
      <selection activeCell="G30" sqref="G30"/>
    </sheetView>
  </sheetViews>
  <sheetFormatPr baseColWidth="10" defaultRowHeight="16" x14ac:dyDescent="0.2"/>
  <cols>
    <col min="1" max="1" width="32.1640625" bestFit="1" customWidth="1"/>
    <col min="10" max="10" width="32.1640625" bestFit="1" customWidth="1"/>
  </cols>
  <sheetData>
    <row r="1" spans="1:16" x14ac:dyDescent="0.2">
      <c r="A1" s="5">
        <v>1999</v>
      </c>
      <c r="B1" s="5"/>
      <c r="C1" s="5"/>
      <c r="D1" s="5"/>
      <c r="E1" s="5"/>
      <c r="F1" s="5"/>
      <c r="G1" s="5"/>
      <c r="J1" s="5">
        <v>2012</v>
      </c>
      <c r="K1" s="5"/>
      <c r="L1" s="5"/>
      <c r="M1" s="5"/>
      <c r="N1" s="5"/>
      <c r="O1" s="5"/>
      <c r="P1" s="5"/>
    </row>
    <row r="2" spans="1:16" x14ac:dyDescent="0.2">
      <c r="A2" s="9"/>
      <c r="B2" s="9" t="s">
        <v>4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J2" s="9"/>
      <c r="K2" s="9" t="s">
        <v>4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</row>
    <row r="3" spans="1:16" x14ac:dyDescent="0.2">
      <c r="A3" s="6" t="s">
        <v>5</v>
      </c>
      <c r="B3" s="18">
        <f>L_r!B3/L_r!$H3</f>
        <v>5.1448373911498126E-2</v>
      </c>
      <c r="C3" s="18">
        <f>L_r!C3/L_r!$H3</f>
        <v>5.686866891771814E-3</v>
      </c>
      <c r="D3" s="18">
        <f>L_r!D3/L_r!$H3</f>
        <v>9.2678158876843775E-2</v>
      </c>
      <c r="E3" s="18">
        <f>L_r!E3/L_r!$H3</f>
        <v>0.35098631597654162</v>
      </c>
      <c r="F3" s="18">
        <f>L_r!F3/L_r!$H3</f>
        <v>0.14768082459569928</v>
      </c>
      <c r="G3" s="18">
        <f>L_r!G3/L_r!$H3</f>
        <v>0.35151945974764526</v>
      </c>
      <c r="J3" s="9" t="s">
        <v>5</v>
      </c>
      <c r="K3" s="17">
        <f>L_r!L3/L_r!$R3</f>
        <v>2.7576523448469531E-2</v>
      </c>
      <c r="L3" s="17">
        <f>L_r!M3/L_r!$R3</f>
        <v>0.25554619488907609</v>
      </c>
      <c r="M3" s="17">
        <f>L_r!N3/L_r!$R3</f>
        <v>7.8292614434147714E-2</v>
      </c>
      <c r="N3" s="17">
        <f>L_r!O3/L_r!$R3</f>
        <v>0.2493119910137602</v>
      </c>
      <c r="O3" s="17">
        <f>L_r!P3/L_r!$R3</f>
        <v>0.12945801741083965</v>
      </c>
      <c r="P3" s="17">
        <f>L_r!Q3/L_r!$R3</f>
        <v>0.25981465880370685</v>
      </c>
    </row>
    <row r="4" spans="1:16" x14ac:dyDescent="0.2">
      <c r="A4" s="6" t="s">
        <v>6</v>
      </c>
      <c r="B4" s="18">
        <f>L_r!B4/L_r!$H4</f>
        <v>2.0408163265306103E-2</v>
      </c>
      <c r="C4" s="18">
        <f>L_r!C4/L_r!$H4</f>
        <v>0.67419825072886308</v>
      </c>
      <c r="D4" s="18">
        <f>L_r!D4/L_r!$H4</f>
        <v>4.0816326530612249E-2</v>
      </c>
      <c r="E4" s="18">
        <f>L_r!E4/L_r!$H4</f>
        <v>0.11224489795918369</v>
      </c>
      <c r="F4" s="18">
        <f>L_r!F4/L_r!$H4</f>
        <v>2.8425655976676387E-2</v>
      </c>
      <c r="G4" s="18">
        <f>L_r!G4/L_r!$H4</f>
        <v>0.12390670553935861</v>
      </c>
      <c r="J4" s="9" t="s">
        <v>6</v>
      </c>
      <c r="K4" s="17">
        <f>L_r!L4/L_r!$R4</f>
        <v>4.0307101727447218E-2</v>
      </c>
      <c r="L4" s="17">
        <f>L_r!M4/L_r!$R4</f>
        <v>0.11132437619961612</v>
      </c>
      <c r="M4" s="17">
        <f>L_r!N4/L_r!$R4</f>
        <v>0.12092130518234165</v>
      </c>
      <c r="N4" s="17">
        <f>L_r!O4/L_r!$R4</f>
        <v>0.2687140115163148</v>
      </c>
      <c r="O4" s="17">
        <f>L_r!P4/L_r!$R4</f>
        <v>9.4049904030710174E-2</v>
      </c>
      <c r="P4" s="17">
        <f>L_r!Q4/L_r!$R4</f>
        <v>0.36468330134357002</v>
      </c>
    </row>
    <row r="5" spans="1:16" x14ac:dyDescent="0.2">
      <c r="A5" s="6" t="s">
        <v>7</v>
      </c>
      <c r="B5" s="18">
        <f>L_r!B5/L_r!$H5</f>
        <v>1.1314532635888103E-2</v>
      </c>
      <c r="C5" s="18">
        <f>L_r!C5/L_r!$H5</f>
        <v>0.72117352740504892</v>
      </c>
      <c r="D5" s="18">
        <f>L_r!D5/L_r!$H5</f>
        <v>2.4277916761428247E-2</v>
      </c>
      <c r="E5" s="18">
        <f>L_r!E5/L_r!$H5</f>
        <v>0.10382078690015918</v>
      </c>
      <c r="F5" s="18">
        <f>L_r!F5/L_r!$H5</f>
        <v>4.1960427564248344E-2</v>
      </c>
      <c r="G5" s="18">
        <f>L_r!G5/L_r!$H5</f>
        <v>9.7452808733227189E-2</v>
      </c>
      <c r="J5" s="9" t="s">
        <v>7</v>
      </c>
      <c r="K5" s="17">
        <f>L_r!L5/L_r!$R5</f>
        <v>2.0965058236272878E-2</v>
      </c>
      <c r="L5" s="17">
        <f>L_r!M5/L_r!$R5</f>
        <v>0.12063227953410982</v>
      </c>
      <c r="M5" s="17">
        <f>L_r!N5/L_r!$R5</f>
        <v>6.921797004991681E-2</v>
      </c>
      <c r="N5" s="17">
        <f>L_r!O5/L_r!$R5</f>
        <v>0.33261231281198006</v>
      </c>
      <c r="O5" s="17">
        <f>L_r!P5/L_r!$R5</f>
        <v>0.13843594009983362</v>
      </c>
      <c r="P5" s="17">
        <f>L_r!Q5/L_r!$R5</f>
        <v>0.31813643926788682</v>
      </c>
    </row>
    <row r="6" spans="1:16" x14ac:dyDescent="0.2">
      <c r="A6" s="6" t="s">
        <v>8</v>
      </c>
      <c r="B6" s="18">
        <f>L_r!B6/L_r!$H6</f>
        <v>2.7998472116119173E-2</v>
      </c>
      <c r="C6" s="18">
        <f>L_r!C6/L_r!$H6</f>
        <v>4.2589763177998473E-2</v>
      </c>
      <c r="D6" s="18">
        <f>L_r!D6/L_r!$H6</f>
        <v>0.11115355233002291</v>
      </c>
      <c r="E6" s="18">
        <f>L_r!E6/L_r!$H6</f>
        <v>0.33521772345301759</v>
      </c>
      <c r="F6" s="18">
        <f>L_r!F6/L_r!$H6</f>
        <v>0.18571428571428572</v>
      </c>
      <c r="G6" s="18">
        <f>L_r!G6/L_r!$H6</f>
        <v>0.29732620320855613</v>
      </c>
      <c r="J6" s="9" t="s">
        <v>8</v>
      </c>
      <c r="K6" s="17">
        <f>L_r!L6/L_r!$R6</f>
        <v>1.2513085181488425E-2</v>
      </c>
      <c r="L6" s="17">
        <f>L_r!M6/L_r!$R6</f>
        <v>0.26808189497772478</v>
      </c>
      <c r="M6" s="17">
        <f>L_r!N6/L_r!$R6</f>
        <v>7.4883754899335409E-2</v>
      </c>
      <c r="N6" s="17">
        <f>L_r!O6/L_r!$R6</f>
        <v>0.26664556807946055</v>
      </c>
      <c r="O6" s="17">
        <f>L_r!P6/L_r!$R6</f>
        <v>0.14988923241716778</v>
      </c>
      <c r="P6" s="17">
        <f>L_r!Q6/L_r!$R6</f>
        <v>0.22798646444482315</v>
      </c>
    </row>
    <row r="7" spans="1:16" x14ac:dyDescent="0.2">
      <c r="A7" s="6" t="s">
        <v>9</v>
      </c>
      <c r="B7" s="18">
        <f>L_r!B7/L_r!$H7</f>
        <v>7.8245406046235921E-2</v>
      </c>
      <c r="C7" s="18">
        <f>L_r!C7/L_r!$H7</f>
        <v>5.7202133965619448E-2</v>
      </c>
      <c r="D7" s="18">
        <f>L_r!D7/L_r!$H7</f>
        <v>0.1102548903378779</v>
      </c>
      <c r="E7" s="18">
        <f>L_r!E7/L_r!$H7</f>
        <v>0.29045643153526973</v>
      </c>
      <c r="F7" s="18">
        <f>L_r!F7/L_r!$H7</f>
        <v>0.10314167160640189</v>
      </c>
      <c r="G7" s="18">
        <f>L_r!G7/L_r!$H7</f>
        <v>0.36069946650859519</v>
      </c>
      <c r="J7" s="9" t="s">
        <v>9</v>
      </c>
      <c r="K7" s="17">
        <f>L_r!L7/L_r!$R7</f>
        <v>2.4196827978853194E-2</v>
      </c>
      <c r="L7" s="17">
        <f>L_r!M7/L_r!$R7</f>
        <v>0.22448149654331029</v>
      </c>
      <c r="M7" s="17">
        <f>L_r!N7/L_r!$R7</f>
        <v>9.9023993493289955E-2</v>
      </c>
      <c r="N7" s="17">
        <f>L_r!O7/L_r!$R7</f>
        <v>0.26758845058967057</v>
      </c>
      <c r="O7" s="17">
        <f>L_r!P7/L_r!$R7</f>
        <v>0.11122407482716552</v>
      </c>
      <c r="P7" s="17">
        <f>L_r!Q7/L_r!$R7</f>
        <v>0.27348515656771044</v>
      </c>
    </row>
    <row r="8" spans="1:16" x14ac:dyDescent="0.2">
      <c r="A8" s="6" t="s">
        <v>10</v>
      </c>
      <c r="B8" s="18">
        <f>L_r!B8/L_r!$H8</f>
        <v>3.7997587454764781E-2</v>
      </c>
      <c r="C8" s="18">
        <f>L_r!C8/L_r!$H8</f>
        <v>0.74607961399276246</v>
      </c>
      <c r="D8" s="18">
        <f>L_r!D8/L_r!$H8</f>
        <v>3.4077201447527149E-2</v>
      </c>
      <c r="E8" s="18">
        <f>L_r!E8/L_r!$H8</f>
        <v>6.1821471652593489E-2</v>
      </c>
      <c r="F8" s="18">
        <f>L_r!F8/L_r!$H8</f>
        <v>2.2316043425814239E-2</v>
      </c>
      <c r="G8" s="18">
        <f>L_r!G8/L_r!$H8</f>
        <v>9.770808202653801E-2</v>
      </c>
      <c r="J8" s="9" t="s">
        <v>10</v>
      </c>
      <c r="K8" s="17">
        <f>L_r!L8/L_r!$R8</f>
        <v>6.5557729941291595E-2</v>
      </c>
      <c r="L8" s="17">
        <f>L_r!M8/L_r!$R8</f>
        <v>0.18199608610567519</v>
      </c>
      <c r="M8" s="17">
        <f>L_r!N8/L_r!$R8</f>
        <v>0.10273972602739727</v>
      </c>
      <c r="N8" s="17">
        <f>L_r!O8/L_r!$R8</f>
        <v>0.23874755381604698</v>
      </c>
      <c r="O8" s="17">
        <f>L_r!P8/L_r!$R8</f>
        <v>0.10665362035225051</v>
      </c>
      <c r="P8" s="17">
        <f>L_r!Q8/L_r!$R8</f>
        <v>0.30430528375733862</v>
      </c>
    </row>
    <row r="9" spans="1:16" x14ac:dyDescent="0.2">
      <c r="A9" s="6" t="s">
        <v>11</v>
      </c>
      <c r="B9" s="18">
        <f>L_r!B9/L_r!$H9</f>
        <v>7.6814988290398123E-2</v>
      </c>
      <c r="C9" s="18">
        <f>L_r!C9/L_r!$H9</f>
        <v>0.13429240548678487</v>
      </c>
      <c r="D9" s="18">
        <f>L_r!D9/L_r!$H9</f>
        <v>8.8390766142522573E-2</v>
      </c>
      <c r="E9" s="18">
        <f>L_r!E9/L_r!$H9</f>
        <v>0.25399799263967882</v>
      </c>
      <c r="F9" s="18">
        <f>L_r!F9/L_r!$H9</f>
        <v>7.7885580461692874E-2</v>
      </c>
      <c r="G9" s="18">
        <f>L_r!G9/L_r!$H9</f>
        <v>0.36861826697892269</v>
      </c>
      <c r="J9" s="9" t="s">
        <v>11</v>
      </c>
      <c r="K9" s="17">
        <f>L_r!L9/L_r!$R9</f>
        <v>3.9092941552219741E-2</v>
      </c>
      <c r="L9" s="17">
        <f>L_r!M9/L_r!$R9</f>
        <v>0.13976365378473332</v>
      </c>
      <c r="M9" s="17">
        <f>L_r!N9/L_r!$R9</f>
        <v>7.6461194506547425E-2</v>
      </c>
      <c r="N9" s="17">
        <f>L_r!O9/L_r!$R9</f>
        <v>0.29754072181411689</v>
      </c>
      <c r="O9" s="17">
        <f>L_r!P9/L_r!$R9</f>
        <v>0.12896838070903863</v>
      </c>
      <c r="P9" s="17">
        <f>L_r!Q9/L_r!$R9</f>
        <v>0.318173107633344</v>
      </c>
    </row>
    <row r="10" spans="1:16" x14ac:dyDescent="0.2">
      <c r="A10" s="6" t="s">
        <v>12</v>
      </c>
      <c r="B10" s="18">
        <f>L_r!B10/L_r!$H10</f>
        <v>0.13448345439870865</v>
      </c>
      <c r="C10" s="18">
        <f>L_r!C10/L_r!$H10</f>
        <v>3.4604519774011293E-2</v>
      </c>
      <c r="D10" s="18">
        <f>L_r!D10/L_r!$H10</f>
        <v>0.11027037933817595</v>
      </c>
      <c r="E10" s="18">
        <f>L_r!E10/L_r!$H10</f>
        <v>0.26614205004035513</v>
      </c>
      <c r="F10" s="18">
        <f>L_r!F10/L_r!$H10</f>
        <v>6.991525423728813E-2</v>
      </c>
      <c r="G10" s="18">
        <f>L_r!G10/L_r!$H10</f>
        <v>0.38458434221146082</v>
      </c>
      <c r="J10" s="9" t="s">
        <v>12</v>
      </c>
      <c r="K10" s="17">
        <f>L_r!L10/L_r!$R10</f>
        <v>8.7027914614121515E-2</v>
      </c>
      <c r="L10" s="17">
        <f>L_r!M10/L_r!$R10</f>
        <v>0.15730706075533663</v>
      </c>
      <c r="M10" s="17">
        <f>L_r!N10/L_r!$R10</f>
        <v>8.3087027914614128E-2</v>
      </c>
      <c r="N10" s="17">
        <f>L_r!O10/L_r!$R10</f>
        <v>0.26765188834154352</v>
      </c>
      <c r="O10" s="17">
        <f>L_r!P10/L_r!$R10</f>
        <v>0.11765188834154353</v>
      </c>
      <c r="P10" s="17">
        <f>L_r!Q10/L_r!$R10</f>
        <v>0.2872742200328407</v>
      </c>
    </row>
    <row r="11" spans="1:16" x14ac:dyDescent="0.2">
      <c r="A11" s="6" t="s">
        <v>13</v>
      </c>
      <c r="B11" s="18">
        <f>L_r!B11/L_r!$H11</f>
        <v>0.12044817927170869</v>
      </c>
      <c r="C11" s="18">
        <f>L_r!C11/L_r!$H11</f>
        <v>0.21960784313725493</v>
      </c>
      <c r="D11" s="18">
        <f>L_r!D11/L_r!$H11</f>
        <v>0.12100840336134455</v>
      </c>
      <c r="E11" s="18">
        <f>L_r!E11/L_r!$H11</f>
        <v>0.20224089635854342</v>
      </c>
      <c r="F11" s="18">
        <f>L_r!F11/L_r!$H11</f>
        <v>4.53781512605042E-2</v>
      </c>
      <c r="G11" s="18">
        <f>L_r!G11/L_r!$H11</f>
        <v>0.29131652661064428</v>
      </c>
      <c r="J11" s="9" t="s">
        <v>13</v>
      </c>
      <c r="K11" s="17">
        <f>L_r!L11/L_r!$R11</f>
        <v>7.7138065958636107E-2</v>
      </c>
      <c r="L11" s="17">
        <f>L_r!M11/L_r!$R11</f>
        <v>0.17607602012297371</v>
      </c>
      <c r="M11" s="17">
        <f>L_r!N11/L_r!$R11</f>
        <v>0.10061486864169927</v>
      </c>
      <c r="N11" s="17">
        <f>L_r!O11/L_r!$R11</f>
        <v>0.2437115707098938</v>
      </c>
      <c r="O11" s="17">
        <f>L_r!P11/L_r!$R11</f>
        <v>0.10396869759642256</v>
      </c>
      <c r="P11" s="17">
        <f>L_r!Q11/L_r!$R11</f>
        <v>0.29849077697037452</v>
      </c>
    </row>
    <row r="12" spans="1:16" x14ac:dyDescent="0.2">
      <c r="A12" s="6" t="s">
        <v>14</v>
      </c>
      <c r="B12" s="18">
        <f>L_r!B12/L_r!$H12</f>
        <v>0.10468183316848007</v>
      </c>
      <c r="C12" s="18">
        <f>L_r!C12/L_r!$H12</f>
        <v>0.20672601384767561</v>
      </c>
      <c r="D12" s="18">
        <f>L_r!D12/L_r!$H12</f>
        <v>9.5614902736564478E-2</v>
      </c>
      <c r="E12" s="18">
        <f>L_r!E12/L_r!$H12</f>
        <v>0.2106824925816024</v>
      </c>
      <c r="F12" s="18">
        <f>L_r!F12/L_r!$H12</f>
        <v>5.7533794922518963E-2</v>
      </c>
      <c r="G12" s="18">
        <f>L_r!G12/L_r!$H12</f>
        <v>0.32476096274315863</v>
      </c>
      <c r="J12" s="9" t="s">
        <v>14</v>
      </c>
      <c r="K12" s="17">
        <f>L_r!L12/L_r!$R12</f>
        <v>0.1042549272425861</v>
      </c>
      <c r="L12" s="17">
        <f>L_r!M12/L_r!$R12</f>
        <v>8.8414072573217886E-2</v>
      </c>
      <c r="M12" s="17">
        <f>L_r!N12/L_r!$R12</f>
        <v>8.0493645238533792E-2</v>
      </c>
      <c r="N12" s="17">
        <f>L_r!O12/L_r!$R12</f>
        <v>0.28881930373917847</v>
      </c>
      <c r="O12" s="17">
        <f>L_r!P12/L_r!$R12</f>
        <v>0.11751703812856877</v>
      </c>
      <c r="P12" s="17">
        <f>L_r!Q12/L_r!$R12</f>
        <v>0.32050101307791484</v>
      </c>
    </row>
    <row r="13" spans="1:16" x14ac:dyDescent="0.2">
      <c r="A13" s="6" t="s">
        <v>15</v>
      </c>
      <c r="B13" s="18">
        <f>L_r!B13/L_r!$H13</f>
        <v>9.5677513355998056E-2</v>
      </c>
      <c r="C13" s="18">
        <f>L_r!C13/L_r!$H13</f>
        <v>4.808159300631374E-2</v>
      </c>
      <c r="D13" s="18">
        <f>L_r!D13/L_r!$H13</f>
        <v>0.10126274890723651</v>
      </c>
      <c r="E13" s="18">
        <f>L_r!E13/L_r!$H13</f>
        <v>0.25659705358588308</v>
      </c>
      <c r="F13" s="18">
        <f>L_r!F13/L_r!$H13</f>
        <v>7.7221952404079655E-2</v>
      </c>
      <c r="G13" s="18">
        <f>L_r!G13/L_r!$H13</f>
        <v>0.42115913874048883</v>
      </c>
      <c r="J13" s="9" t="s">
        <v>15</v>
      </c>
      <c r="K13" s="17">
        <f>L_r!L13/L_r!$R13</f>
        <v>8.1765557163531108E-2</v>
      </c>
      <c r="L13" s="17">
        <f>L_r!M13/L_r!$R13</f>
        <v>9.1461649782923302E-2</v>
      </c>
      <c r="M13" s="17">
        <f>L_r!N13/L_r!$R13</f>
        <v>7.3227206946454418E-2</v>
      </c>
      <c r="N13" s="17">
        <f>L_r!O13/L_r!$R13</f>
        <v>0.26685962373371924</v>
      </c>
      <c r="O13" s="17">
        <f>L_r!P13/L_r!$R13</f>
        <v>0.11121562952243125</v>
      </c>
      <c r="P13" s="17">
        <f>L_r!Q13/L_r!$R13</f>
        <v>0.37547033285094067</v>
      </c>
    </row>
    <row r="14" spans="1:16" x14ac:dyDescent="0.2">
      <c r="A14" s="6" t="s">
        <v>16</v>
      </c>
      <c r="B14" s="18">
        <f>L_r!B14/L_r!$H14</f>
        <v>8.1950207468879668E-2</v>
      </c>
      <c r="C14" s="18">
        <f>L_r!C14/L_r!$H14</f>
        <v>7.2199170124481321E-2</v>
      </c>
      <c r="D14" s="18">
        <f>L_r!D14/L_r!$H14</f>
        <v>0.11639004149377594</v>
      </c>
      <c r="E14" s="18">
        <f>L_r!E14/L_r!$H14</f>
        <v>0.28215767634854771</v>
      </c>
      <c r="F14" s="18">
        <f>L_r!F14/L_r!$H14</f>
        <v>6.8672199170124487E-2</v>
      </c>
      <c r="G14" s="18">
        <f>L_r!G14/L_r!$H14</f>
        <v>0.37863070539419086</v>
      </c>
      <c r="J14" s="9" t="s">
        <v>16</v>
      </c>
      <c r="K14" s="17">
        <f>L_r!L14/L_r!$R14</f>
        <v>5.5565172234723903E-2</v>
      </c>
      <c r="L14" s="17">
        <f>L_r!M14/L_r!$R14</f>
        <v>9.1570019041024742E-2</v>
      </c>
      <c r="M14" s="17">
        <f>L_r!N14/L_r!$R14</f>
        <v>8.0318504414055733E-2</v>
      </c>
      <c r="N14" s="17">
        <f>L_r!O14/L_r!$R14</f>
        <v>0.28405746927471004</v>
      </c>
      <c r="O14" s="17">
        <f>L_r!P14/L_r!$R14</f>
        <v>0.12844036697247707</v>
      </c>
      <c r="P14" s="17">
        <f>L_r!Q14/L_r!$R14</f>
        <v>0.36004846806300844</v>
      </c>
    </row>
    <row r="15" spans="1:16" x14ac:dyDescent="0.2">
      <c r="A15" s="6" t="s">
        <v>17</v>
      </c>
      <c r="B15" s="18">
        <f>L_r!B15/L_r!$H15</f>
        <v>0.10634146341463414</v>
      </c>
      <c r="C15" s="18">
        <f>L_r!C15/L_r!$H15</f>
        <v>0.17609756097560977</v>
      </c>
      <c r="D15" s="18">
        <f>L_r!D15/L_r!$H15</f>
        <v>8.0975609756097564E-2</v>
      </c>
      <c r="E15" s="18">
        <f>L_r!E15/L_r!$H15</f>
        <v>0.28780487804878047</v>
      </c>
      <c r="F15" s="18">
        <f>L_r!F15/L_r!$H15</f>
        <v>6.9268292682926821E-2</v>
      </c>
      <c r="G15" s="18">
        <f>L_r!G15/L_r!$H15</f>
        <v>0.27951219512195119</v>
      </c>
      <c r="J15" s="9" t="s">
        <v>17</v>
      </c>
      <c r="K15" s="17">
        <f>L_r!L15/L_r!$R15</f>
        <v>6.0144006776789494E-2</v>
      </c>
      <c r="L15" s="17">
        <f>L_r!M15/L_r!$R15</f>
        <v>0.13511224057602711</v>
      </c>
      <c r="M15" s="17">
        <f>L_r!N15/L_r!$R15</f>
        <v>8.8521812791190174E-2</v>
      </c>
      <c r="N15" s="17">
        <f>L_r!O15/L_r!$R15</f>
        <v>0.31977975434138078</v>
      </c>
      <c r="O15" s="17">
        <f>L_r!P15/L_r!$R15</f>
        <v>0.10419313850063533</v>
      </c>
      <c r="P15" s="17">
        <f>L_r!Q15/L_r!$R15</f>
        <v>0.29224904701397714</v>
      </c>
    </row>
    <row r="16" spans="1:16" x14ac:dyDescent="0.2">
      <c r="A16" s="6" t="s">
        <v>18</v>
      </c>
      <c r="B16" s="18">
        <f>L_r!B16/L_r!$H16</f>
        <v>1.1870503597122302E-2</v>
      </c>
      <c r="C16" s="18">
        <f>L_r!C16/L_r!$H16</f>
        <v>0.81666666666666665</v>
      </c>
      <c r="D16" s="18">
        <f>L_r!D16/L_r!$H16</f>
        <v>2.3501199040767386E-2</v>
      </c>
      <c r="E16" s="18">
        <f>L_r!E16/L_r!$H16</f>
        <v>6.4628297362110315E-2</v>
      </c>
      <c r="F16" s="18">
        <f>L_r!F16/L_r!$H16</f>
        <v>1.9304556354916069E-2</v>
      </c>
      <c r="G16" s="18">
        <f>L_r!G16/L_r!$H16</f>
        <v>6.4028776978417259E-2</v>
      </c>
      <c r="J16" s="9" t="s">
        <v>18</v>
      </c>
      <c r="K16" s="17">
        <f>L_r!L16/L_r!$R16</f>
        <v>3.6470058532192706E-2</v>
      </c>
      <c r="L16" s="17">
        <f>L_r!M16/L_r!$R16</f>
        <v>0.18415128320576316</v>
      </c>
      <c r="M16" s="17">
        <f>L_r!N16/L_r!$R16</f>
        <v>8.5547050877982894E-2</v>
      </c>
      <c r="N16" s="17">
        <f>L_r!O16/L_r!$R16</f>
        <v>0.25484016208914906</v>
      </c>
      <c r="O16" s="17">
        <f>L_r!P16/L_r!$R16</f>
        <v>0.11976587122917606</v>
      </c>
      <c r="P16" s="17">
        <f>L_r!Q16/L_r!$R16</f>
        <v>0.31922557406573621</v>
      </c>
    </row>
    <row r="17" spans="1:16" x14ac:dyDescent="0.2">
      <c r="A17" s="6" t="s">
        <v>19</v>
      </c>
      <c r="B17" s="18">
        <f>L_r!B17/L_r!$H17</f>
        <v>6.2191358024691355E-2</v>
      </c>
      <c r="C17" s="18">
        <f>L_r!C17/L_r!$H17</f>
        <v>9.6296296296296297E-2</v>
      </c>
      <c r="D17" s="18">
        <f>L_r!D17/L_r!$H17</f>
        <v>9.475308641975308E-2</v>
      </c>
      <c r="E17" s="18">
        <f>L_r!E17/L_r!$H17</f>
        <v>0.32283950617283946</v>
      </c>
      <c r="F17" s="18">
        <f>L_r!F17/L_r!$H17</f>
        <v>0.12453703703703704</v>
      </c>
      <c r="G17" s="18">
        <f>L_r!G17/L_r!$H17</f>
        <v>0.29938271604938271</v>
      </c>
      <c r="J17" s="9" t="s">
        <v>19</v>
      </c>
      <c r="K17" s="17">
        <f>L_r!L17/L_r!$R17</f>
        <v>3.4208741157088857E-2</v>
      </c>
      <c r="L17" s="17">
        <f>L_r!M17/L_r!$R17</f>
        <v>0.2820525244694253</v>
      </c>
      <c r="M17" s="17">
        <f>L_r!N17/L_r!$R17</f>
        <v>7.6945440449655969E-2</v>
      </c>
      <c r="N17" s="17">
        <f>L_r!O17/L_r!$R17</f>
        <v>0.2708595794166101</v>
      </c>
      <c r="O17" s="17">
        <f>L_r!P17/L_r!$R17</f>
        <v>0.1082953774590561</v>
      </c>
      <c r="P17" s="17">
        <f>L_r!Q17/L_r!$R17</f>
        <v>0.22763833704816358</v>
      </c>
    </row>
    <row r="18" spans="1:16" x14ac:dyDescent="0.2">
      <c r="A18" s="6" t="s">
        <v>20</v>
      </c>
      <c r="B18" s="18">
        <f>L_r!B18/L_r!$H18</f>
        <v>2.5101685066821609E-2</v>
      </c>
      <c r="C18" s="18">
        <f>L_r!C18/L_r!$H18</f>
        <v>0.60441603718768167</v>
      </c>
      <c r="D18" s="18">
        <f>L_r!D18/L_r!$H18</f>
        <v>3.6374201045903533E-2</v>
      </c>
      <c r="E18" s="18">
        <f>L_r!E18/L_r!$H18</f>
        <v>0.14317257408483436</v>
      </c>
      <c r="F18" s="18">
        <f>L_r!F18/L_r!$H18</f>
        <v>4.8111563044741415E-2</v>
      </c>
      <c r="G18" s="18">
        <f>L_r!G18/L_r!$H18</f>
        <v>0.14282393957001741</v>
      </c>
      <c r="J18" s="9" t="s">
        <v>20</v>
      </c>
      <c r="K18" s="17">
        <f>L_r!L18/L_r!$R18</f>
        <v>1.9340390879478826E-2</v>
      </c>
      <c r="L18" s="17">
        <f>L_r!M18/L_r!$R18</f>
        <v>0.26567589576547229</v>
      </c>
      <c r="M18" s="17">
        <f>L_r!N18/L_r!$R18</f>
        <v>6.2907166123778488E-2</v>
      </c>
      <c r="N18" s="17">
        <f>L_r!O18/L_r!$R18</f>
        <v>0.23859934853420195</v>
      </c>
      <c r="O18" s="17">
        <f>L_r!P18/L_r!$R18</f>
        <v>0.1302931596091205</v>
      </c>
      <c r="P18" s="17">
        <f>L_r!Q18/L_r!$R18</f>
        <v>0.28318403908794787</v>
      </c>
    </row>
    <row r="19" spans="1:16" x14ac:dyDescent="0.2">
      <c r="A19" s="6" t="s">
        <v>21</v>
      </c>
      <c r="B19" s="18">
        <f>L_r!B19/L_r!$H19</f>
        <v>6.7991226938459562E-2</v>
      </c>
      <c r="C19" s="18">
        <f>L_r!C19/L_r!$H19</f>
        <v>0.24758095729583279</v>
      </c>
      <c r="D19" s="18">
        <f>L_r!D19/L_r!$H19</f>
        <v>6.5733453747903486E-2</v>
      </c>
      <c r="E19" s="18">
        <f>L_r!E19/L_r!$H19</f>
        <v>0.27435169655528319</v>
      </c>
      <c r="F19" s="18">
        <f>L_r!F19/L_r!$H19</f>
        <v>0.10521223067991224</v>
      </c>
      <c r="G19" s="18">
        <f>L_r!G19/L_r!$H19</f>
        <v>0.23913043478260873</v>
      </c>
      <c r="J19" s="9" t="s">
        <v>21</v>
      </c>
      <c r="K19" s="17">
        <f>L_r!L19/L_r!$R19</f>
        <v>3.2954786669496923E-2</v>
      </c>
      <c r="L19" s="17">
        <f>L_r!M19/L_r!$R19</f>
        <v>0.26432816811717258</v>
      </c>
      <c r="M19" s="17">
        <f>L_r!N19/L_r!$R19</f>
        <v>6.2619401400976438E-2</v>
      </c>
      <c r="N19" s="17">
        <f>L_r!O19/L_r!$R19</f>
        <v>0.26050732328592657</v>
      </c>
      <c r="O19" s="17">
        <f>L_r!P19/L_r!$R19</f>
        <v>0.13213755041392486</v>
      </c>
      <c r="P19" s="17">
        <f>L_r!Q19/L_r!$R19</f>
        <v>0.24745277011250269</v>
      </c>
    </row>
    <row r="20" spans="1:16" x14ac:dyDescent="0.2">
      <c r="A20" s="6" t="s">
        <v>22</v>
      </c>
      <c r="B20" s="18">
        <f>L_r!B20/L_r!$H20</f>
        <v>4.1593780369290567E-2</v>
      </c>
      <c r="C20" s="18">
        <f>L_r!C20/L_r!$H20</f>
        <v>7.4149659863945575E-2</v>
      </c>
      <c r="D20" s="18">
        <f>L_r!D20/L_r!$H20</f>
        <v>7.9494655004859083E-2</v>
      </c>
      <c r="E20" s="18">
        <f>L_r!E20/L_r!$H20</f>
        <v>0.35937803692905734</v>
      </c>
      <c r="F20" s="18">
        <f>L_r!F20/L_r!$H20</f>
        <v>0.12458697764820213</v>
      </c>
      <c r="G20" s="18">
        <f>L_r!G20/L_r!$H20</f>
        <v>0.3207968901846453</v>
      </c>
      <c r="J20" s="9" t="s">
        <v>22</v>
      </c>
      <c r="K20" s="17">
        <f>L_r!L20/L_r!$R20</f>
        <v>2.7232172581396898E-2</v>
      </c>
      <c r="L20" s="17">
        <f>L_r!M20/L_r!$R20</f>
        <v>0.18656368599773621</v>
      </c>
      <c r="M20" s="17">
        <f>L_r!N20/L_r!$R20</f>
        <v>7.7102337039749655E-2</v>
      </c>
      <c r="N20" s="17">
        <f>L_r!O20/L_r!$R20</f>
        <v>0.28404021572674615</v>
      </c>
      <c r="O20" s="17">
        <f>L_r!P20/L_r!$R20</f>
        <v>0.14168719621812373</v>
      </c>
      <c r="P20" s="17">
        <f>L_r!Q20/L_r!$R20</f>
        <v>0.2833743924362474</v>
      </c>
    </row>
    <row r="21" spans="1:16" x14ac:dyDescent="0.2">
      <c r="A21" s="6" t="s">
        <v>23</v>
      </c>
      <c r="B21" s="18">
        <f>L_r!B21/L_r!$H21</f>
        <v>3.2205746061167745E-2</v>
      </c>
      <c r="C21" s="18">
        <f>L_r!C21/L_r!$H21</f>
        <v>0.4582947173308618</v>
      </c>
      <c r="D21" s="18">
        <f>L_r!D21/L_r!$H21</f>
        <v>5.3058387395736789E-2</v>
      </c>
      <c r="E21" s="18">
        <f>L_r!E21/L_r!$H21</f>
        <v>0.18651529193697866</v>
      </c>
      <c r="F21" s="18">
        <f>L_r!F21/L_r!$H21</f>
        <v>5.6997219647822055E-2</v>
      </c>
      <c r="G21" s="18">
        <f>L_r!G21/L_r!$H21</f>
        <v>0.2129286376274328</v>
      </c>
      <c r="J21" s="9" t="s">
        <v>23</v>
      </c>
      <c r="K21" s="17">
        <f>L_r!L21/L_r!$R21</f>
        <v>2.7576197387518143E-2</v>
      </c>
      <c r="L21" s="17">
        <f>L_r!M21/L_r!$R21</f>
        <v>0.21625544267053701</v>
      </c>
      <c r="M21" s="17">
        <f>L_r!N21/L_r!$R21</f>
        <v>8.5631349782293184E-2</v>
      </c>
      <c r="N21" s="17">
        <f>L_r!O21/L_r!$R21</f>
        <v>0.27721335268505082</v>
      </c>
      <c r="O21" s="17">
        <f>L_r!P21/L_r!$R21</f>
        <v>0.11291727140783744</v>
      </c>
      <c r="P21" s="17">
        <f>L_r!Q21/L_r!$R21</f>
        <v>0.28040638606676344</v>
      </c>
    </row>
    <row r="22" spans="1:16" x14ac:dyDescent="0.2">
      <c r="A22" s="6" t="s">
        <v>24</v>
      </c>
      <c r="B22" s="18">
        <f>L_r!B22/L_r!$H22</f>
        <v>3.6104670420669095E-2</v>
      </c>
      <c r="C22" s="18">
        <f>L_r!C22/L_r!$H22</f>
        <v>0.38340510102682995</v>
      </c>
      <c r="D22" s="18">
        <f>L_r!D22/L_r!$H22</f>
        <v>6.6412719443524268E-2</v>
      </c>
      <c r="E22" s="18">
        <f>L_r!E22/L_r!$H22</f>
        <v>0.20917522358396834</v>
      </c>
      <c r="F22" s="18">
        <f>L_r!F22/L_r!$H22</f>
        <v>8.231202384895657E-2</v>
      </c>
      <c r="G22" s="18">
        <f>L_r!G22/L_r!$H22</f>
        <v>0.22259026167605175</v>
      </c>
      <c r="J22" s="9" t="s">
        <v>24</v>
      </c>
      <c r="K22" s="17">
        <f>L_r!L22/L_r!$R22</f>
        <v>2.0907617504051866E-2</v>
      </c>
      <c r="L22" s="17">
        <f>L_r!M22/L_r!$R22</f>
        <v>0.29432739059967583</v>
      </c>
      <c r="M22" s="17">
        <f>L_r!N22/L_r!$R22</f>
        <v>6.3047001620745544E-2</v>
      </c>
      <c r="N22" s="17">
        <f>L_r!O22/L_r!$R22</f>
        <v>0.24813614262560776</v>
      </c>
      <c r="O22" s="17">
        <f>L_r!P22/L_r!$R22</f>
        <v>0.11588330632090761</v>
      </c>
      <c r="P22" s="17">
        <f>L_r!Q22/L_r!$R22</f>
        <v>0.25769854132901132</v>
      </c>
    </row>
    <row r="23" spans="1:16" x14ac:dyDescent="0.2">
      <c r="A23" s="6" t="s">
        <v>25</v>
      </c>
      <c r="B23" s="18">
        <f>L_r!B23/L_r!$H23</f>
        <v>2.5137922763252579E-2</v>
      </c>
      <c r="C23" s="18">
        <f>L_r!C23/L_r!$H23</f>
        <v>0.22787239146078198</v>
      </c>
      <c r="D23" s="18">
        <f>L_r!D23/L_r!$H23</f>
        <v>5.71360038378508E-2</v>
      </c>
      <c r="E23" s="18">
        <f>L_r!E23/L_r!$H23</f>
        <v>0.2448069081314464</v>
      </c>
      <c r="F23" s="18">
        <f>L_r!F23/L_r!$H23</f>
        <v>0.12875989445910288</v>
      </c>
      <c r="G23" s="18">
        <f>L_r!G23/L_r!$H23</f>
        <v>0.31628687934756533</v>
      </c>
      <c r="J23" s="9" t="s">
        <v>25</v>
      </c>
      <c r="K23" s="17">
        <f>L_r!L23/L_r!$R23</f>
        <v>1.5782712424298035E-2</v>
      </c>
      <c r="L23" s="17">
        <f>L_r!M23/L_r!$R23</f>
        <v>0.10130299137456415</v>
      </c>
      <c r="M23" s="17">
        <f>L_r!N23/L_r!$R23</f>
        <v>7.221508533675905E-2</v>
      </c>
      <c r="N23" s="17">
        <f>L_r!O23/L_r!$R23</f>
        <v>0.29771517709671502</v>
      </c>
      <c r="O23" s="17">
        <f>L_r!P23/L_r!$R23</f>
        <v>0.15635896494769683</v>
      </c>
      <c r="P23" s="17">
        <f>L_r!Q23/L_r!$R23</f>
        <v>0.35662506881996703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8FA2-57CC-6B45-A1F7-C0EB2C87CC91}">
  <dimension ref="A1:R23"/>
  <sheetViews>
    <sheetView workbookViewId="0">
      <selection activeCell="I27" sqref="I27"/>
    </sheetView>
  </sheetViews>
  <sheetFormatPr baseColWidth="10" defaultRowHeight="16" x14ac:dyDescent="0.2"/>
  <cols>
    <col min="1" max="1" width="32.1640625" bestFit="1" customWidth="1"/>
    <col min="2" max="2" width="11" bestFit="1" customWidth="1"/>
    <col min="3" max="3" width="11.6640625" bestFit="1" customWidth="1"/>
    <col min="4" max="7" width="11" bestFit="1" customWidth="1"/>
    <col min="8" max="8" width="14.83203125" bestFit="1" customWidth="1"/>
    <col min="11" max="11" width="32.1640625" bestFit="1" customWidth="1"/>
    <col min="12" max="12" width="11" bestFit="1" customWidth="1"/>
    <col min="13" max="13" width="13.33203125" bestFit="1" customWidth="1"/>
    <col min="14" max="17" width="11" bestFit="1" customWidth="1"/>
    <col min="18" max="18" width="14.83203125" bestFit="1" customWidth="1"/>
  </cols>
  <sheetData>
    <row r="1" spans="1:18" x14ac:dyDescent="0.2">
      <c r="A1" s="5" t="s">
        <v>49</v>
      </c>
      <c r="B1" s="5"/>
      <c r="C1" s="5"/>
      <c r="D1" s="5"/>
      <c r="E1" s="5"/>
      <c r="F1" s="5"/>
      <c r="G1" s="5"/>
      <c r="H1" s="5"/>
      <c r="K1" s="5" t="s">
        <v>50</v>
      </c>
      <c r="L1" s="5"/>
      <c r="M1" s="5"/>
      <c r="N1" s="5"/>
      <c r="O1" s="5"/>
      <c r="P1" s="5"/>
      <c r="Q1" s="5"/>
      <c r="R1" s="5"/>
    </row>
    <row r="2" spans="1:18" s="8" customFormat="1" x14ac:dyDescent="0.2">
      <c r="A2" s="9"/>
      <c r="B2" s="6" t="s">
        <v>4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51</v>
      </c>
      <c r="K2" s="9"/>
      <c r="L2" s="6" t="s">
        <v>4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52</v>
      </c>
    </row>
    <row r="3" spans="1:18" x14ac:dyDescent="0.2">
      <c r="A3" s="6" t="s">
        <v>5</v>
      </c>
      <c r="B3" s="7">
        <f>s_ri!B3*shock_i!$E$2</f>
        <v>8985.237801395826</v>
      </c>
      <c r="C3" s="7">
        <f>s_ri!C3*shock_i!$E$3</f>
        <v>39936.030424625606</v>
      </c>
      <c r="D3" s="7">
        <f>s_ri!D3*shock_i!$E$4</f>
        <v>0</v>
      </c>
      <c r="E3" s="7">
        <f>s_ri!E3*shock_i!$E$5</f>
        <v>0</v>
      </c>
      <c r="F3" s="7">
        <f>s_ri!F3*shock_i!$E$6</f>
        <v>-0.65622772503908844</v>
      </c>
      <c r="G3" s="7">
        <f>s_ri!G3*shock_i!$E$7</f>
        <v>608.25615102442168</v>
      </c>
      <c r="H3" s="7">
        <f>SUM(B3:G3)/1000</f>
        <v>49.528868149320814</v>
      </c>
      <c r="K3" s="9" t="s">
        <v>5</v>
      </c>
      <c r="L3" s="7">
        <f>s_ri!K3*shock_i!$E$8</f>
        <v>6104.8199696040047</v>
      </c>
      <c r="M3" s="7">
        <f>s_ri!L3*shock_i!$E$9</f>
        <v>-1040418.577176124</v>
      </c>
      <c r="N3" s="7">
        <f>s_ri!M3*shock_i!$E$10</f>
        <v>0</v>
      </c>
      <c r="O3" s="7">
        <f>s_ri!N3*shock_i!$E$11</f>
        <v>0</v>
      </c>
      <c r="P3" s="7">
        <f>s_ri!O3*shock_i!$E$12</f>
        <v>-13.574609136695042</v>
      </c>
      <c r="Q3" s="7">
        <f>s_ri!P3*shock_i!$E$13</f>
        <v>-252.96969140152245</v>
      </c>
      <c r="R3" s="7">
        <f>SUM(L3:Q3)/1000</f>
        <v>-1034.5803015070583</v>
      </c>
    </row>
    <row r="4" spans="1:18" x14ac:dyDescent="0.2">
      <c r="A4" s="6" t="s">
        <v>6</v>
      </c>
      <c r="B4" s="7">
        <f>s_ri!B4*shock_i!$E$2</f>
        <v>3564.1981677384847</v>
      </c>
      <c r="C4" s="7">
        <f>s_ri!C4*shock_i!$E$3</f>
        <v>4734558.1258977707</v>
      </c>
      <c r="D4" s="7">
        <f>s_ri!D4*shock_i!$E$4</f>
        <v>0</v>
      </c>
      <c r="E4" s="7">
        <f>s_ri!E4*shock_i!$E$5</f>
        <v>0</v>
      </c>
      <c r="F4" s="7">
        <f>s_ri!F4*shock_i!$E$6</f>
        <v>-0.12631093850800004</v>
      </c>
      <c r="G4" s="7">
        <f>s_ri!G4*shock_i!$E$7</f>
        <v>214.40353786271862</v>
      </c>
      <c r="H4" s="7">
        <f t="shared" ref="H4:H23" si="0">SUM(B4:G4)/1000</f>
        <v>4738.3366012924334</v>
      </c>
      <c r="K4" s="9" t="s">
        <v>6</v>
      </c>
      <c r="L4" s="7">
        <f>s_ri!K4*shock_i!$E$8</f>
        <v>8923.082708463613</v>
      </c>
      <c r="M4" s="7">
        <f>s_ri!L4*shock_i!$E$9</f>
        <v>-453240.75023265125</v>
      </c>
      <c r="N4" s="7">
        <f>s_ri!M4*shock_i!$E$10</f>
        <v>0</v>
      </c>
      <c r="O4" s="7">
        <f>s_ri!N4*shock_i!$E$11</f>
        <v>0</v>
      </c>
      <c r="P4" s="7">
        <f>s_ri!O4*shock_i!$E$12</f>
        <v>-9.8618124400047513</v>
      </c>
      <c r="Q4" s="7">
        <f>s_ri!P4*shock_i!$E$13</f>
        <v>-355.07550892218984</v>
      </c>
      <c r="R4" s="7">
        <f t="shared" ref="R4:R23" si="1">SUM(L4:Q4)/1000</f>
        <v>-444.6826048455498</v>
      </c>
    </row>
    <row r="5" spans="1:18" x14ac:dyDescent="0.2">
      <c r="A5" s="6" t="s">
        <v>7</v>
      </c>
      <c r="B5" s="7">
        <f>s_ri!B5*shock_i!$E$2</f>
        <v>1976.0345879928354</v>
      </c>
      <c r="C5" s="7">
        <f>s_ri!C5*shock_i!$E$3</f>
        <v>5064442.0697719818</v>
      </c>
      <c r="D5" s="7">
        <f>s_ri!D5*shock_i!$E$4</f>
        <v>0</v>
      </c>
      <c r="E5" s="7">
        <f>s_ri!E5*shock_i!$E$5</f>
        <v>0</v>
      </c>
      <c r="F5" s="7">
        <f>s_ri!F5*shock_i!$E$6</f>
        <v>-0.18645342750175864</v>
      </c>
      <c r="G5" s="7">
        <f>s_ri!G5*shock_i!$E$7</f>
        <v>168.62870234594172</v>
      </c>
      <c r="H5" s="7">
        <f t="shared" si="0"/>
        <v>5066.5865466088944</v>
      </c>
      <c r="K5" s="9" t="s">
        <v>7</v>
      </c>
      <c r="L5" s="7">
        <f>s_ri!K5*shock_i!$E$8</f>
        <v>4641.1907731542851</v>
      </c>
      <c r="M5" s="7">
        <f>s_ri!L5*shock_i!$E$9</f>
        <v>-491136.50347589707</v>
      </c>
      <c r="N5" s="7">
        <f>s_ri!M5*shock_i!$E$10</f>
        <v>0</v>
      </c>
      <c r="O5" s="7">
        <f>s_ri!N5*shock_i!$E$11</f>
        <v>0</v>
      </c>
      <c r="P5" s="7">
        <f>s_ri!O5*shock_i!$E$12</f>
        <v>-14.516009243076979</v>
      </c>
      <c r="Q5" s="7">
        <f>s_ri!P5*shock_i!$E$13</f>
        <v>-309.75495083970333</v>
      </c>
      <c r="R5" s="7">
        <f t="shared" si="1"/>
        <v>-486.81958366282555</v>
      </c>
    </row>
    <row r="6" spans="1:18" x14ac:dyDescent="0.2">
      <c r="A6" s="6" t="s">
        <v>8</v>
      </c>
      <c r="B6" s="7">
        <f>s_ri!B6*shock_i!$E$2</f>
        <v>4889.8130477717059</v>
      </c>
      <c r="C6" s="7">
        <f>s_ri!C6*shock_i!$E$3</f>
        <v>299086.66941283381</v>
      </c>
      <c r="D6" s="7">
        <f>s_ri!D6*shock_i!$E$4</f>
        <v>0</v>
      </c>
      <c r="E6" s="7">
        <f>s_ri!E6*shock_i!$E$5</f>
        <v>0</v>
      </c>
      <c r="F6" s="7">
        <f>s_ri!F6*shock_i!$E$6</f>
        <v>-0.82523146491893362</v>
      </c>
      <c r="G6" s="7">
        <f>s_ri!G6*shock_i!$E$7</f>
        <v>514.48216292825839</v>
      </c>
      <c r="H6" s="7">
        <f t="shared" si="0"/>
        <v>304.49013939206884</v>
      </c>
      <c r="K6" s="9" t="s">
        <v>8</v>
      </c>
      <c r="L6" s="7">
        <f>s_ri!K6*shock_i!$E$8</f>
        <v>2770.1146752617965</v>
      </c>
      <c r="M6" s="7">
        <f>s_ri!L6*shock_i!$E$9</f>
        <v>-1091455.8280175999</v>
      </c>
      <c r="N6" s="7">
        <f>s_ri!M6*shock_i!$E$10</f>
        <v>0</v>
      </c>
      <c r="O6" s="7">
        <f>s_ri!N6*shock_i!$E$11</f>
        <v>0</v>
      </c>
      <c r="P6" s="7">
        <f>s_ri!O6*shock_i!$E$12</f>
        <v>-15.716969752480745</v>
      </c>
      <c r="Q6" s="7">
        <f>s_ri!P6*shock_i!$E$13</f>
        <v>-221.98002922500319</v>
      </c>
      <c r="R6" s="7">
        <f t="shared" si="1"/>
        <v>-1088.9234103413157</v>
      </c>
    </row>
    <row r="7" spans="1:18" x14ac:dyDescent="0.2">
      <c r="A7" s="6" t="s">
        <v>9</v>
      </c>
      <c r="B7" s="7">
        <f>s_ri!B7*shock_i!$E$2</f>
        <v>13665.224510333457</v>
      </c>
      <c r="C7" s="7">
        <f>s_ri!C7*shock_i!$E$3</f>
        <v>401702.06299531419</v>
      </c>
      <c r="D7" s="7">
        <f>s_ri!D7*shock_i!$E$4</f>
        <v>0</v>
      </c>
      <c r="E7" s="7">
        <f>s_ri!E7*shock_i!$E$5</f>
        <v>0</v>
      </c>
      <c r="F7" s="7">
        <f>s_ri!F7*shock_i!$E$6</f>
        <v>-0.45831559175197717</v>
      </c>
      <c r="G7" s="7">
        <f>s_ri!G7*shock_i!$E$7</f>
        <v>624.14089203649019</v>
      </c>
      <c r="H7" s="7">
        <f t="shared" si="0"/>
        <v>415.99097008209242</v>
      </c>
      <c r="K7" s="9" t="s">
        <v>9</v>
      </c>
      <c r="L7" s="7">
        <f>s_ri!K7*shock_i!$E$8</f>
        <v>5356.6316625228565</v>
      </c>
      <c r="M7" s="7">
        <f>s_ri!L7*shock_i!$E$9</f>
        <v>-913943.24747169891</v>
      </c>
      <c r="N7" s="7">
        <f>s_ri!M7*shock_i!$E$10</f>
        <v>0</v>
      </c>
      <c r="O7" s="7">
        <f>s_ri!N7*shock_i!$E$11</f>
        <v>0</v>
      </c>
      <c r="P7" s="7">
        <f>s_ri!O7*shock_i!$E$12</f>
        <v>-11.662648421208365</v>
      </c>
      <c r="Q7" s="7">
        <f>s_ri!P7*shock_i!$E$13</f>
        <v>-266.28003199811644</v>
      </c>
      <c r="R7" s="7">
        <f t="shared" si="1"/>
        <v>-908.86455848959531</v>
      </c>
    </row>
    <row r="8" spans="1:18" x14ac:dyDescent="0.2">
      <c r="A8" s="6" t="s">
        <v>10</v>
      </c>
      <c r="B8" s="7">
        <f>s_ri!B8*shock_i!$E$2</f>
        <v>6636.1156476530241</v>
      </c>
      <c r="C8" s="7">
        <f>s_ri!C8*shock_i!$E$3</f>
        <v>5239345.0964569254</v>
      </c>
      <c r="D8" s="7">
        <f>s_ri!D8*shock_i!$E$4</f>
        <v>0</v>
      </c>
      <c r="E8" s="7">
        <f>s_ri!E8*shock_i!$E$5</f>
        <v>0</v>
      </c>
      <c r="F8" s="7">
        <f>s_ri!F8*shock_i!$E$6</f>
        <v>-9.9162544963349655E-2</v>
      </c>
      <c r="G8" s="7">
        <f>s_ri!G8*shock_i!$E$7</f>
        <v>169.07041772340628</v>
      </c>
      <c r="H8" s="7">
        <f t="shared" si="0"/>
        <v>5246.1501833597567</v>
      </c>
      <c r="K8" s="9" t="s">
        <v>10</v>
      </c>
      <c r="L8" s="7">
        <f>s_ri!K8*shock_i!$E$8</f>
        <v>14513.00196180875</v>
      </c>
      <c r="M8" s="7">
        <f>s_ri!L8*shock_i!$E$9</f>
        <v>-740970.17582234484</v>
      </c>
      <c r="N8" s="7">
        <f>s_ri!M8*shock_i!$E$10</f>
        <v>0</v>
      </c>
      <c r="O8" s="7">
        <f>s_ri!N8*shock_i!$E$11</f>
        <v>0</v>
      </c>
      <c r="P8" s="7">
        <f>s_ri!O8*shock_i!$E$12</f>
        <v>-11.183403224079035</v>
      </c>
      <c r="Q8" s="7">
        <f>s_ri!P8*shock_i!$E$13</f>
        <v>-296.28818511778434</v>
      </c>
      <c r="R8" s="7">
        <f t="shared" si="1"/>
        <v>-726.7646454488779</v>
      </c>
    </row>
    <row r="9" spans="1:18" x14ac:dyDescent="0.2">
      <c r="A9" s="6" t="s">
        <v>11</v>
      </c>
      <c r="B9" s="7">
        <f>s_ri!B9*shock_i!$E$2</f>
        <v>13415.40818545503</v>
      </c>
      <c r="C9" s="7">
        <f>s_ri!C9*shock_i!$E$3</f>
        <v>943068.59882304305</v>
      </c>
      <c r="D9" s="7">
        <f>s_ri!D9*shock_i!$E$4</f>
        <v>0</v>
      </c>
      <c r="E9" s="7">
        <f>s_ri!E9*shock_i!$E$5</f>
        <v>0</v>
      </c>
      <c r="F9" s="7">
        <f>s_ri!F9*shock_i!$E$6</f>
        <v>-0.34608878586403846</v>
      </c>
      <c r="G9" s="7">
        <f>s_ri!G9*shock_i!$E$7</f>
        <v>637.84328876374286</v>
      </c>
      <c r="H9" s="7">
        <f t="shared" si="0"/>
        <v>957.12150420847593</v>
      </c>
      <c r="K9" s="9" t="s">
        <v>11</v>
      </c>
      <c r="L9" s="7">
        <f>s_ri!K9*shock_i!$E$8</f>
        <v>8654.295045730225</v>
      </c>
      <c r="M9" s="7">
        <f>s_ri!L9*shock_i!$E$9</f>
        <v>-569027.0671992097</v>
      </c>
      <c r="N9" s="7">
        <f>s_ri!M9*shock_i!$E$10</f>
        <v>0</v>
      </c>
      <c r="O9" s="7">
        <f>s_ri!N9*shock_i!$E$11</f>
        <v>0</v>
      </c>
      <c r="P9" s="7">
        <f>s_ri!O9*shock_i!$E$12</f>
        <v>-13.523267188325509</v>
      </c>
      <c r="Q9" s="7">
        <f>s_ri!P9*shock_i!$E$13</f>
        <v>-309.79065315587218</v>
      </c>
      <c r="R9" s="7">
        <f t="shared" si="1"/>
        <v>-560.69608607382372</v>
      </c>
    </row>
    <row r="10" spans="1:18" x14ac:dyDescent="0.2">
      <c r="A10" s="6" t="s">
        <v>12</v>
      </c>
      <c r="B10" s="7">
        <f>s_ri!B10*shock_i!$E$2</f>
        <v>23486.958406191974</v>
      </c>
      <c r="C10" s="7">
        <f>s_ri!C10*shock_i!$E$3</f>
        <v>243010.28682841288</v>
      </c>
      <c r="D10" s="7">
        <f>s_ri!D10*shock_i!$E$4</f>
        <v>0</v>
      </c>
      <c r="E10" s="7">
        <f>s_ri!E10*shock_i!$E$5</f>
        <v>0</v>
      </c>
      <c r="F10" s="7">
        <f>s_ri!F10*shock_i!$E$6</f>
        <v>-0.31067221055455291</v>
      </c>
      <c r="G10" s="7">
        <f>s_ri!G10*shock_i!$E$7</f>
        <v>665.47038933701367</v>
      </c>
      <c r="H10" s="7">
        <f t="shared" si="0"/>
        <v>267.16240495173133</v>
      </c>
      <c r="K10" s="9" t="s">
        <v>12</v>
      </c>
      <c r="L10" s="7">
        <f>s_ri!K10*shock_i!$E$8</f>
        <v>19266.016328782996</v>
      </c>
      <c r="M10" s="7">
        <f>s_ri!L10*shock_i!$E$9</f>
        <v>-640452.45675392228</v>
      </c>
      <c r="N10" s="7">
        <f>s_ri!M10*shock_i!$E$10</f>
        <v>0</v>
      </c>
      <c r="O10" s="7">
        <f>s_ri!N10*shock_i!$E$11</f>
        <v>0</v>
      </c>
      <c r="P10" s="7">
        <f>s_ri!O10*shock_i!$E$12</f>
        <v>-12.336651142757393</v>
      </c>
      <c r="Q10" s="7">
        <f>s_ri!P10*shock_i!$E$13</f>
        <v>-279.7058146138902</v>
      </c>
      <c r="R10" s="7">
        <f t="shared" si="1"/>
        <v>-621.47848289089586</v>
      </c>
    </row>
    <row r="11" spans="1:18" x14ac:dyDescent="0.2">
      <c r="A11" s="6" t="s">
        <v>13</v>
      </c>
      <c r="B11" s="7">
        <f>s_ri!B11*shock_i!$E$2</f>
        <v>21035.757813515393</v>
      </c>
      <c r="C11" s="7">
        <f>s_ri!C11*shock_i!$E$3</f>
        <v>1542196.3748976258</v>
      </c>
      <c r="D11" s="7">
        <f>s_ri!D11*shock_i!$E$4</f>
        <v>0</v>
      </c>
      <c r="E11" s="7">
        <f>s_ri!E11*shock_i!$E$5</f>
        <v>0</v>
      </c>
      <c r="F11" s="7">
        <f>s_ri!F11*shock_i!$E$6</f>
        <v>-0.20164026744625527</v>
      </c>
      <c r="G11" s="7">
        <f>s_ri!G11*shock_i!$E$7</f>
        <v>504.0832428827747</v>
      </c>
      <c r="H11" s="7">
        <f t="shared" si="0"/>
        <v>1563.7360143137564</v>
      </c>
      <c r="K11" s="9" t="s">
        <v>13</v>
      </c>
      <c r="L11" s="7">
        <f>s_ri!K11*shock_i!$E$8</f>
        <v>17076.627021563439</v>
      </c>
      <c r="M11" s="7">
        <f>s_ri!L11*shock_i!$E$9</f>
        <v>-716867.50182563521</v>
      </c>
      <c r="N11" s="7">
        <f>s_ri!M11*shock_i!$E$10</f>
        <v>0</v>
      </c>
      <c r="O11" s="7">
        <f>s_ri!N11*shock_i!$E$11</f>
        <v>0</v>
      </c>
      <c r="P11" s="7">
        <f>s_ri!O11*shock_i!$E$12</f>
        <v>-10.901869660522927</v>
      </c>
      <c r="Q11" s="7">
        <f>s_ri!P11*shock_i!$E$13</f>
        <v>-290.62686487387288</v>
      </c>
      <c r="R11" s="7">
        <f t="shared" si="1"/>
        <v>-700.09240353860616</v>
      </c>
    </row>
    <row r="12" spans="1:18" x14ac:dyDescent="0.2">
      <c r="A12" s="6" t="s">
        <v>14</v>
      </c>
      <c r="B12" s="7">
        <f>s_ri!B12*shock_i!$E$2</f>
        <v>18282.233100755533</v>
      </c>
      <c r="C12" s="7">
        <f>s_ri!C12*shock_i!$E$3</f>
        <v>1451733.7113213397</v>
      </c>
      <c r="D12" s="7">
        <f>s_ri!D12*shock_i!$E$4</f>
        <v>0</v>
      </c>
      <c r="E12" s="7">
        <f>s_ri!E12*shock_i!$E$5</f>
        <v>0</v>
      </c>
      <c r="F12" s="7">
        <f>s_ri!F12*shock_i!$E$6</f>
        <v>-0.25565452697214675</v>
      </c>
      <c r="G12" s="7">
        <f>s_ri!G12*shock_i!$E$7</f>
        <v>561.95424669505098</v>
      </c>
      <c r="H12" s="7">
        <f t="shared" si="0"/>
        <v>1470.5776430142637</v>
      </c>
      <c r="K12" s="9" t="s">
        <v>14</v>
      </c>
      <c r="L12" s="7">
        <f>s_ri!K12*shock_i!$E$8</f>
        <v>23079.688161180264</v>
      </c>
      <c r="M12" s="7">
        <f>s_ri!L12*shock_i!$E$9</f>
        <v>-359964.83386850124</v>
      </c>
      <c r="N12" s="7">
        <f>s_ri!M12*shock_i!$E$10</f>
        <v>0</v>
      </c>
      <c r="O12" s="7">
        <f>s_ri!N12*shock_i!$E$11</f>
        <v>0</v>
      </c>
      <c r="P12" s="7">
        <f>s_ri!O12*shock_i!$E$12</f>
        <v>-12.322511122929011</v>
      </c>
      <c r="Q12" s="7">
        <f>s_ri!P12*shock_i!$E$13</f>
        <v>-312.05722858559</v>
      </c>
      <c r="R12" s="7">
        <f t="shared" si="1"/>
        <v>-337.20952544702948</v>
      </c>
    </row>
    <row r="13" spans="1:18" x14ac:dyDescent="0.2">
      <c r="A13" s="6" t="s">
        <v>15</v>
      </c>
      <c r="B13" s="7">
        <f>s_ri!B13*shock_i!$E$2</f>
        <v>16709.667272063925</v>
      </c>
      <c r="C13" s="7">
        <f>s_ri!C13*shock_i!$E$3</f>
        <v>337653.05179603962</v>
      </c>
      <c r="D13" s="7">
        <f>s_ri!D13*shock_i!$E$4</f>
        <v>0</v>
      </c>
      <c r="E13" s="7">
        <f>s_ri!E13*shock_i!$E$5</f>
        <v>0</v>
      </c>
      <c r="F13" s="7">
        <f>s_ri!F13*shock_i!$E$6</f>
        <v>-0.34313991872633209</v>
      </c>
      <c r="G13" s="7">
        <f>s_ri!G13*shock_i!$E$7</f>
        <v>728.75805192394091</v>
      </c>
      <c r="H13" s="7">
        <f t="shared" si="0"/>
        <v>355.09113398010874</v>
      </c>
      <c r="K13" s="9" t="s">
        <v>15</v>
      </c>
      <c r="L13" s="7">
        <f>s_ri!K13*shock_i!$E$8</f>
        <v>18101.049145316596</v>
      </c>
      <c r="M13" s="7">
        <f>s_ri!L13*shock_i!$E$9</f>
        <v>-372372.59421778918</v>
      </c>
      <c r="N13" s="7">
        <f>s_ri!M13*shock_i!$E$10</f>
        <v>0</v>
      </c>
      <c r="O13" s="7">
        <f>s_ri!N13*shock_i!$E$11</f>
        <v>0</v>
      </c>
      <c r="P13" s="7">
        <f>s_ri!O13*shock_i!$E$12</f>
        <v>-11.661762869945486</v>
      </c>
      <c r="Q13" s="7">
        <f>s_ri!P13*shock_i!$E$13</f>
        <v>-365.57834984780402</v>
      </c>
      <c r="R13" s="7">
        <f t="shared" si="1"/>
        <v>-354.64878518519032</v>
      </c>
    </row>
    <row r="14" spans="1:18" x14ac:dyDescent="0.2">
      <c r="A14" s="6" t="s">
        <v>16</v>
      </c>
      <c r="B14" s="7">
        <f>s_ri!B14*shock_i!$E$2</f>
        <v>14312.252186012123</v>
      </c>
      <c r="C14" s="7">
        <f>s_ri!C14*shock_i!$E$3</f>
        <v>507018.76966662449</v>
      </c>
      <c r="D14" s="7">
        <f>s_ri!D14*shock_i!$E$4</f>
        <v>0</v>
      </c>
      <c r="E14" s="7">
        <f>s_ri!E14*shock_i!$E$5</f>
        <v>0</v>
      </c>
      <c r="F14" s="7">
        <f>s_ri!F14*shock_i!$E$6</f>
        <v>-0.30514862818658944</v>
      </c>
      <c r="G14" s="7">
        <f>s_ri!G14*shock_i!$E$7</f>
        <v>655.16843843600327</v>
      </c>
      <c r="H14" s="7">
        <f t="shared" si="0"/>
        <v>521.98588514244443</v>
      </c>
      <c r="K14" s="9" t="s">
        <v>16</v>
      </c>
      <c r="L14" s="7">
        <f>s_ri!K14*shock_i!$E$8</f>
        <v>12300.875188523974</v>
      </c>
      <c r="M14" s="7">
        <f>s_ri!L14*shock_i!$E$9</f>
        <v>-372813.80364128487</v>
      </c>
      <c r="N14" s="7">
        <f>s_ri!M14*shock_i!$E$10</f>
        <v>0</v>
      </c>
      <c r="O14" s="7">
        <f>s_ri!N14*shock_i!$E$11</f>
        <v>0</v>
      </c>
      <c r="P14" s="7">
        <f>s_ri!O14*shock_i!$E$12</f>
        <v>-13.467901130386569</v>
      </c>
      <c r="Q14" s="7">
        <f>s_ri!P14*shock_i!$E$13</f>
        <v>-350.56278300410764</v>
      </c>
      <c r="R14" s="7">
        <f t="shared" si="1"/>
        <v>-360.87695913689544</v>
      </c>
    </row>
    <row r="15" spans="1:18" x14ac:dyDescent="0.2">
      <c r="A15" s="6" t="s">
        <v>17</v>
      </c>
      <c r="B15" s="7">
        <f>s_ri!B15*shock_i!$E$2</f>
        <v>18572.080403796357</v>
      </c>
      <c r="C15" s="7">
        <f>s_ri!C15*shock_i!$E$3</f>
        <v>1236645.3596794507</v>
      </c>
      <c r="D15" s="7">
        <f>s_ri!D15*shock_i!$E$4</f>
        <v>0</v>
      </c>
      <c r="E15" s="7">
        <f>s_ri!E15*shock_i!$E$5</f>
        <v>0</v>
      </c>
      <c r="F15" s="7">
        <f>s_ri!F15*shock_i!$E$6</f>
        <v>-0.30779740192473543</v>
      </c>
      <c r="G15" s="7">
        <f>s_ri!G15*shock_i!$E$7</f>
        <v>483.65746832712597</v>
      </c>
      <c r="H15" s="7">
        <f t="shared" si="0"/>
        <v>1255.7007897541723</v>
      </c>
      <c r="K15" s="9" t="s">
        <v>17</v>
      </c>
      <c r="L15" s="7">
        <f>s_ri!K15*shock_i!$E$8</f>
        <v>13314.525825165991</v>
      </c>
      <c r="M15" s="7">
        <f>s_ri!L15*shock_i!$E$9</f>
        <v>-550089.52553649398</v>
      </c>
      <c r="N15" s="7">
        <f>s_ri!M15*shock_i!$E$10</f>
        <v>0</v>
      </c>
      <c r="O15" s="7">
        <f>s_ri!N15*shock_i!$E$11</f>
        <v>0</v>
      </c>
      <c r="P15" s="7">
        <f>s_ri!O15*shock_i!$E$12</f>
        <v>-10.925403912088868</v>
      </c>
      <c r="Q15" s="7">
        <f>s_ri!P15*shock_i!$E$13</f>
        <v>-284.54957690193282</v>
      </c>
      <c r="R15" s="7">
        <f t="shared" si="1"/>
        <v>-537.07047469214194</v>
      </c>
    </row>
    <row r="16" spans="1:18" x14ac:dyDescent="0.2">
      <c r="A16" s="6" t="s">
        <v>18</v>
      </c>
      <c r="B16" s="7">
        <f>s_ri!B16*shock_i!$E$2</f>
        <v>2073.1325313788257</v>
      </c>
      <c r="C16" s="7">
        <f>s_ri!C16*shock_i!$E$3</f>
        <v>5735042.7691505449</v>
      </c>
      <c r="D16" s="7">
        <f>s_ri!D16*shock_i!$E$4</f>
        <v>0</v>
      </c>
      <c r="E16" s="7">
        <f>s_ri!E16*shock_i!$E$5</f>
        <v>0</v>
      </c>
      <c r="F16" s="7">
        <f>s_ri!F16*shock_i!$E$6</f>
        <v>-8.5780839417417293E-2</v>
      </c>
      <c r="G16" s="7">
        <f>s_ri!G16*shock_i!$E$7</f>
        <v>110.79300550715548</v>
      </c>
      <c r="H16" s="7">
        <f t="shared" si="0"/>
        <v>5737.2266089065915</v>
      </c>
      <c r="K16" s="9" t="s">
        <v>18</v>
      </c>
      <c r="L16" s="7">
        <f>s_ri!K16*shock_i!$E$8</f>
        <v>8073.6479359334689</v>
      </c>
      <c r="M16" s="7">
        <f>s_ri!L16*shock_i!$E$9</f>
        <v>-749744.74239877518</v>
      </c>
      <c r="N16" s="7">
        <f>s_ri!M16*shock_i!$E$10</f>
        <v>0</v>
      </c>
      <c r="O16" s="7">
        <f>s_ri!N16*shock_i!$E$11</f>
        <v>0</v>
      </c>
      <c r="P16" s="7">
        <f>s_ri!O16*shock_i!$E$12</f>
        <v>-12.558317533106973</v>
      </c>
      <c r="Q16" s="7">
        <f>s_ri!P16*shock_i!$E$13</f>
        <v>-310.8153917516027</v>
      </c>
      <c r="R16" s="7">
        <f t="shared" si="1"/>
        <v>-741.9944681721264</v>
      </c>
    </row>
    <row r="17" spans="1:18" x14ac:dyDescent="0.2">
      <c r="A17" s="6" t="s">
        <v>19</v>
      </c>
      <c r="B17" s="7">
        <f>s_ri!B17*shock_i!$E$2</f>
        <v>10861.453891717889</v>
      </c>
      <c r="C17" s="7">
        <f>s_ri!C17*shock_i!$E$3</f>
        <v>676240.87073883973</v>
      </c>
      <c r="D17" s="7">
        <f>s_ri!D17*shock_i!$E$4</f>
        <v>0</v>
      </c>
      <c r="E17" s="7">
        <f>s_ri!E17*shock_i!$E$5</f>
        <v>0</v>
      </c>
      <c r="F17" s="7">
        <f>s_ri!F17*shock_i!$E$6</f>
        <v>-0.55338705428858692</v>
      </c>
      <c r="G17" s="7">
        <f>s_ri!G17*shock_i!$E$7</f>
        <v>518.04067597897688</v>
      </c>
      <c r="H17" s="7">
        <f t="shared" si="0"/>
        <v>687.61981191948246</v>
      </c>
      <c r="K17" s="9" t="s">
        <v>19</v>
      </c>
      <c r="L17" s="7">
        <f>s_ri!K17*shock_i!$E$8</f>
        <v>7573.0433004382485</v>
      </c>
      <c r="M17" s="7">
        <f>s_ri!L17*shock_i!$E$9</f>
        <v>-1148335.1819219659</v>
      </c>
      <c r="N17" s="7">
        <f>s_ri!M17*shock_i!$E$10</f>
        <v>0</v>
      </c>
      <c r="O17" s="7">
        <f>s_ri!N17*shock_i!$E$11</f>
        <v>0</v>
      </c>
      <c r="P17" s="7">
        <f>s_ri!O17*shock_i!$E$12</f>
        <v>-11.355553327008165</v>
      </c>
      <c r="Q17" s="7">
        <f>s_ri!P17*shock_i!$E$13</f>
        <v>-221.64107344588405</v>
      </c>
      <c r="R17" s="7">
        <f t="shared" si="1"/>
        <v>-1140.9951352483004</v>
      </c>
    </row>
    <row r="18" spans="1:18" x14ac:dyDescent="0.2">
      <c r="A18" s="6" t="s">
        <v>20</v>
      </c>
      <c r="B18" s="7">
        <f>s_ri!B18*shock_i!$E$2</f>
        <v>4383.9016161933932</v>
      </c>
      <c r="C18" s="7">
        <f>s_ri!C18*shock_i!$E$3</f>
        <v>4244512.437100213</v>
      </c>
      <c r="D18" s="7">
        <f>s_ri!D18*shock_i!$E$4</f>
        <v>0</v>
      </c>
      <c r="E18" s="7">
        <f>s_ri!E18*shock_i!$E$5</f>
        <v>0</v>
      </c>
      <c r="F18" s="7">
        <f>s_ri!F18*shock_i!$E$6</f>
        <v>-0.21378633042820086</v>
      </c>
      <c r="G18" s="7">
        <f>s_ri!G18*shock_i!$E$7</f>
        <v>247.13721345432663</v>
      </c>
      <c r="H18" s="7">
        <f t="shared" si="0"/>
        <v>4249.1432621435306</v>
      </c>
      <c r="K18" s="9" t="s">
        <v>20</v>
      </c>
      <c r="L18" s="7">
        <f>s_ri!K18*shock_i!$E$8</f>
        <v>4281.5260843745782</v>
      </c>
      <c r="M18" s="7">
        <f>s_ri!L18*shock_i!$E$9</f>
        <v>-1081660.1576958986</v>
      </c>
      <c r="N18" s="7">
        <f>s_ri!M18*shock_i!$E$10</f>
        <v>0</v>
      </c>
      <c r="O18" s="7">
        <f>s_ri!N18*shock_i!$E$11</f>
        <v>0</v>
      </c>
      <c r="P18" s="7">
        <f>s_ri!O18*shock_i!$E$12</f>
        <v>-13.662179834454495</v>
      </c>
      <c r="Q18" s="7">
        <f>s_ri!P18*shock_i!$E$13</f>
        <v>-275.72339185079414</v>
      </c>
      <c r="R18" s="7">
        <f t="shared" si="1"/>
        <v>-1077.668017183209</v>
      </c>
    </row>
    <row r="19" spans="1:18" x14ac:dyDescent="0.2">
      <c r="A19" s="6" t="s">
        <v>21</v>
      </c>
      <c r="B19" s="7">
        <f>s_ri!B19*shock_i!$E$2</f>
        <v>11874.376117341117</v>
      </c>
      <c r="C19" s="7">
        <f>s_ri!C19*shock_i!$E$3</f>
        <v>1738637.6068393907</v>
      </c>
      <c r="D19" s="7">
        <f>s_ri!D19*shock_i!$E$4</f>
        <v>0</v>
      </c>
      <c r="E19" s="7">
        <f>s_ri!E19*shock_i!$E$5</f>
        <v>0</v>
      </c>
      <c r="F19" s="7">
        <f>s_ri!F19*shock_i!$E$6</f>
        <v>-0.46751623289200711</v>
      </c>
      <c r="G19" s="7">
        <f>s_ri!G19*shock_i!$E$7</f>
        <v>413.7823776757225</v>
      </c>
      <c r="H19" s="7">
        <f t="shared" si="0"/>
        <v>1750.9252978181746</v>
      </c>
      <c r="K19" s="9" t="s">
        <v>21</v>
      </c>
      <c r="L19" s="7">
        <f>s_ri!K19*shock_i!$E$8</f>
        <v>7295.4460749891996</v>
      </c>
      <c r="M19" s="7">
        <f>s_ri!L19*shock_i!$E$9</f>
        <v>-1076173.0836939807</v>
      </c>
      <c r="N19" s="7">
        <f>s_ri!M19*shock_i!$E$10</f>
        <v>0</v>
      </c>
      <c r="O19" s="7">
        <f>s_ri!N19*shock_i!$E$11</f>
        <v>0</v>
      </c>
      <c r="P19" s="7">
        <f>s_ri!O19*shock_i!$E$12</f>
        <v>-13.855577545706925</v>
      </c>
      <c r="Q19" s="7">
        <f>s_ri!P19*shock_i!$E$13</f>
        <v>-240.93348381511174</v>
      </c>
      <c r="R19" s="7">
        <f t="shared" si="1"/>
        <v>-1069.1324266803524</v>
      </c>
    </row>
    <row r="20" spans="1:18" x14ac:dyDescent="0.2">
      <c r="A20" s="6" t="s">
        <v>22</v>
      </c>
      <c r="B20" s="7">
        <f>s_ri!B20*shock_i!$E$2</f>
        <v>7264.1753132955846</v>
      </c>
      <c r="C20" s="7">
        <f>s_ri!C20*shock_i!$E$3</f>
        <v>520716.08649513486</v>
      </c>
      <c r="D20" s="7">
        <f>s_ri!D20*shock_i!$E$4</f>
        <v>0</v>
      </c>
      <c r="E20" s="7">
        <f>s_ri!E20*shock_i!$E$5</f>
        <v>0</v>
      </c>
      <c r="F20" s="7">
        <f>s_ri!F20*shock_i!$E$6</f>
        <v>-0.55360896809318305</v>
      </c>
      <c r="G20" s="7">
        <f>s_ri!G20*shock_i!$E$7</f>
        <v>555.09496351751704</v>
      </c>
      <c r="H20" s="7">
        <f t="shared" si="0"/>
        <v>528.53480316297987</v>
      </c>
      <c r="K20" s="9" t="s">
        <v>22</v>
      </c>
      <c r="L20" s="7">
        <f>s_ri!K20*shock_i!$E$8</f>
        <v>6028.5884586311395</v>
      </c>
      <c r="M20" s="7">
        <f>s_ri!L20*shock_i!$E$9</f>
        <v>-759566.48394922074</v>
      </c>
      <c r="N20" s="7">
        <f>s_ri!M20*shock_i!$E$10</f>
        <v>0</v>
      </c>
      <c r="O20" s="7">
        <f>s_ri!N20*shock_i!$E$11</f>
        <v>0</v>
      </c>
      <c r="P20" s="7">
        <f>s_ri!O20*shock_i!$E$12</f>
        <v>-14.856926954407395</v>
      </c>
      <c r="Q20" s="7">
        <f>s_ri!P20*shock_i!$E$13</f>
        <v>-275.90873023007686</v>
      </c>
      <c r="R20" s="7">
        <f t="shared" si="1"/>
        <v>-753.82866114777391</v>
      </c>
    </row>
    <row r="21" spans="1:18" x14ac:dyDescent="0.2">
      <c r="A21" s="6" t="s">
        <v>23</v>
      </c>
      <c r="B21" s="7">
        <f>s_ri!B21*shock_i!$E$2</f>
        <v>5624.5953939913898</v>
      </c>
      <c r="C21" s="7">
        <f>s_ri!C21*shock_i!$E$3</f>
        <v>3218375.2711447985</v>
      </c>
      <c r="D21" s="7">
        <f>s_ri!D21*shock_i!$E$4</f>
        <v>0</v>
      </c>
      <c r="E21" s="7">
        <f>s_ri!E21*shock_i!$E$5</f>
        <v>0</v>
      </c>
      <c r="F21" s="7">
        <f>s_ri!F21*shock_i!$E$6</f>
        <v>-0.25327022574149916</v>
      </c>
      <c r="G21" s="7">
        <f>s_ri!G21*shock_i!$E$7</f>
        <v>368.44376598414965</v>
      </c>
      <c r="H21" s="7">
        <f t="shared" si="0"/>
        <v>3224.3680570345482</v>
      </c>
      <c r="K21" s="9" t="s">
        <v>23</v>
      </c>
      <c r="L21" s="7">
        <f>s_ri!K21*shock_i!$E$8</f>
        <v>6104.7477870676139</v>
      </c>
      <c r="M21" s="7">
        <f>s_ri!L21*shock_i!$E$9</f>
        <v>-880452.0844755139</v>
      </c>
      <c r="N21" s="7">
        <f>s_ri!M21*shock_i!$E$10</f>
        <v>0</v>
      </c>
      <c r="O21" s="7">
        <f>s_ri!N21*shock_i!$E$11</f>
        <v>0</v>
      </c>
      <c r="P21" s="7">
        <f>s_ri!O21*shock_i!$E$12</f>
        <v>-11.840192324891579</v>
      </c>
      <c r="Q21" s="7">
        <f>s_ri!P21*shock_i!$E$13</f>
        <v>-273.01891770439732</v>
      </c>
      <c r="R21" s="7">
        <f t="shared" si="1"/>
        <v>-874.63219579847555</v>
      </c>
    </row>
    <row r="22" spans="1:18" x14ac:dyDescent="0.2">
      <c r="A22" s="6" t="s">
        <v>24</v>
      </c>
      <c r="B22" s="7">
        <f>s_ri!B22*shock_i!$E$2</f>
        <v>6305.525807847388</v>
      </c>
      <c r="C22" s="7">
        <f>s_ri!C22*shock_i!$E$3</f>
        <v>2692462.8395502311</v>
      </c>
      <c r="D22" s="7">
        <f>s_ri!D22*shock_i!$E$4</f>
        <v>0</v>
      </c>
      <c r="E22" s="7">
        <f>s_ri!E22*shock_i!$E$5</f>
        <v>0</v>
      </c>
      <c r="F22" s="7">
        <f>s_ri!F22*shock_i!$E$6</f>
        <v>-0.36575792626862802</v>
      </c>
      <c r="G22" s="7">
        <f>s_ri!G22*shock_i!$E$7</f>
        <v>385.16187957216226</v>
      </c>
      <c r="H22" s="7">
        <f t="shared" si="0"/>
        <v>2699.1531614797241</v>
      </c>
      <c r="K22" s="9" t="s">
        <v>24</v>
      </c>
      <c r="L22" s="7">
        <f>s_ri!K22*shock_i!$E$8</f>
        <v>4628.4746913107283</v>
      </c>
      <c r="M22" s="7">
        <f>s_ri!L22*shock_i!$E$9</f>
        <v>-1198310.4858383718</v>
      </c>
      <c r="N22" s="7">
        <f>s_ri!M22*shock_i!$E$10</f>
        <v>0</v>
      </c>
      <c r="O22" s="7">
        <f>s_ri!N22*shock_i!$E$11</f>
        <v>0</v>
      </c>
      <c r="P22" s="7">
        <f>s_ri!O22*shock_i!$E$12</f>
        <v>-12.151202530639928</v>
      </c>
      <c r="Q22" s="7">
        <f>s_ri!P22*shock_i!$E$13</f>
        <v>-250.90932426516494</v>
      </c>
      <c r="R22" s="7">
        <f t="shared" si="1"/>
        <v>-1193.9450716738568</v>
      </c>
    </row>
    <row r="23" spans="1:18" x14ac:dyDescent="0.2">
      <c r="A23" s="6" t="s">
        <v>25</v>
      </c>
      <c r="B23" s="7">
        <f>s_ri!B23*shock_i!$E$2</f>
        <v>4390.2303744232877</v>
      </c>
      <c r="C23" s="7">
        <f>s_ri!C23*shock_i!$E$3</f>
        <v>1600234.1766565714</v>
      </c>
      <c r="D23" s="7">
        <f>s_ri!D23*shock_i!$E$4</f>
        <v>0</v>
      </c>
      <c r="E23" s="7">
        <f>s_ri!E23*shock_i!$E$5</f>
        <v>0</v>
      </c>
      <c r="F23" s="7">
        <f>s_ri!F23*shock_i!$E$6</f>
        <v>-0.5721515494546533</v>
      </c>
      <c r="G23" s="7">
        <f>s_ri!G23*shock_i!$E$7</f>
        <v>547.29100912247429</v>
      </c>
      <c r="H23" s="7">
        <f t="shared" si="0"/>
        <v>1605.171125888568</v>
      </c>
      <c r="K23" s="9" t="s">
        <v>25</v>
      </c>
      <c r="L23" s="7">
        <f>s_ri!K23*shock_i!$E$8</f>
        <v>3493.9363608475178</v>
      </c>
      <c r="M23" s="7">
        <f>s_ri!L23*shock_i!$E$9</f>
        <v>-412440.16251292126</v>
      </c>
      <c r="N23" s="7">
        <f>s_ri!M23*shock_i!$E$10</f>
        <v>0</v>
      </c>
      <c r="O23" s="7">
        <f>s_ri!N23*shock_i!$E$11</f>
        <v>0</v>
      </c>
      <c r="P23" s="7">
        <f>s_ri!O23*shock_i!$E$12</f>
        <v>-16.395367985957314</v>
      </c>
      <c r="Q23" s="7">
        <f>s_ri!P23*shock_i!$E$13</f>
        <v>-347.22957519341719</v>
      </c>
      <c r="R23" s="7">
        <f t="shared" si="1"/>
        <v>-409.30985109525312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E3A9-1925-6945-A35B-75135C166737}">
  <dimension ref="A1:W40"/>
  <sheetViews>
    <sheetView workbookViewId="0">
      <selection activeCell="X23" sqref="X23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8" customFormat="1" x14ac:dyDescent="0.2">
      <c r="A1" s="5" t="s">
        <v>41</v>
      </c>
      <c r="B1" s="5"/>
      <c r="C1" s="5"/>
      <c r="E1" s="5" t="s">
        <v>42</v>
      </c>
      <c r="F1" s="5"/>
      <c r="G1" s="5"/>
      <c r="H1" s="14"/>
      <c r="I1" s="5" t="s">
        <v>43</v>
      </c>
      <c r="J1" s="5"/>
      <c r="K1" s="5"/>
      <c r="L1" s="14"/>
      <c r="M1" s="5" t="s">
        <v>44</v>
      </c>
      <c r="N1" s="5"/>
      <c r="O1" s="5"/>
      <c r="P1" s="14"/>
      <c r="Q1" s="5" t="s">
        <v>45</v>
      </c>
      <c r="R1" s="5"/>
      <c r="S1" s="5"/>
      <c r="T1" s="14"/>
      <c r="U1" s="5" t="s">
        <v>46</v>
      </c>
      <c r="V1" s="5"/>
      <c r="W1" s="5"/>
    </row>
    <row r="2" spans="1:23" s="8" customFormat="1" x14ac:dyDescent="0.2">
      <c r="A2" s="9" t="s">
        <v>1</v>
      </c>
      <c r="B2" s="9" t="s">
        <v>2</v>
      </c>
      <c r="C2" s="11" t="s">
        <v>39</v>
      </c>
      <c r="E2" s="6" t="s">
        <v>1</v>
      </c>
      <c r="F2" s="6" t="s">
        <v>2</v>
      </c>
      <c r="G2" s="11" t="s">
        <v>39</v>
      </c>
      <c r="H2" s="10"/>
      <c r="I2" s="6" t="s">
        <v>1</v>
      </c>
      <c r="J2" s="6" t="s">
        <v>2</v>
      </c>
      <c r="K2" s="11" t="s">
        <v>39</v>
      </c>
      <c r="L2" s="10"/>
      <c r="M2" s="6" t="s">
        <v>1</v>
      </c>
      <c r="N2" s="6" t="s">
        <v>2</v>
      </c>
      <c r="O2" s="15" t="s">
        <v>39</v>
      </c>
      <c r="P2" s="10"/>
      <c r="Q2" s="6" t="s">
        <v>1</v>
      </c>
      <c r="R2" s="6" t="s">
        <v>2</v>
      </c>
      <c r="S2" s="6" t="s">
        <v>39</v>
      </c>
      <c r="T2" s="10"/>
      <c r="U2" s="6" t="s">
        <v>1</v>
      </c>
      <c r="V2" s="6" t="s">
        <v>2</v>
      </c>
      <c r="W2" s="15" t="s">
        <v>39</v>
      </c>
    </row>
    <row r="3" spans="1:23" x14ac:dyDescent="0.2">
      <c r="A3" s="13">
        <v>1999</v>
      </c>
      <c r="B3" s="13" t="s">
        <v>4</v>
      </c>
      <c r="C3" s="12">
        <v>31366299</v>
      </c>
      <c r="E3" s="4">
        <v>1999</v>
      </c>
      <c r="F3" s="4" t="s">
        <v>4</v>
      </c>
      <c r="G3" s="12">
        <v>1907415</v>
      </c>
      <c r="I3" s="4">
        <v>1999</v>
      </c>
      <c r="J3" s="4" t="s">
        <v>4</v>
      </c>
      <c r="K3" s="12">
        <v>1643501884</v>
      </c>
      <c r="M3" s="4">
        <v>1999</v>
      </c>
      <c r="N3" s="4" t="s">
        <v>4</v>
      </c>
      <c r="O3" s="12">
        <v>1125099</v>
      </c>
      <c r="Q3" s="4">
        <v>1999</v>
      </c>
      <c r="R3" s="4" t="s">
        <v>4</v>
      </c>
      <c r="S3" s="12">
        <v>8132064</v>
      </c>
      <c r="U3" s="4">
        <v>1999</v>
      </c>
      <c r="V3" s="4" t="s">
        <v>4</v>
      </c>
      <c r="W3" s="12">
        <v>1414721</v>
      </c>
    </row>
    <row r="4" spans="1:23" x14ac:dyDescent="0.2">
      <c r="A4" s="13">
        <v>1999</v>
      </c>
      <c r="B4" s="13" t="s">
        <v>26</v>
      </c>
      <c r="C4" s="12">
        <v>4170822649</v>
      </c>
      <c r="E4" s="4">
        <v>1999</v>
      </c>
      <c r="F4" s="4" t="s">
        <v>26</v>
      </c>
      <c r="G4" s="12">
        <v>723830435</v>
      </c>
      <c r="I4" s="4">
        <v>1999</v>
      </c>
      <c r="J4" s="4" t="s">
        <v>26</v>
      </c>
      <c r="K4" s="12">
        <v>40528188750</v>
      </c>
      <c r="M4" s="4">
        <v>1999</v>
      </c>
      <c r="N4" s="4" t="s">
        <v>26</v>
      </c>
      <c r="O4" s="12">
        <v>920711827</v>
      </c>
      <c r="Q4" s="4">
        <v>1999</v>
      </c>
      <c r="R4" s="4" t="s">
        <v>26</v>
      </c>
      <c r="S4" s="12">
        <v>745304253</v>
      </c>
      <c r="U4" s="4">
        <v>1999</v>
      </c>
      <c r="V4" s="4" t="s">
        <v>26</v>
      </c>
      <c r="W4" s="12">
        <v>757645750</v>
      </c>
    </row>
    <row r="5" spans="1:23" x14ac:dyDescent="0.2">
      <c r="A5" s="13">
        <v>1999</v>
      </c>
      <c r="B5" s="13" t="s">
        <v>27</v>
      </c>
      <c r="C5" s="12">
        <v>0</v>
      </c>
      <c r="E5" s="4">
        <v>1999</v>
      </c>
      <c r="F5" s="4" t="s">
        <v>27</v>
      </c>
      <c r="G5" s="12">
        <v>0</v>
      </c>
      <c r="I5" s="4">
        <v>1999</v>
      </c>
      <c r="J5" s="4" t="s">
        <v>27</v>
      </c>
      <c r="K5" s="12">
        <v>0</v>
      </c>
      <c r="M5" s="4">
        <v>1999</v>
      </c>
      <c r="N5" s="4" t="s">
        <v>27</v>
      </c>
      <c r="O5" s="12">
        <v>0</v>
      </c>
      <c r="Q5" s="4">
        <v>1999</v>
      </c>
      <c r="R5" s="4" t="s">
        <v>27</v>
      </c>
      <c r="S5" s="12">
        <v>0</v>
      </c>
      <c r="U5" s="4">
        <v>1999</v>
      </c>
      <c r="V5" s="4" t="s">
        <v>27</v>
      </c>
      <c r="W5" s="12">
        <v>0</v>
      </c>
    </row>
    <row r="6" spans="1:23" x14ac:dyDescent="0.2">
      <c r="A6" s="13">
        <v>1999</v>
      </c>
      <c r="B6" s="13" t="s">
        <v>28</v>
      </c>
      <c r="C6" s="12">
        <v>0</v>
      </c>
      <c r="E6" s="4">
        <v>1999</v>
      </c>
      <c r="F6" s="4" t="s">
        <v>28</v>
      </c>
      <c r="G6" s="12">
        <v>0</v>
      </c>
      <c r="I6" s="4">
        <v>1999</v>
      </c>
      <c r="J6" s="4" t="s">
        <v>28</v>
      </c>
      <c r="K6" s="12">
        <v>0</v>
      </c>
      <c r="M6" s="4">
        <v>1999</v>
      </c>
      <c r="N6" s="4" t="s">
        <v>28</v>
      </c>
      <c r="O6" s="12">
        <v>0</v>
      </c>
      <c r="Q6" s="4">
        <v>1999</v>
      </c>
      <c r="R6" s="4" t="s">
        <v>28</v>
      </c>
      <c r="S6" s="12">
        <v>0</v>
      </c>
      <c r="U6" s="4">
        <v>1999</v>
      </c>
      <c r="V6" s="4" t="s">
        <v>28</v>
      </c>
      <c r="W6" s="12">
        <v>0</v>
      </c>
    </row>
    <row r="7" spans="1:23" x14ac:dyDescent="0.2">
      <c r="A7" s="13">
        <v>1999</v>
      </c>
      <c r="B7" s="13" t="s">
        <v>29</v>
      </c>
      <c r="C7" s="12">
        <v>8063</v>
      </c>
      <c r="E7" s="4">
        <v>1999</v>
      </c>
      <c r="F7" s="4" t="s">
        <v>29</v>
      </c>
      <c r="G7" s="12">
        <v>0</v>
      </c>
      <c r="I7" s="4">
        <v>1999</v>
      </c>
      <c r="J7" s="4" t="s">
        <v>29</v>
      </c>
      <c r="K7" s="12">
        <v>399015</v>
      </c>
      <c r="M7" s="4">
        <v>1999</v>
      </c>
      <c r="N7" s="4" t="s">
        <v>29</v>
      </c>
      <c r="O7" s="12">
        <v>4382</v>
      </c>
      <c r="Q7" s="4">
        <v>1999</v>
      </c>
      <c r="R7" s="4" t="s">
        <v>29</v>
      </c>
      <c r="S7" s="12">
        <v>0</v>
      </c>
      <c r="U7" s="4">
        <v>1999</v>
      </c>
      <c r="V7" s="4" t="s">
        <v>29</v>
      </c>
      <c r="W7" s="12">
        <v>1451</v>
      </c>
    </row>
    <row r="8" spans="1:23" x14ac:dyDescent="0.2">
      <c r="A8" s="13">
        <v>1999</v>
      </c>
      <c r="B8" s="13" t="s">
        <v>30</v>
      </c>
      <c r="C8" s="12">
        <v>8515219</v>
      </c>
      <c r="E8" s="4">
        <v>1999</v>
      </c>
      <c r="F8" s="4" t="s">
        <v>30</v>
      </c>
      <c r="G8" s="12">
        <v>116194</v>
      </c>
      <c r="I8" s="4">
        <v>1999</v>
      </c>
      <c r="J8" s="4" t="s">
        <v>30</v>
      </c>
      <c r="K8" s="12">
        <v>26277368</v>
      </c>
      <c r="M8" s="4">
        <v>1999</v>
      </c>
      <c r="N8" s="4" t="s">
        <v>30</v>
      </c>
      <c r="O8" s="12">
        <v>195790</v>
      </c>
      <c r="Q8" s="4">
        <v>1999</v>
      </c>
      <c r="R8" s="4" t="s">
        <v>30</v>
      </c>
      <c r="S8" s="12">
        <v>422934</v>
      </c>
      <c r="U8" s="4">
        <v>1999</v>
      </c>
      <c r="V8" s="4" t="s">
        <v>30</v>
      </c>
      <c r="W8" s="12">
        <v>170444</v>
      </c>
    </row>
    <row r="9" spans="1:23" x14ac:dyDescent="0.2">
      <c r="A9" s="13">
        <v>2011</v>
      </c>
      <c r="B9" s="13" t="s">
        <v>4</v>
      </c>
      <c r="C9" s="12">
        <v>126210268</v>
      </c>
      <c r="E9" s="4">
        <v>2011</v>
      </c>
      <c r="F9" s="4" t="s">
        <v>4</v>
      </c>
      <c r="G9" s="12">
        <v>2661830</v>
      </c>
      <c r="I9" s="4">
        <v>2011</v>
      </c>
      <c r="J9" s="4" t="s">
        <v>4</v>
      </c>
      <c r="K9" s="12">
        <v>1871215480</v>
      </c>
      <c r="M9" s="4">
        <v>2011</v>
      </c>
      <c r="N9" s="4" t="s">
        <v>4</v>
      </c>
      <c r="O9" s="12">
        <v>14453257</v>
      </c>
      <c r="Q9" s="16">
        <v>2011</v>
      </c>
      <c r="R9" s="16" t="s">
        <v>4</v>
      </c>
      <c r="S9" s="12">
        <v>23104718.137999993</v>
      </c>
      <c r="U9" s="4">
        <v>2011</v>
      </c>
      <c r="V9" s="4" t="s">
        <v>4</v>
      </c>
      <c r="W9" s="12">
        <v>10454215</v>
      </c>
    </row>
    <row r="10" spans="1:23" x14ac:dyDescent="0.2">
      <c r="A10" s="13">
        <v>2011</v>
      </c>
      <c r="B10" s="13" t="s">
        <v>26</v>
      </c>
      <c r="C10" s="12">
        <v>42571628341</v>
      </c>
      <c r="E10" s="4">
        <v>2011</v>
      </c>
      <c r="F10" s="4" t="s">
        <v>26</v>
      </c>
      <c r="G10" s="12">
        <v>3030544423</v>
      </c>
      <c r="I10" s="4">
        <v>2011</v>
      </c>
      <c r="J10" s="4" t="s">
        <v>26</v>
      </c>
      <c r="K10" s="12">
        <v>178004922182</v>
      </c>
      <c r="M10" s="4">
        <v>2011</v>
      </c>
      <c r="N10" s="4" t="s">
        <v>26</v>
      </c>
      <c r="O10" s="12">
        <v>8239528662</v>
      </c>
      <c r="Q10" s="16">
        <v>2011</v>
      </c>
      <c r="R10" s="16" t="s">
        <v>26</v>
      </c>
      <c r="S10" s="12">
        <v>5835469332.3119993</v>
      </c>
      <c r="U10" s="4">
        <v>2011</v>
      </c>
      <c r="V10" s="4" t="s">
        <v>26</v>
      </c>
      <c r="W10" s="12">
        <v>6831335381</v>
      </c>
    </row>
    <row r="11" spans="1:23" x14ac:dyDescent="0.2">
      <c r="A11" s="13">
        <v>2011</v>
      </c>
      <c r="B11" s="13" t="s">
        <v>27</v>
      </c>
      <c r="C11" s="12">
        <v>0</v>
      </c>
      <c r="E11" s="4">
        <v>2011</v>
      </c>
      <c r="F11" s="4" t="s">
        <v>27</v>
      </c>
      <c r="G11" s="12">
        <v>0</v>
      </c>
      <c r="I11" s="4">
        <v>2011</v>
      </c>
      <c r="J11" s="4" t="s">
        <v>27</v>
      </c>
      <c r="K11" s="12">
        <v>0</v>
      </c>
      <c r="M11" s="4">
        <v>2011</v>
      </c>
      <c r="N11" s="4" t="s">
        <v>27</v>
      </c>
      <c r="O11" s="12">
        <v>0</v>
      </c>
      <c r="Q11" s="16">
        <v>2011</v>
      </c>
      <c r="R11" s="16" t="s">
        <v>27</v>
      </c>
      <c r="S11" s="12">
        <v>0</v>
      </c>
      <c r="U11" s="4">
        <v>2011</v>
      </c>
      <c r="V11" s="4" t="s">
        <v>27</v>
      </c>
      <c r="W11" s="12">
        <v>0</v>
      </c>
    </row>
    <row r="12" spans="1:23" x14ac:dyDescent="0.2">
      <c r="A12" s="13">
        <v>2011</v>
      </c>
      <c r="B12" s="13" t="s">
        <v>28</v>
      </c>
      <c r="C12" s="12">
        <v>0</v>
      </c>
      <c r="E12" s="4">
        <v>2011</v>
      </c>
      <c r="F12" s="4" t="s">
        <v>28</v>
      </c>
      <c r="G12" s="12">
        <v>0</v>
      </c>
      <c r="I12" s="4">
        <v>2011</v>
      </c>
      <c r="J12" s="4" t="s">
        <v>28</v>
      </c>
      <c r="K12" s="12">
        <v>0</v>
      </c>
      <c r="M12" s="4">
        <v>2011</v>
      </c>
      <c r="N12" s="4" t="s">
        <v>28</v>
      </c>
      <c r="O12" s="12">
        <v>0</v>
      </c>
      <c r="Q12" s="16">
        <v>2011</v>
      </c>
      <c r="R12" s="16" t="s">
        <v>28</v>
      </c>
      <c r="S12" s="12">
        <v>0</v>
      </c>
      <c r="U12" s="4">
        <v>2011</v>
      </c>
      <c r="V12" s="4" t="s">
        <v>28</v>
      </c>
      <c r="W12" s="12">
        <v>0</v>
      </c>
    </row>
    <row r="13" spans="1:23" x14ac:dyDescent="0.2">
      <c r="A13" s="13">
        <v>2011</v>
      </c>
      <c r="B13" s="13" t="s">
        <v>29</v>
      </c>
      <c r="C13" s="12">
        <v>12361</v>
      </c>
      <c r="E13" s="4">
        <v>2011</v>
      </c>
      <c r="F13" s="4" t="s">
        <v>29</v>
      </c>
      <c r="G13" s="12">
        <v>2351</v>
      </c>
      <c r="I13" s="4">
        <v>2011</v>
      </c>
      <c r="J13" s="4" t="s">
        <v>29</v>
      </c>
      <c r="K13" s="12">
        <v>761578</v>
      </c>
      <c r="M13" s="4">
        <v>2011</v>
      </c>
      <c r="N13" s="4" t="s">
        <v>29</v>
      </c>
      <c r="O13" s="12">
        <v>2049</v>
      </c>
      <c r="Q13" s="16">
        <v>2011</v>
      </c>
      <c r="R13" s="16" t="s">
        <v>29</v>
      </c>
      <c r="S13" s="12">
        <v>119105.481</v>
      </c>
      <c r="U13" s="4">
        <v>2011</v>
      </c>
      <c r="V13" s="4" t="s">
        <v>29</v>
      </c>
      <c r="W13" s="12">
        <v>1541</v>
      </c>
    </row>
    <row r="14" spans="1:23" x14ac:dyDescent="0.2">
      <c r="A14" s="13">
        <v>2011</v>
      </c>
      <c r="B14" s="13" t="s">
        <v>30</v>
      </c>
      <c r="C14" s="12">
        <v>8175074</v>
      </c>
      <c r="E14" s="4">
        <v>2011</v>
      </c>
      <c r="F14" s="4" t="s">
        <v>30</v>
      </c>
      <c r="G14" s="12">
        <v>175153</v>
      </c>
      <c r="I14" s="4">
        <v>2011</v>
      </c>
      <c r="J14" s="4" t="s">
        <v>30</v>
      </c>
      <c r="K14" s="12">
        <v>13813507</v>
      </c>
      <c r="M14" s="4">
        <v>2011</v>
      </c>
      <c r="N14" s="4" t="s">
        <v>30</v>
      </c>
      <c r="O14" s="12">
        <v>1991261</v>
      </c>
      <c r="Q14" s="16">
        <v>2011</v>
      </c>
      <c r="R14" s="16" t="s">
        <v>30</v>
      </c>
      <c r="S14" s="12">
        <v>840021.29500000004</v>
      </c>
      <c r="U14" s="4">
        <v>2011</v>
      </c>
      <c r="V14" s="4" t="s">
        <v>30</v>
      </c>
      <c r="W14" s="12">
        <v>1374256</v>
      </c>
    </row>
    <row r="15" spans="1:23" x14ac:dyDescent="0.2">
      <c r="A15" s="13">
        <v>2012</v>
      </c>
      <c r="B15" s="13" t="s">
        <v>4</v>
      </c>
      <c r="C15" s="12">
        <v>113128043</v>
      </c>
      <c r="E15" s="4">
        <v>2012</v>
      </c>
      <c r="F15" s="4" t="s">
        <v>4</v>
      </c>
      <c r="G15" s="12">
        <v>7005283</v>
      </c>
      <c r="I15" s="4">
        <v>2012</v>
      </c>
      <c r="J15" s="4" t="s">
        <v>4</v>
      </c>
      <c r="K15" s="12">
        <v>1945974614</v>
      </c>
      <c r="M15" s="4">
        <v>2012</v>
      </c>
      <c r="N15" s="4" t="s">
        <v>4</v>
      </c>
      <c r="O15" s="12">
        <v>13598740</v>
      </c>
      <c r="Q15" s="4">
        <v>2012</v>
      </c>
      <c r="R15" s="4" t="s">
        <v>4</v>
      </c>
      <c r="S15" s="12">
        <v>21088671.141000003</v>
      </c>
      <c r="U15" s="4">
        <v>2012</v>
      </c>
      <c r="V15" s="4" t="s">
        <v>4</v>
      </c>
      <c r="W15" s="12">
        <v>11961046.121999998</v>
      </c>
    </row>
    <row r="16" spans="1:23" x14ac:dyDescent="0.2">
      <c r="A16" s="13">
        <v>2012</v>
      </c>
      <c r="B16" s="13" t="s">
        <v>26</v>
      </c>
      <c r="C16" s="12">
        <v>44967001411</v>
      </c>
      <c r="E16" s="4">
        <v>2012</v>
      </c>
      <c r="F16" s="4" t="s">
        <v>26</v>
      </c>
      <c r="G16" s="12">
        <v>5857707478</v>
      </c>
      <c r="I16" s="4">
        <v>2012</v>
      </c>
      <c r="J16" s="4" t="s">
        <v>26</v>
      </c>
      <c r="K16" s="12">
        <v>183922027798</v>
      </c>
      <c r="M16" s="4">
        <v>2012</v>
      </c>
      <c r="N16" s="4" t="s">
        <v>26</v>
      </c>
      <c r="O16" s="12">
        <v>8057037744</v>
      </c>
      <c r="Q16" s="4">
        <v>2012</v>
      </c>
      <c r="R16" s="4" t="s">
        <v>26</v>
      </c>
      <c r="S16" s="12">
        <v>6182092763.4729986</v>
      </c>
      <c r="U16" s="4">
        <v>2012</v>
      </c>
      <c r="V16" s="4" t="s">
        <v>26</v>
      </c>
      <c r="W16" s="12">
        <v>8033880963.5719976</v>
      </c>
    </row>
    <row r="17" spans="1:23" x14ac:dyDescent="0.2">
      <c r="A17" s="13">
        <v>2012</v>
      </c>
      <c r="B17" s="13" t="s">
        <v>27</v>
      </c>
      <c r="C17" s="12">
        <v>0</v>
      </c>
      <c r="E17" s="4">
        <v>2012</v>
      </c>
      <c r="F17" s="4" t="s">
        <v>27</v>
      </c>
      <c r="G17" s="12">
        <v>0</v>
      </c>
      <c r="I17" s="4">
        <v>2012</v>
      </c>
      <c r="J17" s="4" t="s">
        <v>27</v>
      </c>
      <c r="K17" s="12">
        <v>0</v>
      </c>
      <c r="M17" s="4">
        <v>2012</v>
      </c>
      <c r="N17" s="4" t="s">
        <v>27</v>
      </c>
      <c r="O17" s="12">
        <v>0</v>
      </c>
      <c r="Q17" s="4">
        <v>2012</v>
      </c>
      <c r="R17" s="4" t="s">
        <v>27</v>
      </c>
      <c r="S17" s="12">
        <v>0</v>
      </c>
      <c r="U17" s="4">
        <v>2012</v>
      </c>
      <c r="V17" s="4" t="s">
        <v>27</v>
      </c>
      <c r="W17" s="12">
        <v>0</v>
      </c>
    </row>
    <row r="18" spans="1:23" x14ac:dyDescent="0.2">
      <c r="A18" s="13">
        <v>2012</v>
      </c>
      <c r="B18" s="13" t="s">
        <v>28</v>
      </c>
      <c r="C18" s="12">
        <v>0</v>
      </c>
      <c r="E18" s="4">
        <v>2012</v>
      </c>
      <c r="F18" s="4" t="s">
        <v>28</v>
      </c>
      <c r="G18" s="12">
        <v>0</v>
      </c>
      <c r="I18" s="4">
        <v>2012</v>
      </c>
      <c r="J18" s="4" t="s">
        <v>28</v>
      </c>
      <c r="K18" s="12">
        <v>0</v>
      </c>
      <c r="M18" s="4">
        <v>2012</v>
      </c>
      <c r="N18" s="4" t="s">
        <v>28</v>
      </c>
      <c r="O18" s="12">
        <v>0</v>
      </c>
      <c r="Q18" s="4">
        <v>2012</v>
      </c>
      <c r="R18" s="4" t="s">
        <v>28</v>
      </c>
      <c r="S18" s="12">
        <v>0</v>
      </c>
      <c r="U18" s="4">
        <v>2012</v>
      </c>
      <c r="V18" s="4" t="s">
        <v>28</v>
      </c>
      <c r="W18" s="12">
        <v>0</v>
      </c>
    </row>
    <row r="19" spans="1:23" x14ac:dyDescent="0.2">
      <c r="A19" s="13">
        <v>2012</v>
      </c>
      <c r="B19" s="13" t="s">
        <v>29</v>
      </c>
      <c r="C19" s="12">
        <v>22409</v>
      </c>
      <c r="E19" s="4">
        <v>2012</v>
      </c>
      <c r="F19" s="4" t="s">
        <v>29</v>
      </c>
      <c r="G19" s="12">
        <v>316</v>
      </c>
      <c r="I19" s="4">
        <v>2012</v>
      </c>
      <c r="J19" s="4" t="s">
        <v>29</v>
      </c>
      <c r="K19" s="12">
        <v>656483</v>
      </c>
      <c r="M19" s="4">
        <v>2012</v>
      </c>
      <c r="N19" s="4" t="s">
        <v>29</v>
      </c>
      <c r="O19" s="12">
        <v>37350</v>
      </c>
      <c r="Q19" s="4">
        <v>2012</v>
      </c>
      <c r="R19" s="4" t="s">
        <v>29</v>
      </c>
      <c r="S19" s="12">
        <v>113827.758</v>
      </c>
      <c r="U19" s="4">
        <v>2012</v>
      </c>
      <c r="V19" s="4" t="s">
        <v>29</v>
      </c>
      <c r="W19" s="12">
        <v>14028.040999999999</v>
      </c>
    </row>
    <row r="20" spans="1:23" x14ac:dyDescent="0.2">
      <c r="A20" s="13">
        <v>2012</v>
      </c>
      <c r="B20" s="13" t="s">
        <v>30</v>
      </c>
      <c r="C20" s="12">
        <v>5420936</v>
      </c>
      <c r="E20" s="4">
        <v>2012</v>
      </c>
      <c r="F20" s="4" t="s">
        <v>30</v>
      </c>
      <c r="G20" s="12">
        <v>177835</v>
      </c>
      <c r="I20" s="4">
        <v>2012</v>
      </c>
      <c r="J20" s="4" t="s">
        <v>30</v>
      </c>
      <c r="K20" s="12">
        <v>3975949</v>
      </c>
      <c r="M20" s="4">
        <v>2012</v>
      </c>
      <c r="N20" s="4" t="s">
        <v>30</v>
      </c>
      <c r="O20" s="12">
        <v>1176883</v>
      </c>
      <c r="Q20" s="4">
        <v>2012</v>
      </c>
      <c r="R20" s="4" t="s">
        <v>30</v>
      </c>
      <c r="S20" s="12">
        <v>1366947.399</v>
      </c>
      <c r="U20" s="4">
        <v>2012</v>
      </c>
      <c r="V20" s="4" t="s">
        <v>30</v>
      </c>
      <c r="W20" s="12">
        <v>1414026.5360000003</v>
      </c>
    </row>
    <row r="21" spans="1:23" x14ac:dyDescent="0.2">
      <c r="A21" s="13">
        <v>2019</v>
      </c>
      <c r="B21" s="13" t="s">
        <v>4</v>
      </c>
      <c r="C21" s="12">
        <v>146879473.11299998</v>
      </c>
      <c r="E21" s="4">
        <v>2019</v>
      </c>
      <c r="F21" s="4" t="s">
        <v>4</v>
      </c>
      <c r="G21" s="12">
        <v>7122216.3409999991</v>
      </c>
      <c r="I21" s="4">
        <v>2019</v>
      </c>
      <c r="J21" s="4" t="s">
        <v>4</v>
      </c>
      <c r="K21" s="12">
        <v>1680540049.9689999</v>
      </c>
      <c r="M21" s="4">
        <v>2019</v>
      </c>
      <c r="N21" s="4" t="s">
        <v>4</v>
      </c>
      <c r="O21" s="12">
        <v>17859836.295000002</v>
      </c>
      <c r="Q21" s="4">
        <v>2019</v>
      </c>
      <c r="R21" s="4" t="s">
        <v>4</v>
      </c>
      <c r="S21" s="12">
        <v>34921627.182999998</v>
      </c>
      <c r="U21" s="4">
        <v>2019</v>
      </c>
      <c r="V21" s="4" t="s">
        <v>4</v>
      </c>
      <c r="W21" s="12">
        <v>17012271.848999996</v>
      </c>
    </row>
    <row r="22" spans="1:23" x14ac:dyDescent="0.2">
      <c r="A22" s="13">
        <v>2019</v>
      </c>
      <c r="B22" s="13" t="s">
        <v>26</v>
      </c>
      <c r="C22" s="12">
        <v>56280182564.047981</v>
      </c>
      <c r="E22" s="4">
        <v>2019</v>
      </c>
      <c r="F22" s="4" t="s">
        <v>26</v>
      </c>
      <c r="G22" s="12">
        <v>5433849790.6580019</v>
      </c>
      <c r="I22" s="4">
        <v>2019</v>
      </c>
      <c r="J22" s="4" t="s">
        <v>26</v>
      </c>
      <c r="K22" s="12">
        <v>165747582056.78705</v>
      </c>
      <c r="M22" s="4">
        <v>2019</v>
      </c>
      <c r="N22" s="4" t="s">
        <v>26</v>
      </c>
      <c r="O22" s="12">
        <v>8725995409.3200016</v>
      </c>
      <c r="Q22" s="4">
        <v>2019</v>
      </c>
      <c r="R22" s="4" t="s">
        <v>26</v>
      </c>
      <c r="S22" s="12">
        <v>8420431621.164999</v>
      </c>
      <c r="U22" s="4">
        <v>2019</v>
      </c>
      <c r="V22" s="4" t="s">
        <v>26</v>
      </c>
      <c r="W22" s="12">
        <v>9641001984.8959999</v>
      </c>
    </row>
    <row r="23" spans="1:23" x14ac:dyDescent="0.2">
      <c r="A23" s="13">
        <v>2019</v>
      </c>
      <c r="B23" s="13" t="s">
        <v>27</v>
      </c>
      <c r="C23" s="12">
        <v>0</v>
      </c>
      <c r="E23" s="4">
        <v>2019</v>
      </c>
      <c r="F23" s="4" t="s">
        <v>27</v>
      </c>
      <c r="G23" s="12">
        <v>0</v>
      </c>
      <c r="I23" s="4">
        <v>2019</v>
      </c>
      <c r="J23" s="4" t="s">
        <v>27</v>
      </c>
      <c r="K23" s="12">
        <v>0</v>
      </c>
      <c r="M23" s="4">
        <v>2019</v>
      </c>
      <c r="N23" s="4" t="s">
        <v>27</v>
      </c>
      <c r="O23" s="12">
        <v>0</v>
      </c>
      <c r="Q23" s="4">
        <v>2019</v>
      </c>
      <c r="R23" s="4" t="s">
        <v>27</v>
      </c>
      <c r="S23" s="12">
        <v>0</v>
      </c>
      <c r="U23" s="4">
        <v>2019</v>
      </c>
      <c r="V23" s="4" t="s">
        <v>27</v>
      </c>
      <c r="W23" s="12">
        <v>0</v>
      </c>
    </row>
    <row r="24" spans="1:23" x14ac:dyDescent="0.2">
      <c r="A24" s="13">
        <v>2019</v>
      </c>
      <c r="B24" s="13" t="s">
        <v>28</v>
      </c>
      <c r="C24" s="12">
        <v>0</v>
      </c>
      <c r="E24" s="4">
        <v>2019</v>
      </c>
      <c r="F24" s="4" t="s">
        <v>28</v>
      </c>
      <c r="G24" s="12">
        <v>0</v>
      </c>
      <c r="I24" s="4">
        <v>2019</v>
      </c>
      <c r="J24" s="4" t="s">
        <v>28</v>
      </c>
      <c r="K24" s="12">
        <v>0</v>
      </c>
      <c r="M24" s="4">
        <v>2019</v>
      </c>
      <c r="N24" s="4" t="s">
        <v>28</v>
      </c>
      <c r="O24" s="12">
        <v>0</v>
      </c>
      <c r="Q24" s="4">
        <v>2019</v>
      </c>
      <c r="R24" s="4" t="s">
        <v>28</v>
      </c>
      <c r="S24" s="12">
        <v>0</v>
      </c>
      <c r="U24" s="4">
        <v>2019</v>
      </c>
      <c r="V24" s="4" t="s">
        <v>28</v>
      </c>
      <c r="W24" s="12">
        <v>0</v>
      </c>
    </row>
    <row r="25" spans="1:23" x14ac:dyDescent="0.2">
      <c r="A25" s="13">
        <v>2019</v>
      </c>
      <c r="B25" s="13" t="s">
        <v>29</v>
      </c>
      <c r="C25" s="12">
        <v>5542.5050000000001</v>
      </c>
      <c r="E25" s="4">
        <v>2019</v>
      </c>
      <c r="F25" s="4" t="s">
        <v>29</v>
      </c>
      <c r="G25" s="12">
        <v>6290.4489999999996</v>
      </c>
      <c r="I25" s="4">
        <v>2019</v>
      </c>
      <c r="J25" s="4" t="s">
        <v>29</v>
      </c>
      <c r="K25" s="12">
        <v>1009973.366</v>
      </c>
      <c r="M25" s="4">
        <v>2019</v>
      </c>
      <c r="N25" s="4" t="s">
        <v>29</v>
      </c>
      <c r="O25" s="12">
        <v>3806.4409999999998</v>
      </c>
      <c r="Q25" s="4">
        <v>2019</v>
      </c>
      <c r="R25" s="4" t="s">
        <v>29</v>
      </c>
      <c r="S25" s="12">
        <v>32304.987000000001</v>
      </c>
      <c r="U25" s="4">
        <v>2019</v>
      </c>
      <c r="V25" s="4" t="s">
        <v>29</v>
      </c>
      <c r="W25" s="12">
        <v>15859.005000000001</v>
      </c>
    </row>
    <row r="26" spans="1:23" x14ac:dyDescent="0.2">
      <c r="A26" s="13">
        <v>2019</v>
      </c>
      <c r="B26" s="13" t="s">
        <v>30</v>
      </c>
      <c r="C26" s="12">
        <v>16244423.196999999</v>
      </c>
      <c r="E26" s="4">
        <v>2019</v>
      </c>
      <c r="F26" s="4" t="s">
        <v>30</v>
      </c>
      <c r="G26" s="12">
        <v>127890.11600000001</v>
      </c>
      <c r="I26" s="4">
        <v>2019</v>
      </c>
      <c r="J26" s="4" t="s">
        <v>30</v>
      </c>
      <c r="K26" s="12">
        <v>7844738.0829999996</v>
      </c>
      <c r="M26" s="4">
        <v>2019</v>
      </c>
      <c r="N26" s="4" t="s">
        <v>30</v>
      </c>
      <c r="O26" s="12">
        <v>346564.788</v>
      </c>
      <c r="Q26" s="4">
        <v>2019</v>
      </c>
      <c r="R26" s="4" t="s">
        <v>30</v>
      </c>
      <c r="S26" s="12">
        <v>953593.05099999998</v>
      </c>
      <c r="U26" s="4">
        <v>2019</v>
      </c>
      <c r="V26" s="4" t="s">
        <v>30</v>
      </c>
      <c r="W26" s="12">
        <v>791047.17099999986</v>
      </c>
    </row>
    <row r="28" spans="1:23" s="8" customFormat="1" x14ac:dyDescent="0.2">
      <c r="A28" s="6" t="s">
        <v>32</v>
      </c>
      <c r="B28" s="6" t="s">
        <v>2</v>
      </c>
      <c r="C28" s="11" t="s">
        <v>36</v>
      </c>
      <c r="E28" s="6" t="s">
        <v>32</v>
      </c>
      <c r="F28" s="6" t="s">
        <v>2</v>
      </c>
      <c r="G28" s="11" t="s">
        <v>36</v>
      </c>
      <c r="H28" s="10"/>
      <c r="I28" s="6" t="s">
        <v>32</v>
      </c>
      <c r="J28" s="6" t="s">
        <v>2</v>
      </c>
      <c r="K28" s="11" t="s">
        <v>36</v>
      </c>
      <c r="L28" s="10"/>
      <c r="M28" s="6" t="s">
        <v>32</v>
      </c>
      <c r="N28" s="6" t="s">
        <v>2</v>
      </c>
      <c r="O28" s="11" t="s">
        <v>36</v>
      </c>
      <c r="P28" s="10"/>
      <c r="Q28" s="6" t="s">
        <v>32</v>
      </c>
      <c r="R28" s="6" t="s">
        <v>2</v>
      </c>
      <c r="S28" s="11" t="s">
        <v>36</v>
      </c>
      <c r="T28" s="10"/>
      <c r="U28" s="6" t="s">
        <v>32</v>
      </c>
      <c r="V28" s="6" t="s">
        <v>2</v>
      </c>
      <c r="W28" s="11" t="s">
        <v>36</v>
      </c>
    </row>
    <row r="29" spans="1:23" x14ac:dyDescent="0.2">
      <c r="A29" s="4" t="s">
        <v>33</v>
      </c>
      <c r="B29" s="4" t="s">
        <v>4</v>
      </c>
      <c r="C29" s="12">
        <f>C9-C3</f>
        <v>94843969</v>
      </c>
      <c r="E29" s="4" t="s">
        <v>33</v>
      </c>
      <c r="F29" s="4" t="s">
        <v>4</v>
      </c>
      <c r="G29" s="12">
        <f>G9-G3</f>
        <v>754415</v>
      </c>
      <c r="I29" s="4" t="s">
        <v>33</v>
      </c>
      <c r="J29" s="4" t="s">
        <v>4</v>
      </c>
      <c r="K29" s="12">
        <f>K9-K3</f>
        <v>227713596</v>
      </c>
      <c r="M29" s="4" t="s">
        <v>33</v>
      </c>
      <c r="N29" s="4" t="s">
        <v>4</v>
      </c>
      <c r="O29" s="12">
        <f>O9-O3</f>
        <v>13328158</v>
      </c>
      <c r="Q29" s="4" t="s">
        <v>33</v>
      </c>
      <c r="R29" s="4" t="s">
        <v>4</v>
      </c>
      <c r="S29" s="12">
        <f>S9-S3</f>
        <v>14972654.137999993</v>
      </c>
      <c r="U29" s="4" t="s">
        <v>33</v>
      </c>
      <c r="V29" s="4" t="s">
        <v>4</v>
      </c>
      <c r="W29" s="12">
        <f>W9-W3</f>
        <v>9039494</v>
      </c>
    </row>
    <row r="30" spans="1:23" x14ac:dyDescent="0.2">
      <c r="A30" s="4" t="s">
        <v>33</v>
      </c>
      <c r="B30" s="4" t="s">
        <v>26</v>
      </c>
      <c r="C30" s="12">
        <f t="shared" ref="C30:C34" si="0">C10-C4</f>
        <v>38400805692</v>
      </c>
      <c r="E30" s="4" t="s">
        <v>33</v>
      </c>
      <c r="F30" s="4" t="s">
        <v>26</v>
      </c>
      <c r="G30" s="12">
        <f t="shared" ref="G30:G34" si="1">G10-G4</f>
        <v>2306713988</v>
      </c>
      <c r="I30" s="4" t="s">
        <v>33</v>
      </c>
      <c r="J30" s="4" t="s">
        <v>26</v>
      </c>
      <c r="K30" s="12">
        <f t="shared" ref="K30:K34" si="2">K10-K4</f>
        <v>137476733432</v>
      </c>
      <c r="M30" s="4" t="s">
        <v>33</v>
      </c>
      <c r="N30" s="4" t="s">
        <v>26</v>
      </c>
      <c r="O30" s="12">
        <f t="shared" ref="O30:O34" si="3">O10-O4</f>
        <v>7318816835</v>
      </c>
      <c r="Q30" s="4" t="s">
        <v>33</v>
      </c>
      <c r="R30" s="4" t="s">
        <v>26</v>
      </c>
      <c r="S30" s="12">
        <f t="shared" ref="S30:S34" si="4">S10-S4</f>
        <v>5090165079.3119993</v>
      </c>
      <c r="U30" s="4" t="s">
        <v>33</v>
      </c>
      <c r="V30" s="4" t="s">
        <v>26</v>
      </c>
      <c r="W30" s="12">
        <f t="shared" ref="W30:W34" si="5">W10-W4</f>
        <v>6073689631</v>
      </c>
    </row>
    <row r="31" spans="1:23" x14ac:dyDescent="0.2">
      <c r="A31" s="4" t="s">
        <v>33</v>
      </c>
      <c r="B31" s="4" t="s">
        <v>27</v>
      </c>
      <c r="C31" s="12">
        <f t="shared" si="0"/>
        <v>0</v>
      </c>
      <c r="E31" s="4" t="s">
        <v>33</v>
      </c>
      <c r="F31" s="4" t="s">
        <v>27</v>
      </c>
      <c r="G31" s="12">
        <f t="shared" si="1"/>
        <v>0</v>
      </c>
      <c r="I31" s="4" t="s">
        <v>33</v>
      </c>
      <c r="J31" s="4" t="s">
        <v>27</v>
      </c>
      <c r="K31" s="12">
        <f t="shared" si="2"/>
        <v>0</v>
      </c>
      <c r="M31" s="4" t="s">
        <v>33</v>
      </c>
      <c r="N31" s="4" t="s">
        <v>27</v>
      </c>
      <c r="O31" s="12">
        <f t="shared" si="3"/>
        <v>0</v>
      </c>
      <c r="Q31" s="4" t="s">
        <v>33</v>
      </c>
      <c r="R31" s="4" t="s">
        <v>27</v>
      </c>
      <c r="S31" s="12">
        <f t="shared" si="4"/>
        <v>0</v>
      </c>
      <c r="U31" s="4" t="s">
        <v>33</v>
      </c>
      <c r="V31" s="4" t="s">
        <v>27</v>
      </c>
      <c r="W31" s="12">
        <f t="shared" si="5"/>
        <v>0</v>
      </c>
    </row>
    <row r="32" spans="1:23" x14ac:dyDescent="0.2">
      <c r="A32" s="4" t="s">
        <v>33</v>
      </c>
      <c r="B32" s="4" t="s">
        <v>28</v>
      </c>
      <c r="C32" s="12">
        <f t="shared" si="0"/>
        <v>0</v>
      </c>
      <c r="E32" s="4" t="s">
        <v>33</v>
      </c>
      <c r="F32" s="4" t="s">
        <v>28</v>
      </c>
      <c r="G32" s="12">
        <f t="shared" si="1"/>
        <v>0</v>
      </c>
      <c r="I32" s="4" t="s">
        <v>33</v>
      </c>
      <c r="J32" s="4" t="s">
        <v>28</v>
      </c>
      <c r="K32" s="12">
        <f t="shared" si="2"/>
        <v>0</v>
      </c>
      <c r="M32" s="4" t="s">
        <v>33</v>
      </c>
      <c r="N32" s="4" t="s">
        <v>28</v>
      </c>
      <c r="O32" s="12">
        <f t="shared" si="3"/>
        <v>0</v>
      </c>
      <c r="Q32" s="4" t="s">
        <v>33</v>
      </c>
      <c r="R32" s="4" t="s">
        <v>28</v>
      </c>
      <c r="S32" s="12">
        <f t="shared" si="4"/>
        <v>0</v>
      </c>
      <c r="U32" s="4" t="s">
        <v>33</v>
      </c>
      <c r="V32" s="4" t="s">
        <v>28</v>
      </c>
      <c r="W32" s="12">
        <f t="shared" si="5"/>
        <v>0</v>
      </c>
    </row>
    <row r="33" spans="1:23" x14ac:dyDescent="0.2">
      <c r="A33" s="4" t="s">
        <v>33</v>
      </c>
      <c r="B33" s="4" t="s">
        <v>29</v>
      </c>
      <c r="C33" s="12">
        <f t="shared" si="0"/>
        <v>4298</v>
      </c>
      <c r="E33" s="4" t="s">
        <v>33</v>
      </c>
      <c r="F33" s="4" t="s">
        <v>29</v>
      </c>
      <c r="G33" s="12">
        <f t="shared" si="1"/>
        <v>2351</v>
      </c>
      <c r="I33" s="4" t="s">
        <v>33</v>
      </c>
      <c r="J33" s="4" t="s">
        <v>29</v>
      </c>
      <c r="K33" s="12">
        <f t="shared" si="2"/>
        <v>362563</v>
      </c>
      <c r="M33" s="4" t="s">
        <v>33</v>
      </c>
      <c r="N33" s="4" t="s">
        <v>29</v>
      </c>
      <c r="O33" s="12">
        <f t="shared" si="3"/>
        <v>-2333</v>
      </c>
      <c r="Q33" s="4" t="s">
        <v>33</v>
      </c>
      <c r="R33" s="4" t="s">
        <v>29</v>
      </c>
      <c r="S33" s="12">
        <f t="shared" si="4"/>
        <v>119105.481</v>
      </c>
      <c r="U33" s="4" t="s">
        <v>33</v>
      </c>
      <c r="V33" s="4" t="s">
        <v>29</v>
      </c>
      <c r="W33" s="12">
        <f t="shared" si="5"/>
        <v>90</v>
      </c>
    </row>
    <row r="34" spans="1:23" x14ac:dyDescent="0.2">
      <c r="A34" s="4" t="s">
        <v>33</v>
      </c>
      <c r="B34" s="4" t="s">
        <v>30</v>
      </c>
      <c r="C34" s="12">
        <f t="shared" si="0"/>
        <v>-340145</v>
      </c>
      <c r="E34" s="4" t="s">
        <v>33</v>
      </c>
      <c r="F34" s="4" t="s">
        <v>30</v>
      </c>
      <c r="G34" s="12">
        <f t="shared" si="1"/>
        <v>58959</v>
      </c>
      <c r="I34" s="4" t="s">
        <v>33</v>
      </c>
      <c r="J34" s="4" t="s">
        <v>30</v>
      </c>
      <c r="K34" s="12">
        <f t="shared" si="2"/>
        <v>-12463861</v>
      </c>
      <c r="M34" s="4" t="s">
        <v>33</v>
      </c>
      <c r="N34" s="4" t="s">
        <v>30</v>
      </c>
      <c r="O34" s="12">
        <f t="shared" si="3"/>
        <v>1795471</v>
      </c>
      <c r="Q34" s="4" t="s">
        <v>33</v>
      </c>
      <c r="R34" s="4" t="s">
        <v>30</v>
      </c>
      <c r="S34" s="12">
        <f t="shared" si="4"/>
        <v>417087.29500000004</v>
      </c>
      <c r="U34" s="4" t="s">
        <v>33</v>
      </c>
      <c r="V34" s="4" t="s">
        <v>30</v>
      </c>
      <c r="W34" s="12">
        <f t="shared" si="5"/>
        <v>1203812</v>
      </c>
    </row>
    <row r="35" spans="1:23" x14ac:dyDescent="0.2">
      <c r="A35" s="4" t="s">
        <v>34</v>
      </c>
      <c r="B35" s="4" t="s">
        <v>4</v>
      </c>
      <c r="C35" s="12">
        <f>C21-C15</f>
        <v>33751430.112999976</v>
      </c>
      <c r="E35" s="4" t="s">
        <v>34</v>
      </c>
      <c r="F35" s="4" t="s">
        <v>4</v>
      </c>
      <c r="G35" s="12">
        <f>G21-G15</f>
        <v>116933.34099999908</v>
      </c>
      <c r="I35" s="4" t="s">
        <v>34</v>
      </c>
      <c r="J35" s="4" t="s">
        <v>4</v>
      </c>
      <c r="K35" s="12">
        <f>K21-K15</f>
        <v>-265434564.03100014</v>
      </c>
      <c r="M35" s="4" t="s">
        <v>34</v>
      </c>
      <c r="N35" s="4" t="s">
        <v>4</v>
      </c>
      <c r="O35" s="12">
        <f>O21-O15</f>
        <v>4261096.2950000018</v>
      </c>
      <c r="Q35" s="4" t="s">
        <v>34</v>
      </c>
      <c r="R35" s="4" t="s">
        <v>4</v>
      </c>
      <c r="S35" s="12">
        <f>S21-S15</f>
        <v>13832956.041999996</v>
      </c>
      <c r="U35" s="4" t="s">
        <v>34</v>
      </c>
      <c r="V35" s="4" t="s">
        <v>4</v>
      </c>
      <c r="W35" s="12">
        <f>W21-W15</f>
        <v>5051225.7269999981</v>
      </c>
    </row>
    <row r="36" spans="1:23" x14ac:dyDescent="0.2">
      <c r="A36" s="4" t="s">
        <v>34</v>
      </c>
      <c r="B36" s="4" t="s">
        <v>26</v>
      </c>
      <c r="C36" s="12">
        <f t="shared" ref="C36:C40" si="6">C22-C16</f>
        <v>11313181153.047981</v>
      </c>
      <c r="E36" s="4" t="s">
        <v>34</v>
      </c>
      <c r="F36" s="4" t="s">
        <v>26</v>
      </c>
      <c r="G36" s="12">
        <f t="shared" ref="G36:G40" si="7">G22-G16</f>
        <v>-423857687.3419981</v>
      </c>
      <c r="I36" s="4" t="s">
        <v>34</v>
      </c>
      <c r="J36" s="4" t="s">
        <v>26</v>
      </c>
      <c r="K36" s="12">
        <f t="shared" ref="K36:K40" si="8">K22-K16</f>
        <v>-18174445741.212952</v>
      </c>
      <c r="M36" s="4" t="s">
        <v>34</v>
      </c>
      <c r="N36" s="4" t="s">
        <v>26</v>
      </c>
      <c r="O36" s="12">
        <f t="shared" ref="O36:O40" si="9">O22-O16</f>
        <v>668957665.3200016</v>
      </c>
      <c r="Q36" s="4" t="s">
        <v>34</v>
      </c>
      <c r="R36" s="4" t="s">
        <v>26</v>
      </c>
      <c r="S36" s="12">
        <f t="shared" ref="S36:S40" si="10">S22-S16</f>
        <v>2238338857.6920004</v>
      </c>
      <c r="U36" s="4" t="s">
        <v>34</v>
      </c>
      <c r="V36" s="4" t="s">
        <v>26</v>
      </c>
      <c r="W36" s="12">
        <f t="shared" ref="W36:W40" si="11">W22-W16</f>
        <v>1607121021.3240023</v>
      </c>
    </row>
    <row r="37" spans="1:23" x14ac:dyDescent="0.2">
      <c r="A37" s="4" t="s">
        <v>34</v>
      </c>
      <c r="B37" s="4" t="s">
        <v>27</v>
      </c>
      <c r="C37" s="12">
        <f t="shared" si="6"/>
        <v>0</v>
      </c>
      <c r="E37" s="4" t="s">
        <v>34</v>
      </c>
      <c r="F37" s="4" t="s">
        <v>27</v>
      </c>
      <c r="G37" s="12">
        <f t="shared" si="7"/>
        <v>0</v>
      </c>
      <c r="I37" s="4" t="s">
        <v>34</v>
      </c>
      <c r="J37" s="4" t="s">
        <v>27</v>
      </c>
      <c r="K37" s="12">
        <f t="shared" si="8"/>
        <v>0</v>
      </c>
      <c r="M37" s="4" t="s">
        <v>34</v>
      </c>
      <c r="N37" s="4" t="s">
        <v>27</v>
      </c>
      <c r="O37" s="12">
        <f t="shared" si="9"/>
        <v>0</v>
      </c>
      <c r="Q37" s="4" t="s">
        <v>34</v>
      </c>
      <c r="R37" s="4" t="s">
        <v>27</v>
      </c>
      <c r="S37" s="12">
        <f t="shared" si="10"/>
        <v>0</v>
      </c>
      <c r="U37" s="4" t="s">
        <v>34</v>
      </c>
      <c r="V37" s="4" t="s">
        <v>27</v>
      </c>
      <c r="W37" s="12">
        <f t="shared" si="11"/>
        <v>0</v>
      </c>
    </row>
    <row r="38" spans="1:23" x14ac:dyDescent="0.2">
      <c r="A38" s="4" t="s">
        <v>34</v>
      </c>
      <c r="B38" s="4" t="s">
        <v>28</v>
      </c>
      <c r="C38" s="12">
        <f t="shared" si="6"/>
        <v>0</v>
      </c>
      <c r="E38" s="4" t="s">
        <v>34</v>
      </c>
      <c r="F38" s="4" t="s">
        <v>28</v>
      </c>
      <c r="G38" s="12">
        <f t="shared" si="7"/>
        <v>0</v>
      </c>
      <c r="I38" s="4" t="s">
        <v>34</v>
      </c>
      <c r="J38" s="4" t="s">
        <v>28</v>
      </c>
      <c r="K38" s="12">
        <f t="shared" si="8"/>
        <v>0</v>
      </c>
      <c r="M38" s="4" t="s">
        <v>34</v>
      </c>
      <c r="N38" s="4" t="s">
        <v>28</v>
      </c>
      <c r="O38" s="12">
        <f t="shared" si="9"/>
        <v>0</v>
      </c>
      <c r="Q38" s="4" t="s">
        <v>34</v>
      </c>
      <c r="R38" s="4" t="s">
        <v>28</v>
      </c>
      <c r="S38" s="12">
        <f t="shared" si="10"/>
        <v>0</v>
      </c>
      <c r="U38" s="4" t="s">
        <v>34</v>
      </c>
      <c r="V38" s="4" t="s">
        <v>28</v>
      </c>
      <c r="W38" s="12">
        <f t="shared" si="11"/>
        <v>0</v>
      </c>
    </row>
    <row r="39" spans="1:23" x14ac:dyDescent="0.2">
      <c r="A39" s="4" t="s">
        <v>34</v>
      </c>
      <c r="B39" s="4" t="s">
        <v>29</v>
      </c>
      <c r="C39" s="12">
        <f t="shared" si="6"/>
        <v>-16866.494999999999</v>
      </c>
      <c r="E39" s="4" t="s">
        <v>34</v>
      </c>
      <c r="F39" s="4" t="s">
        <v>29</v>
      </c>
      <c r="G39" s="12">
        <f t="shared" si="7"/>
        <v>5974.4489999999996</v>
      </c>
      <c r="I39" s="4" t="s">
        <v>34</v>
      </c>
      <c r="J39" s="4" t="s">
        <v>29</v>
      </c>
      <c r="K39" s="12">
        <f t="shared" si="8"/>
        <v>353490.36600000004</v>
      </c>
      <c r="M39" s="4" t="s">
        <v>34</v>
      </c>
      <c r="N39" s="4" t="s">
        <v>29</v>
      </c>
      <c r="O39" s="12">
        <f t="shared" si="9"/>
        <v>-33543.559000000001</v>
      </c>
      <c r="Q39" s="4" t="s">
        <v>34</v>
      </c>
      <c r="R39" s="4" t="s">
        <v>29</v>
      </c>
      <c r="S39" s="12">
        <f t="shared" si="10"/>
        <v>-81522.771000000008</v>
      </c>
      <c r="U39" s="4" t="s">
        <v>34</v>
      </c>
      <c r="V39" s="4" t="s">
        <v>29</v>
      </c>
      <c r="W39" s="12">
        <f t="shared" si="11"/>
        <v>1830.9640000000018</v>
      </c>
    </row>
    <row r="40" spans="1:23" x14ac:dyDescent="0.2">
      <c r="A40" s="4" t="s">
        <v>34</v>
      </c>
      <c r="B40" s="4" t="s">
        <v>30</v>
      </c>
      <c r="C40" s="12">
        <f t="shared" si="6"/>
        <v>10823487.196999999</v>
      </c>
      <c r="E40" s="4" t="s">
        <v>34</v>
      </c>
      <c r="F40" s="4" t="s">
        <v>30</v>
      </c>
      <c r="G40" s="12">
        <f t="shared" si="7"/>
        <v>-49944.883999999991</v>
      </c>
      <c r="I40" s="4" t="s">
        <v>34</v>
      </c>
      <c r="J40" s="4" t="s">
        <v>30</v>
      </c>
      <c r="K40" s="12">
        <f t="shared" si="8"/>
        <v>3868789.0829999996</v>
      </c>
      <c r="M40" s="4" t="s">
        <v>34</v>
      </c>
      <c r="N40" s="4" t="s">
        <v>30</v>
      </c>
      <c r="O40" s="12">
        <f t="shared" si="9"/>
        <v>-830318.21200000006</v>
      </c>
      <c r="Q40" s="4" t="s">
        <v>34</v>
      </c>
      <c r="R40" s="4" t="s">
        <v>30</v>
      </c>
      <c r="S40" s="12">
        <f t="shared" si="10"/>
        <v>-413354.348</v>
      </c>
      <c r="U40" s="4" t="s">
        <v>34</v>
      </c>
      <c r="V40" s="4" t="s">
        <v>30</v>
      </c>
      <c r="W40" s="12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C1E3-CA1A-0A4A-B9CD-C52F192DD928}">
  <dimension ref="A1:C40"/>
  <sheetViews>
    <sheetView workbookViewId="0">
      <selection activeCell="G14" sqref="G14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6" t="s">
        <v>32</v>
      </c>
      <c r="B1" s="6" t="s">
        <v>2</v>
      </c>
      <c r="C1" s="11" t="s">
        <v>47</v>
      </c>
    </row>
    <row r="2" spans="1:3" x14ac:dyDescent="0.2">
      <c r="A2" s="4" t="s">
        <v>33</v>
      </c>
      <c r="B2" s="4" t="s">
        <v>4</v>
      </c>
      <c r="C2" s="12">
        <v>360652286.13800001</v>
      </c>
    </row>
    <row r="3" spans="1:3" x14ac:dyDescent="0.2">
      <c r="A3" s="4" t="s">
        <v>33</v>
      </c>
      <c r="B3" s="4" t="s">
        <v>26</v>
      </c>
      <c r="C3" s="12">
        <v>196666924657.31201</v>
      </c>
    </row>
    <row r="4" spans="1:3" x14ac:dyDescent="0.2">
      <c r="A4" s="4" t="s">
        <v>33</v>
      </c>
      <c r="B4" s="4" t="s">
        <v>27</v>
      </c>
      <c r="C4" s="12">
        <v>0</v>
      </c>
    </row>
    <row r="5" spans="1:3" x14ac:dyDescent="0.2">
      <c r="A5" s="4" t="s">
        <v>33</v>
      </c>
      <c r="B5" s="4" t="s">
        <v>28</v>
      </c>
      <c r="C5" s="12">
        <v>0</v>
      </c>
    </row>
    <row r="6" spans="1:3" x14ac:dyDescent="0.2">
      <c r="A6" s="4" t="s">
        <v>33</v>
      </c>
      <c r="B6" s="4" t="s">
        <v>29</v>
      </c>
      <c r="C6" s="12">
        <v>486074.48100000003</v>
      </c>
    </row>
    <row r="7" spans="1:3" x14ac:dyDescent="0.2">
      <c r="A7" s="4" t="s">
        <v>33</v>
      </c>
      <c r="B7" s="4" t="s">
        <v>30</v>
      </c>
      <c r="C7" s="12">
        <v>-9328676.7050000001</v>
      </c>
    </row>
    <row r="8" spans="1:3" x14ac:dyDescent="0.2">
      <c r="A8" s="4" t="s">
        <v>34</v>
      </c>
      <c r="B8" s="4" t="s">
        <v>4</v>
      </c>
      <c r="C8" s="12">
        <v>-208420922.51300019</v>
      </c>
    </row>
    <row r="9" spans="1:3" x14ac:dyDescent="0.2">
      <c r="A9" s="4" t="s">
        <v>34</v>
      </c>
      <c r="B9" s="4" t="s">
        <v>26</v>
      </c>
      <c r="C9" s="12">
        <v>-2770704731.1709652</v>
      </c>
    </row>
    <row r="10" spans="1:3" x14ac:dyDescent="0.2">
      <c r="A10" s="4" t="s">
        <v>34</v>
      </c>
      <c r="B10" s="4" t="s">
        <v>27</v>
      </c>
      <c r="C10" s="12">
        <v>0</v>
      </c>
    </row>
    <row r="11" spans="1:3" x14ac:dyDescent="0.2">
      <c r="A11" s="4" t="s">
        <v>34</v>
      </c>
      <c r="B11" s="4" t="s">
        <v>28</v>
      </c>
      <c r="C11" s="12">
        <v>0</v>
      </c>
    </row>
    <row r="12" spans="1:3" x14ac:dyDescent="0.2">
      <c r="A12" s="4" t="s">
        <v>34</v>
      </c>
      <c r="B12" s="4" t="s">
        <v>29</v>
      </c>
      <c r="C12" s="12">
        <v>229362.95400000006</v>
      </c>
    </row>
    <row r="13" spans="1:3" x14ac:dyDescent="0.2">
      <c r="A13" s="4" t="s">
        <v>34</v>
      </c>
      <c r="B13" s="4" t="s">
        <v>30</v>
      </c>
      <c r="C13" s="12"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6B28-82C2-304A-8718-96C4471C0B63}">
  <dimension ref="A1:E13"/>
  <sheetViews>
    <sheetView tabSelected="1" workbookViewId="0">
      <selection activeCell="J26" sqref="J26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8" customFormat="1" x14ac:dyDescent="0.2">
      <c r="A1" s="6" t="s">
        <v>32</v>
      </c>
      <c r="B1" s="9" t="s">
        <v>2</v>
      </c>
      <c r="C1" s="6" t="s">
        <v>35</v>
      </c>
      <c r="D1" s="9" t="s">
        <v>47</v>
      </c>
      <c r="E1" s="9" t="s">
        <v>48</v>
      </c>
    </row>
    <row r="2" spans="1:5" x14ac:dyDescent="0.2">
      <c r="A2" s="4" t="s">
        <v>33</v>
      </c>
      <c r="B2" s="4" t="s">
        <v>4</v>
      </c>
      <c r="C2" s="7">
        <f>L_i!C2</f>
        <v>1053.8999999999999</v>
      </c>
      <c r="D2" s="12">
        <f>delta_M_OC!C2</f>
        <v>360652286.13800001</v>
      </c>
      <c r="E2" s="12">
        <f>D2/C2</f>
        <v>342207.31202011579</v>
      </c>
    </row>
    <row r="3" spans="1:5" x14ac:dyDescent="0.2">
      <c r="A3" s="4" t="s">
        <v>33</v>
      </c>
      <c r="B3" s="4" t="s">
        <v>26</v>
      </c>
      <c r="C3" s="7">
        <f>L_i!C3</f>
        <v>5066.0000000000009</v>
      </c>
      <c r="D3" s="12">
        <f>delta_M_OC!C3</f>
        <v>196666924657.31201</v>
      </c>
      <c r="E3" s="12">
        <f t="shared" ref="E3:E13" si="0">D3/C3</f>
        <v>38820948.41241847</v>
      </c>
    </row>
    <row r="4" spans="1:5" x14ac:dyDescent="0.2">
      <c r="A4" s="4" t="s">
        <v>33</v>
      </c>
      <c r="B4" s="4" t="s">
        <v>27</v>
      </c>
      <c r="C4" s="7">
        <f>L_i!C4</f>
        <v>1550.3999999999999</v>
      </c>
      <c r="D4" s="12">
        <f>delta_M_OC!C4</f>
        <v>0</v>
      </c>
      <c r="E4" s="12">
        <f t="shared" si="0"/>
        <v>0</v>
      </c>
    </row>
    <row r="5" spans="1:5" x14ac:dyDescent="0.2">
      <c r="A5" s="4" t="s">
        <v>33</v>
      </c>
      <c r="B5" s="4" t="s">
        <v>28</v>
      </c>
      <c r="C5" s="7">
        <f>L_i!C5</f>
        <v>5016.1000000000004</v>
      </c>
      <c r="D5" s="12">
        <f>delta_M_OC!C5</f>
        <v>0</v>
      </c>
      <c r="E5" s="12">
        <f t="shared" si="0"/>
        <v>0</v>
      </c>
    </row>
    <row r="6" spans="1:5" x14ac:dyDescent="0.2">
      <c r="A6" s="4" t="s">
        <v>33</v>
      </c>
      <c r="B6" s="4" t="s">
        <v>29</v>
      </c>
      <c r="C6" s="7">
        <f>L_i!C6</f>
        <v>1996.6</v>
      </c>
      <c r="D6" s="12">
        <f>delta_M_OC!C6</f>
        <v>486074.48100000003</v>
      </c>
      <c r="E6" s="12">
        <f t="shared" si="0"/>
        <v>243.45110738255036</v>
      </c>
    </row>
    <row r="7" spans="1:5" x14ac:dyDescent="0.2">
      <c r="A7" s="4" t="s">
        <v>33</v>
      </c>
      <c r="B7" s="4" t="s">
        <v>30</v>
      </c>
      <c r="C7" s="7">
        <f>L_i!C7</f>
        <v>5608.4000000000005</v>
      </c>
      <c r="D7" s="12">
        <f>delta_M_OC!C7</f>
        <v>-9328676.7050000001</v>
      </c>
      <c r="E7" s="12">
        <f t="shared" si="0"/>
        <v>-1663.3401157192782</v>
      </c>
    </row>
    <row r="8" spans="1:5" x14ac:dyDescent="0.2">
      <c r="A8" s="4" t="s">
        <v>34</v>
      </c>
      <c r="B8" s="4" t="s">
        <v>4</v>
      </c>
      <c r="C8" s="7">
        <f>L_i!C16</f>
        <v>1673.5000000000005</v>
      </c>
      <c r="D8" s="12">
        <f>delta_M_OC!C8</f>
        <v>-208420922.51300019</v>
      </c>
      <c r="E8" s="12">
        <f t="shared" si="0"/>
        <v>-124541.93158828811</v>
      </c>
    </row>
    <row r="9" spans="1:5" x14ac:dyDescent="0.2">
      <c r="A9" s="4" t="s">
        <v>34</v>
      </c>
      <c r="B9" s="4" t="s">
        <v>26</v>
      </c>
      <c r="C9" s="7">
        <f>L_i!C17</f>
        <v>6057.5</v>
      </c>
      <c r="D9" s="12">
        <f>delta_M_OC!C9</f>
        <v>-2770704731.1709652</v>
      </c>
      <c r="E9" s="12">
        <f t="shared" si="0"/>
        <v>-457400.6985011911</v>
      </c>
    </row>
    <row r="10" spans="1:5" x14ac:dyDescent="0.2">
      <c r="A10" s="4" t="s">
        <v>34</v>
      </c>
      <c r="B10" s="4" t="s">
        <v>27</v>
      </c>
      <c r="C10" s="7">
        <f>L_i!C18</f>
        <v>2907.1000000000004</v>
      </c>
      <c r="D10" s="12">
        <f>delta_M_OC!C10</f>
        <v>0</v>
      </c>
      <c r="E10" s="12">
        <f t="shared" si="0"/>
        <v>0</v>
      </c>
    </row>
    <row r="11" spans="1:5" x14ac:dyDescent="0.2">
      <c r="A11" s="4" t="s">
        <v>34</v>
      </c>
      <c r="B11" s="4" t="s">
        <v>28</v>
      </c>
      <c r="C11" s="7">
        <f>L_i!C19</f>
        <v>6250.800000000002</v>
      </c>
      <c r="D11" s="12">
        <f>delta_M_OC!C11</f>
        <v>0</v>
      </c>
      <c r="E11" s="12">
        <f t="shared" si="0"/>
        <v>0</v>
      </c>
    </row>
    <row r="12" spans="1:5" x14ac:dyDescent="0.2">
      <c r="A12" s="4" t="s">
        <v>34</v>
      </c>
      <c r="B12" s="4" t="s">
        <v>29</v>
      </c>
      <c r="C12" s="7">
        <f>L_i!C20</f>
        <v>832.00000000000023</v>
      </c>
      <c r="D12" s="12">
        <f>delta_M_OC!C12</f>
        <v>229362.95400000006</v>
      </c>
      <c r="E12" s="12">
        <f t="shared" si="0"/>
        <v>275.67662740384617</v>
      </c>
    </row>
    <row r="13" spans="1:5" x14ac:dyDescent="0.2">
      <c r="A13" s="4" t="s">
        <v>34</v>
      </c>
      <c r="B13" s="4" t="s">
        <v>30</v>
      </c>
      <c r="C13" s="7">
        <f>L_i!C21</f>
        <v>4586.4000000000005</v>
      </c>
      <c r="D13" s="12">
        <f>delta_M_OC!C13</f>
        <v>12775679.470999999</v>
      </c>
      <c r="E13" s="12">
        <f t="shared" si="0"/>
        <v>2785.5571845020054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3610-163A-964C-95C2-68251291D8F8}">
  <dimension ref="A1:R23"/>
  <sheetViews>
    <sheetView workbookViewId="0">
      <selection activeCell="J27" sqref="J27"/>
    </sheetView>
  </sheetViews>
  <sheetFormatPr baseColWidth="10" defaultRowHeight="16" x14ac:dyDescent="0.2"/>
  <cols>
    <col min="1" max="1" width="32.16406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32.1640625" bestFit="1" customWidth="1"/>
    <col min="12" max="12" width="11" bestFit="1" customWidth="1"/>
    <col min="13" max="13" width="11.33203125" bestFit="1" customWidth="1"/>
    <col min="14" max="17" width="11" bestFit="1" customWidth="1"/>
    <col min="18" max="18" width="18.5" bestFit="1" customWidth="1"/>
  </cols>
  <sheetData>
    <row r="1" spans="1:18" x14ac:dyDescent="0.2">
      <c r="A1" s="5" t="s">
        <v>49</v>
      </c>
      <c r="B1" s="5"/>
      <c r="C1" s="5"/>
      <c r="D1" s="5"/>
      <c r="E1" s="5"/>
      <c r="F1" s="5"/>
      <c r="G1" s="5"/>
      <c r="H1" s="5"/>
      <c r="K1" s="5" t="s">
        <v>50</v>
      </c>
      <c r="L1" s="5"/>
      <c r="M1" s="5"/>
      <c r="N1" s="5"/>
      <c r="O1" s="5"/>
      <c r="P1" s="5"/>
      <c r="Q1" s="5"/>
      <c r="R1" s="5"/>
    </row>
    <row r="2" spans="1:18" x14ac:dyDescent="0.2">
      <c r="A2" s="6"/>
      <c r="B2" s="6" t="s">
        <v>4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53</v>
      </c>
      <c r="K2" s="9"/>
      <c r="L2" s="9" t="s">
        <v>4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9" t="s">
        <v>54</v>
      </c>
    </row>
    <row r="3" spans="1:18" x14ac:dyDescent="0.2">
      <c r="A3" s="6" t="s">
        <v>5</v>
      </c>
      <c r="B3" s="7">
        <f>s_ri!B3*shock_OC!$E$2</f>
        <v>17606.009744059626</v>
      </c>
      <c r="C3" s="7">
        <f>s_ri!C3*shock_OC!$E$3</f>
        <v>220769.56623376417</v>
      </c>
      <c r="D3" s="7">
        <f>s_ri!D3*shock_OC!$E$4</f>
        <v>0</v>
      </c>
      <c r="E3" s="7">
        <f>s_ri!E3*shock_OC!$E$5</f>
        <v>0</v>
      </c>
      <c r="F3" s="7">
        <f>s_ri!F3*shock_OC!$E$6</f>
        <v>35.953060286991168</v>
      </c>
      <c r="G3" s="7">
        <f>s_ri!G3*shock_OC!$E$7</f>
        <v>-584.69641885422641</v>
      </c>
      <c r="H3" s="7">
        <f>SUM(B3:G3)/1000</f>
        <v>237.82683261925655</v>
      </c>
      <c r="K3" s="9" t="s">
        <v>5</v>
      </c>
      <c r="L3" s="7">
        <f>s_ri!K3*shock_OC!$E$8</f>
        <v>-3434.4334967621153</v>
      </c>
      <c r="M3" s="7">
        <f>s_ri!L3*shock_OC!$E$9</f>
        <v>-116887.00804158492</v>
      </c>
      <c r="N3" s="7">
        <f>s_ri!M3*shock_OC!$E$10</f>
        <v>0</v>
      </c>
      <c r="O3" s="7">
        <f>s_ri!N3*shock_OC!$E$11</f>
        <v>0</v>
      </c>
      <c r="P3" s="7">
        <f>s_ri!O3*shock_OC!$E$12</f>
        <v>35.688549630208669</v>
      </c>
      <c r="Q3" s="7">
        <f>s_ri!P3*shock_OC!$E$13</f>
        <v>723.72858946960287</v>
      </c>
      <c r="R3" s="7">
        <f>SUM(L3:Q3)/1000</f>
        <v>-119.56202439924722</v>
      </c>
    </row>
    <row r="4" spans="1:18" x14ac:dyDescent="0.2">
      <c r="A4" s="6" t="s">
        <v>6</v>
      </c>
      <c r="B4" s="7">
        <f>s_ri!B4*shock_OC!$E$2</f>
        <v>6983.822694288071</v>
      </c>
      <c r="C4" s="7">
        <f>s_ri!C4*shock_OC!$E$3</f>
        <v>26173015.511287965</v>
      </c>
      <c r="D4" s="7">
        <f>s_ri!D4*shock_OC!$E$4</f>
        <v>0</v>
      </c>
      <c r="E4" s="7">
        <f>s_ri!E4*shock_OC!$E$5</f>
        <v>0</v>
      </c>
      <c r="F4" s="7">
        <f>s_ri!F4*shock_OC!$E$6</f>
        <v>6.9202574255972777</v>
      </c>
      <c r="G4" s="7">
        <f>s_ri!G4*shock_OC!$E$7</f>
        <v>-206.09899393023127</v>
      </c>
      <c r="H4" s="7">
        <f t="shared" ref="H4:H23" si="0">SUM(B4:G4)/1000</f>
        <v>26179.800155245746</v>
      </c>
      <c r="K4" s="9" t="s">
        <v>6</v>
      </c>
      <c r="L4" s="7">
        <f>s_ri!K4*shock_OC!$E$8</f>
        <v>-5019.9243058619004</v>
      </c>
      <c r="M4" s="7">
        <f>s_ri!L4*shock_OC!$E$9</f>
        <v>-50919.847433913783</v>
      </c>
      <c r="N4" s="7">
        <f>s_ri!M4*shock_OC!$E$10</f>
        <v>0</v>
      </c>
      <c r="O4" s="7">
        <f>s_ri!N4*shock_OC!$E$11</f>
        <v>0</v>
      </c>
      <c r="P4" s="7">
        <f>s_ri!O4*shock_OC!$E$12</f>
        <v>25.927360350841578</v>
      </c>
      <c r="Q4" s="7">
        <f>s_ri!P4*shock_OC!$E$13</f>
        <v>1015.8461901254913</v>
      </c>
      <c r="R4" s="7">
        <f t="shared" ref="R4:R23" si="1">SUM(L4:Q4)/1000</f>
        <v>-54.897998189299351</v>
      </c>
    </row>
    <row r="5" spans="1:18" x14ac:dyDescent="0.2">
      <c r="A5" s="6" t="s">
        <v>7</v>
      </c>
      <c r="B5" s="7">
        <f>s_ri!B5*shock_OC!$E$2</f>
        <v>3871.9158000911434</v>
      </c>
      <c r="C5" s="7">
        <f>s_ri!C5*shock_OC!$E$3</f>
        <v>27996640.303793263</v>
      </c>
      <c r="D5" s="7">
        <f>s_ri!D5*shock_OC!$E$4</f>
        <v>0</v>
      </c>
      <c r="E5" s="7">
        <f>s_ri!E5*shock_OC!$E$5</f>
        <v>0</v>
      </c>
      <c r="F5" s="7">
        <f>s_ri!F5*shock_OC!$E$6</f>
        <v>10.21531255676155</v>
      </c>
      <c r="G5" s="7">
        <f>s_ri!G5*shock_OC!$E$7</f>
        <v>-162.09716615549479</v>
      </c>
      <c r="H5" s="7">
        <f t="shared" si="0"/>
        <v>28000.360337739756</v>
      </c>
      <c r="K5" s="9" t="s">
        <v>7</v>
      </c>
      <c r="L5" s="7">
        <f>s_ri!K5*shock_OC!$E$8</f>
        <v>-2611.0288486063728</v>
      </c>
      <c r="M5" s="7">
        <f>s_ri!L5*shock_OC!$E$9</f>
        <v>-55177.288920692772</v>
      </c>
      <c r="N5" s="7">
        <f>s_ri!M5*shock_OC!$E$10</f>
        <v>0</v>
      </c>
      <c r="O5" s="7">
        <f>s_ri!N5*shock_OC!$E$11</f>
        <v>0</v>
      </c>
      <c r="P5" s="7">
        <f>s_ri!O5*shock_OC!$E$12</f>
        <v>38.163553078203002</v>
      </c>
      <c r="Q5" s="7">
        <f>s_ri!P5*shock_OC!$E$13</f>
        <v>886.18724405454805</v>
      </c>
      <c r="R5" s="7">
        <f t="shared" si="1"/>
        <v>-56.863966972166395</v>
      </c>
    </row>
    <row r="6" spans="1:18" x14ac:dyDescent="0.2">
      <c r="A6" s="6" t="s">
        <v>8</v>
      </c>
      <c r="B6" s="7">
        <f>s_ri!B6*shock_OC!$E$2</f>
        <v>9581.2818835273047</v>
      </c>
      <c r="C6" s="7">
        <f>s_ri!C6*shock_OC!$E$3</f>
        <v>1653374.9992301983</v>
      </c>
      <c r="D6" s="7">
        <f>s_ri!D6*shock_OC!$E$4</f>
        <v>0</v>
      </c>
      <c r="E6" s="7">
        <f>s_ri!E6*shock_OC!$E$5</f>
        <v>0</v>
      </c>
      <c r="F6" s="7">
        <f>s_ri!F6*shock_OC!$E$6</f>
        <v>45.212348513902214</v>
      </c>
      <c r="G6" s="7">
        <f>s_ri!G6*shock_OC!$E$7</f>
        <v>-494.55460125129338</v>
      </c>
      <c r="H6" s="7">
        <f t="shared" si="0"/>
        <v>1662.5069388609882</v>
      </c>
      <c r="K6" s="9" t="s">
        <v>8</v>
      </c>
      <c r="L6" s="7">
        <f>s_ri!K6*shock_OC!$E$8</f>
        <v>-1558.4037986313531</v>
      </c>
      <c r="M6" s="7">
        <f>s_ri!L6*shock_OC!$E$9</f>
        <v>-122620.84601833427</v>
      </c>
      <c r="N6" s="7">
        <f>s_ri!M6*shock_OC!$E$10</f>
        <v>0</v>
      </c>
      <c r="O6" s="7">
        <f>s_ri!N6*shock_OC!$E$11</f>
        <v>0</v>
      </c>
      <c r="P6" s="7">
        <f>s_ri!O6*shock_OC!$E$12</f>
        <v>41.320958076916064</v>
      </c>
      <c r="Q6" s="7">
        <f>s_ri!P6*shock_OC!$E$13</f>
        <v>635.06933400348817</v>
      </c>
      <c r="R6" s="7">
        <f t="shared" si="1"/>
        <v>-123.50285952488521</v>
      </c>
    </row>
    <row r="7" spans="1:18" x14ac:dyDescent="0.2">
      <c r="A7" s="6" t="s">
        <v>9</v>
      </c>
      <c r="B7" s="7">
        <f>s_ri!B7*shock_OC!$E$2</f>
        <v>26776.150081004911</v>
      </c>
      <c r="C7" s="7">
        <f>s_ri!C7*shock_OC!$E$3</f>
        <v>2220641.091759563</v>
      </c>
      <c r="D7" s="7">
        <f>s_ri!D7*shock_OC!$E$4</f>
        <v>0</v>
      </c>
      <c r="E7" s="7">
        <f>s_ri!E7*shock_OC!$E$5</f>
        <v>0</v>
      </c>
      <c r="F7" s="7">
        <f>s_ri!F7*shock_OC!$E$6</f>
        <v>25.109954169865894</v>
      </c>
      <c r="G7" s="7">
        <f>s_ri!G7*shock_OC!$E$7</f>
        <v>-599.96589236228863</v>
      </c>
      <c r="H7" s="7">
        <f t="shared" si="0"/>
        <v>2246.8423859023756</v>
      </c>
      <c r="K7" s="9" t="s">
        <v>9</v>
      </c>
      <c r="L7" s="7">
        <f>s_ri!K7*shock_OC!$E$8</f>
        <v>-3013.5196947959098</v>
      </c>
      <c r="M7" s="7">
        <f>s_ri!L7*shock_OC!$E$9</f>
        <v>-102677.99331950284</v>
      </c>
      <c r="N7" s="7">
        <f>s_ri!M7*shock_OC!$E$10</f>
        <v>0</v>
      </c>
      <c r="O7" s="7">
        <f>s_ri!N7*shock_OC!$E$11</f>
        <v>0</v>
      </c>
      <c r="P7" s="7">
        <f>s_ri!O7*shock_OC!$E$12</f>
        <v>30.661877834466015</v>
      </c>
      <c r="Q7" s="7">
        <f>s_ri!P7*shock_OC!$E$13</f>
        <v>761.80854273184161</v>
      </c>
      <c r="R7" s="7">
        <f t="shared" si="1"/>
        <v>-104.89904259373243</v>
      </c>
    </row>
    <row r="8" spans="1:18" x14ac:dyDescent="0.2">
      <c r="A8" s="6" t="s">
        <v>10</v>
      </c>
      <c r="B8" s="7">
        <f>s_ri!B8*shock_OC!$E$2</f>
        <v>13003.052266144328</v>
      </c>
      <c r="C8" s="7">
        <f>s_ri!C8*shock_OC!$E$3</f>
        <v>28963518.206370115</v>
      </c>
      <c r="D8" s="7">
        <f>s_ri!D8*shock_OC!$E$4</f>
        <v>0</v>
      </c>
      <c r="E8" s="7">
        <f>s_ri!E8*shock_OC!$E$5</f>
        <v>0</v>
      </c>
      <c r="F8" s="7">
        <f>s_ri!F8*shock_OC!$E$6</f>
        <v>5.4328654844115594</v>
      </c>
      <c r="G8" s="7">
        <f>s_ri!G8*shock_OC!$E$7</f>
        <v>-162.52177246473045</v>
      </c>
      <c r="H8" s="7">
        <f t="shared" si="0"/>
        <v>28976.364169729281</v>
      </c>
      <c r="K8" s="9" t="s">
        <v>10</v>
      </c>
      <c r="L8" s="7">
        <f>s_ri!K8*shock_OC!$E$8</f>
        <v>-8164.686317431805</v>
      </c>
      <c r="M8" s="7">
        <f>s_ri!L8*shock_OC!$E$9</f>
        <v>-83245.136909218752</v>
      </c>
      <c r="N8" s="7">
        <f>s_ri!M8*shock_OC!$E$10</f>
        <v>0</v>
      </c>
      <c r="O8" s="7">
        <f>s_ri!N8*shock_OC!$E$11</f>
        <v>0</v>
      </c>
      <c r="P8" s="7">
        <f>s_ri!O8*shock_OC!$E$12</f>
        <v>29.401910359118627</v>
      </c>
      <c r="Q8" s="7">
        <f>s_ri!P8*shock_OC!$E$13</f>
        <v>847.65976945217596</v>
      </c>
      <c r="R8" s="7">
        <f t="shared" si="1"/>
        <v>-90.532761546839268</v>
      </c>
    </row>
    <row r="9" spans="1:18" x14ac:dyDescent="0.2">
      <c r="A9" s="6" t="s">
        <v>11</v>
      </c>
      <c r="B9" s="7">
        <f>s_ri!B9*shock_OC!$E$2</f>
        <v>26286.650665713812</v>
      </c>
      <c r="C9" s="7">
        <f>s_ri!C9*shock_OC!$E$3</f>
        <v>5213358.5455820579</v>
      </c>
      <c r="D9" s="7">
        <f>s_ri!D9*shock_OC!$E$4</f>
        <v>0</v>
      </c>
      <c r="E9" s="7">
        <f>s_ri!E9*shock_OC!$E$5</f>
        <v>0</v>
      </c>
      <c r="F9" s="7">
        <f>s_ri!F9*shock_OC!$E$6</f>
        <v>18.961330812531859</v>
      </c>
      <c r="G9" s="7">
        <f>s_ri!G9*shock_OC!$E$7</f>
        <v>-613.137550852961</v>
      </c>
      <c r="H9" s="7">
        <f t="shared" si="0"/>
        <v>5239.0510200277304</v>
      </c>
      <c r="K9" s="9" t="s">
        <v>11</v>
      </c>
      <c r="L9" s="7">
        <f>s_ri!K9*shock_OC!$E$8</f>
        <v>-4868.710452381496</v>
      </c>
      <c r="M9" s="7">
        <f>s_ri!L9*shock_OC!$E$9</f>
        <v>-63927.99286621566</v>
      </c>
      <c r="N9" s="7">
        <f>s_ri!M9*shock_OC!$E$10</f>
        <v>0</v>
      </c>
      <c r="O9" s="7">
        <f>s_ri!N9*shock_OC!$E$11</f>
        <v>0</v>
      </c>
      <c r="P9" s="7">
        <f>s_ri!O9*shock_OC!$E$12</f>
        <v>35.553568235603024</v>
      </c>
      <c r="Q9" s="7">
        <f>s_ri!P9*shock_OC!$E$13</f>
        <v>886.28938588339122</v>
      </c>
      <c r="R9" s="7">
        <f t="shared" si="1"/>
        <v>-67.874860364478167</v>
      </c>
    </row>
    <row r="10" spans="1:18" x14ac:dyDescent="0.2">
      <c r="A10" s="6" t="s">
        <v>12</v>
      </c>
      <c r="B10" s="7">
        <f>s_ri!B10*shock_OC!$E$2</f>
        <v>46021.221440961905</v>
      </c>
      <c r="C10" s="7">
        <f>s_ri!C10*shock_OC!$E$3</f>
        <v>1343380.2769834073</v>
      </c>
      <c r="D10" s="7">
        <f>s_ri!D10*shock_OC!$E$4</f>
        <v>0</v>
      </c>
      <c r="E10" s="7">
        <f>s_ri!E10*shock_OC!$E$5</f>
        <v>0</v>
      </c>
      <c r="F10" s="7">
        <f>s_ri!F10*shock_OC!$E$6</f>
        <v>17.020946067000342</v>
      </c>
      <c r="G10" s="7">
        <f>s_ri!G10*shock_OC!$E$7</f>
        <v>-639.69456427783371</v>
      </c>
      <c r="H10" s="7">
        <f t="shared" si="0"/>
        <v>1388.7788248061584</v>
      </c>
      <c r="K10" s="9" t="s">
        <v>12</v>
      </c>
      <c r="L10" s="7">
        <f>s_ri!K10*shock_OC!$E$8</f>
        <v>-10838.624588143301</v>
      </c>
      <c r="M10" s="7">
        <f>s_ri!L10*shock_OC!$E$9</f>
        <v>-71952.359468660274</v>
      </c>
      <c r="N10" s="7">
        <f>s_ri!M10*shock_OC!$E$10</f>
        <v>0</v>
      </c>
      <c r="O10" s="7">
        <f>s_ri!N10*shock_OC!$E$11</f>
        <v>0</v>
      </c>
      <c r="P10" s="7">
        <f>s_ri!O10*shock_OC!$E$12</f>
        <v>32.43387578569061</v>
      </c>
      <c r="Q10" s="7">
        <f>s_ri!P10*shock_OC!$E$13</f>
        <v>800.21876753468928</v>
      </c>
      <c r="R10" s="7">
        <f t="shared" si="1"/>
        <v>-81.958331413483194</v>
      </c>
    </row>
    <row r="11" spans="1:18" x14ac:dyDescent="0.2">
      <c r="A11" s="6" t="s">
        <v>13</v>
      </c>
      <c r="B11" s="7">
        <f>s_ri!B11*shock_OC!$E$2</f>
        <v>41218.247666288458</v>
      </c>
      <c r="C11" s="7">
        <f>s_ri!C11*shock_OC!$E$3</f>
        <v>8525384.7493938617</v>
      </c>
      <c r="D11" s="7">
        <f>s_ri!D11*shock_OC!$E$4</f>
        <v>0</v>
      </c>
      <c r="E11" s="7">
        <f>s_ri!E11*shock_OC!$E$5</f>
        <v>0</v>
      </c>
      <c r="F11" s="7">
        <f>s_ri!F11*shock_OC!$E$6</f>
        <v>11.047361175342621</v>
      </c>
      <c r="G11" s="7">
        <f>s_ri!G11*shock_OC!$E$7</f>
        <v>-484.55846508348725</v>
      </c>
      <c r="H11" s="7">
        <f t="shared" si="0"/>
        <v>8566.1294859562404</v>
      </c>
      <c r="K11" s="9" t="s">
        <v>13</v>
      </c>
      <c r="L11" s="7">
        <f>s_ri!K11*shock_OC!$E$8</f>
        <v>-9606.9237334733134</v>
      </c>
      <c r="M11" s="7">
        <f>s_ri!L11*shock_OC!$E$9</f>
        <v>-80537.294593557963</v>
      </c>
      <c r="N11" s="7">
        <f>s_ri!M11*shock_OC!$E$10</f>
        <v>0</v>
      </c>
      <c r="O11" s="7">
        <f>s_ri!N11*shock_OC!$E$11</f>
        <v>0</v>
      </c>
      <c r="P11" s="7">
        <f>s_ri!O11*shock_OC!$E$12</f>
        <v>28.661739908952139</v>
      </c>
      <c r="Q11" s="7">
        <f>s_ri!P11*shock_OC!$E$13</f>
        <v>831.46312829741248</v>
      </c>
      <c r="R11" s="7">
        <f t="shared" si="1"/>
        <v>-89.284093458824913</v>
      </c>
    </row>
    <row r="12" spans="1:18" x14ac:dyDescent="0.2">
      <c r="A12" s="6" t="s">
        <v>14</v>
      </c>
      <c r="B12" s="7">
        <f>s_ri!B12*shock_OC!$E$2</f>
        <v>35822.888745923767</v>
      </c>
      <c r="C12" s="7">
        <f>s_ri!C12*shock_OC!$E$3</f>
        <v>8025299.9190855213</v>
      </c>
      <c r="D12" s="7">
        <f>s_ri!D12*shock_OC!$E$4</f>
        <v>0</v>
      </c>
      <c r="E12" s="7">
        <f>s_ri!E12*shock_OC!$E$5</f>
        <v>0</v>
      </c>
      <c r="F12" s="7">
        <f>s_ri!F12*shock_OC!$E$6</f>
        <v>14.006666085807796</v>
      </c>
      <c r="G12" s="7">
        <f>s_ri!G12*shock_OC!$E$7</f>
        <v>-540.18793735030965</v>
      </c>
      <c r="H12" s="7">
        <f t="shared" si="0"/>
        <v>8060.5966265601801</v>
      </c>
      <c r="K12" s="9" t="s">
        <v>14</v>
      </c>
      <c r="L12" s="7">
        <f>s_ri!K12*shock_OC!$E$8</f>
        <v>-12984.110016388113</v>
      </c>
      <c r="M12" s="7">
        <f>s_ri!L12*shock_OC!$E$9</f>
        <v>-40440.658552324865</v>
      </c>
      <c r="N12" s="7">
        <f>s_ri!M12*shock_OC!$E$10</f>
        <v>0</v>
      </c>
      <c r="O12" s="7">
        <f>s_ri!N12*shock_OC!$E$11</f>
        <v>0</v>
      </c>
      <c r="P12" s="7">
        <f>s_ri!O12*shock_OC!$E$12</f>
        <v>32.396700733773038</v>
      </c>
      <c r="Q12" s="7">
        <f>s_ri!P12*shock_OC!$E$13</f>
        <v>892.77389961935683</v>
      </c>
      <c r="R12" s="7">
        <f t="shared" si="1"/>
        <v>-52.499597968359851</v>
      </c>
    </row>
    <row r="13" spans="1:18" x14ac:dyDescent="0.2">
      <c r="A13" s="6" t="s">
        <v>15</v>
      </c>
      <c r="B13" s="7">
        <f>s_ri!B13*shock_OC!$E$2</f>
        <v>32741.544666324822</v>
      </c>
      <c r="C13" s="7">
        <f>s_ri!C13*shock_OC!$E$3</f>
        <v>1866573.0416850063</v>
      </c>
      <c r="D13" s="7">
        <f>s_ri!D13*shock_OC!$E$4</f>
        <v>0</v>
      </c>
      <c r="E13" s="7">
        <f>s_ri!E13*shock_OC!$E$5</f>
        <v>0</v>
      </c>
      <c r="F13" s="7">
        <f>s_ri!F13*shock_OC!$E$6</f>
        <v>18.79976982701579</v>
      </c>
      <c r="G13" s="7">
        <f>s_ri!G13*shock_OC!$E$7</f>
        <v>-700.53089056883618</v>
      </c>
      <c r="H13" s="7">
        <f t="shared" si="0"/>
        <v>1898.6328552305893</v>
      </c>
      <c r="K13" s="9" t="s">
        <v>15</v>
      </c>
      <c r="L13" s="7">
        <f>s_ri!K13*shock_OC!$E$8</f>
        <v>-10183.240426538752</v>
      </c>
      <c r="M13" s="7">
        <f>s_ri!L13*shock_OC!$E$9</f>
        <v>-41834.62249678043</v>
      </c>
      <c r="N13" s="7">
        <f>s_ri!M13*shock_OC!$E$10</f>
        <v>0</v>
      </c>
      <c r="O13" s="7">
        <f>s_ri!N13*shock_OC!$E$11</f>
        <v>0</v>
      </c>
      <c r="P13" s="7">
        <f>s_ri!O13*shock_OC!$E$12</f>
        <v>30.659549661339472</v>
      </c>
      <c r="Q13" s="7">
        <f>s_ri!P13*shock_OC!$E$13</f>
        <v>1045.894083240297</v>
      </c>
      <c r="R13" s="7">
        <f t="shared" si="1"/>
        <v>-50.94130929041755</v>
      </c>
    </row>
    <row r="14" spans="1:18" x14ac:dyDescent="0.2">
      <c r="A14" s="6" t="s">
        <v>16</v>
      </c>
      <c r="B14" s="7">
        <f>s_ri!B14*shock_OC!$E$2</f>
        <v>28043.960217416126</v>
      </c>
      <c r="C14" s="7">
        <f>s_ri!C14*shock_OC!$E$3</f>
        <v>2802840.258821914</v>
      </c>
      <c r="D14" s="7">
        <f>s_ri!D14*shock_OC!$E$4</f>
        <v>0</v>
      </c>
      <c r="E14" s="7">
        <f>s_ri!E14*shock_OC!$E$5</f>
        <v>0</v>
      </c>
      <c r="F14" s="7">
        <f>s_ri!F14*shock_OC!$E$6</f>
        <v>16.718322934361861</v>
      </c>
      <c r="G14" s="7">
        <f>s_ri!G14*shock_OC!$E$7</f>
        <v>-629.79164132524534</v>
      </c>
      <c r="H14" s="7">
        <f t="shared" si="0"/>
        <v>2830.2711457209398</v>
      </c>
      <c r="K14" s="9" t="s">
        <v>16</v>
      </c>
      <c r="L14" s="7">
        <f>s_ri!K14*shock_OC!$E$8</f>
        <v>-6920.1938791484299</v>
      </c>
      <c r="M14" s="7">
        <f>s_ri!L14*shock_OC!$E$9</f>
        <v>-41884.190671132084</v>
      </c>
      <c r="N14" s="7">
        <f>s_ri!M14*shock_OC!$E$10</f>
        <v>0</v>
      </c>
      <c r="O14" s="7">
        <f>s_ri!N14*shock_OC!$E$11</f>
        <v>0</v>
      </c>
      <c r="P14" s="7">
        <f>s_ri!O14*shock_OC!$E$12</f>
        <v>35.408007189484834</v>
      </c>
      <c r="Q14" s="7">
        <f>s_ri!P14*shock_OC!$E$13</f>
        <v>1002.935596981854</v>
      </c>
      <c r="R14" s="7">
        <f t="shared" si="1"/>
        <v>-47.766040946109172</v>
      </c>
    </row>
    <row r="15" spans="1:18" x14ac:dyDescent="0.2">
      <c r="A15" s="6" t="s">
        <v>17</v>
      </c>
      <c r="B15" s="7">
        <f>s_ri!B15*shock_OC!$E$2</f>
        <v>36390.826351407435</v>
      </c>
      <c r="C15" s="7">
        <f>s_ri!C15*shock_OC!$E$3</f>
        <v>6836274.3301868625</v>
      </c>
      <c r="D15" s="7">
        <f>s_ri!D15*shock_OC!$E$4</f>
        <v>0</v>
      </c>
      <c r="E15" s="7">
        <f>s_ri!E15*shock_OC!$E$5</f>
        <v>0</v>
      </c>
      <c r="F15" s="7">
        <f>s_ri!F15*shock_OC!$E$6</f>
        <v>16.863442560157146</v>
      </c>
      <c r="G15" s="7">
        <f>s_ri!G15*shock_OC!$E$7</f>
        <v>-464.92384697909574</v>
      </c>
      <c r="H15" s="7">
        <f t="shared" si="0"/>
        <v>6872.2170961338506</v>
      </c>
      <c r="K15" s="9" t="s">
        <v>17</v>
      </c>
      <c r="L15" s="7">
        <f>s_ri!K15*shock_OC!$E$8</f>
        <v>-7490.4507774404537</v>
      </c>
      <c r="M15" s="7">
        <f>s_ri!L15*shock_OC!$E$9</f>
        <v>-61800.433215535777</v>
      </c>
      <c r="N15" s="7">
        <f>s_ri!M15*shock_OC!$E$10</f>
        <v>0</v>
      </c>
      <c r="O15" s="7">
        <f>s_ri!N15*shock_OC!$E$11</f>
        <v>0</v>
      </c>
      <c r="P15" s="7">
        <f>s_ri!O15*shock_OC!$E$12</f>
        <v>28.723613020476986</v>
      </c>
      <c r="Q15" s="7">
        <f>s_ri!P15*shock_OC!$E$13</f>
        <v>814.07643257364839</v>
      </c>
      <c r="R15" s="7">
        <f t="shared" si="1"/>
        <v>-68.448083947382102</v>
      </c>
    </row>
    <row r="16" spans="1:18" x14ac:dyDescent="0.2">
      <c r="A16" s="6" t="s">
        <v>18</v>
      </c>
      <c r="B16" s="7">
        <f>s_ri!B16*shock_OC!$E$2</f>
        <v>4062.1731282963383</v>
      </c>
      <c r="C16" s="7">
        <f>s_ri!C16*shock_OC!$E$3</f>
        <v>31703774.536808416</v>
      </c>
      <c r="D16" s="7">
        <f>s_ri!D16*shock_OC!$E$4</f>
        <v>0</v>
      </c>
      <c r="E16" s="7">
        <f>s_ri!E16*shock_OC!$E$5</f>
        <v>0</v>
      </c>
      <c r="F16" s="7">
        <f>s_ri!F16*shock_OC!$E$6</f>
        <v>4.6997156221331666</v>
      </c>
      <c r="G16" s="7">
        <f>s_ri!G16*shock_OC!$E$7</f>
        <v>-106.50163330864441</v>
      </c>
      <c r="H16" s="7">
        <f t="shared" si="0"/>
        <v>31707.734908019025</v>
      </c>
      <c r="K16" s="9" t="s">
        <v>18</v>
      </c>
      <c r="L16" s="7">
        <f>s_ri!K16*shock_OC!$E$8</f>
        <v>-4542.0515347372066</v>
      </c>
      <c r="M16" s="7">
        <f>s_ri!L16*shock_OC!$E$9</f>
        <v>-84230.925568206731</v>
      </c>
      <c r="N16" s="7">
        <f>s_ri!M16*shock_OC!$E$10</f>
        <v>0</v>
      </c>
      <c r="O16" s="7">
        <f>s_ri!N16*shock_OC!$E$11</f>
        <v>0</v>
      </c>
      <c r="P16" s="7">
        <f>s_ri!O16*shock_OC!$E$12</f>
        <v>33.01665145854259</v>
      </c>
      <c r="Q16" s="7">
        <f>s_ri!P16*shock_OC!$E$13</f>
        <v>889.22109131558852</v>
      </c>
      <c r="R16" s="7">
        <f t="shared" si="1"/>
        <v>-87.850739360169811</v>
      </c>
    </row>
    <row r="17" spans="1:18" x14ac:dyDescent="0.2">
      <c r="A17" s="6" t="s">
        <v>19</v>
      </c>
      <c r="B17" s="7">
        <f>s_ri!B17*shock_OC!$E$2</f>
        <v>21282.337460510287</v>
      </c>
      <c r="C17" s="7">
        <f>s_ri!C17*shock_OC!$E$3</f>
        <v>3738313.5508254822</v>
      </c>
      <c r="D17" s="7">
        <f>s_ri!D17*shock_OC!$E$4</f>
        <v>0</v>
      </c>
      <c r="E17" s="7">
        <f>s_ri!E17*shock_OC!$E$5</f>
        <v>0</v>
      </c>
      <c r="F17" s="7">
        <f>s_ri!F17*shock_OC!$E$6</f>
        <v>30.318679576808357</v>
      </c>
      <c r="G17" s="7">
        <f>s_ri!G17*shock_OC!$E$7</f>
        <v>-497.97528155793202</v>
      </c>
      <c r="H17" s="7">
        <f t="shared" si="0"/>
        <v>3759.1282316840116</v>
      </c>
      <c r="K17" s="9" t="s">
        <v>19</v>
      </c>
      <c r="L17" s="7">
        <f>s_ri!K17*shock_OC!$E$8</f>
        <v>-4260.4227009076158</v>
      </c>
      <c r="M17" s="7">
        <f>s_ri!L17*shock_OC!$E$9</f>
        <v>-129011.02170633942</v>
      </c>
      <c r="N17" s="7">
        <f>s_ri!M17*shock_OC!$E$10</f>
        <v>0</v>
      </c>
      <c r="O17" s="7">
        <f>s_ri!N17*shock_OC!$E$11</f>
        <v>0</v>
      </c>
      <c r="P17" s="7">
        <f>s_ri!O17*shock_OC!$E$12</f>
        <v>29.85450442133909</v>
      </c>
      <c r="Q17" s="7">
        <f>s_ri!P17*shock_OC!$E$13</f>
        <v>634.09960523260111</v>
      </c>
      <c r="R17" s="7">
        <f t="shared" si="1"/>
        <v>-132.6074902975931</v>
      </c>
    </row>
    <row r="18" spans="1:18" x14ac:dyDescent="0.2">
      <c r="A18" s="6" t="s">
        <v>20</v>
      </c>
      <c r="B18" s="7">
        <f>s_ri!B18*shock_OC!$E$2</f>
        <v>8589.9801738925034</v>
      </c>
      <c r="C18" s="7">
        <f>s_ri!C18*shock_OC!$E$3</f>
        <v>23464003.799301393</v>
      </c>
      <c r="D18" s="7">
        <f>s_ri!D18*shock_OC!$E$4</f>
        <v>0</v>
      </c>
      <c r="E18" s="7">
        <f>s_ri!E18*shock_OC!$E$5</f>
        <v>0</v>
      </c>
      <c r="F18" s="7">
        <f>s_ri!F18*shock_OC!$E$6</f>
        <v>11.712813301147683</v>
      </c>
      <c r="G18" s="7">
        <f>s_ri!G18*shock_OC!$E$7</f>
        <v>-237.56478817187593</v>
      </c>
      <c r="H18" s="7">
        <f t="shared" si="0"/>
        <v>23472.367927500418</v>
      </c>
      <c r="K18" s="9" t="s">
        <v>20</v>
      </c>
      <c r="L18" s="7">
        <f>s_ri!K18*shock_OC!$E$8</f>
        <v>-2408.6896378028032</v>
      </c>
      <c r="M18" s="7">
        <f>s_ri!L18*shock_OC!$E$9</f>
        <v>-121520.34029805666</v>
      </c>
      <c r="N18" s="7">
        <f>s_ri!M18*shock_OC!$E$10</f>
        <v>0</v>
      </c>
      <c r="O18" s="7">
        <f>s_ri!N18*shock_OC!$E$11</f>
        <v>0</v>
      </c>
      <c r="P18" s="7">
        <f>s_ri!O18*shock_OC!$E$12</f>
        <v>35.918778814833367</v>
      </c>
      <c r="Q18" s="7">
        <f>s_ri!P18*shock_OC!$E$13</f>
        <v>788.82533461772994</v>
      </c>
      <c r="R18" s="7">
        <f t="shared" si="1"/>
        <v>-123.1042858224269</v>
      </c>
    </row>
    <row r="19" spans="1:18" x14ac:dyDescent="0.2">
      <c r="A19" s="6" t="s">
        <v>21</v>
      </c>
      <c r="B19" s="7">
        <f>s_ri!B19*shock_OC!$E$2</f>
        <v>23267.095011559933</v>
      </c>
      <c r="C19" s="7">
        <f>s_ri!C19*shock_OC!$E$3</f>
        <v>9611327.5710787047</v>
      </c>
      <c r="D19" s="7">
        <f>s_ri!D19*shock_OC!$E$4</f>
        <v>0</v>
      </c>
      <c r="E19" s="7">
        <f>s_ri!E19*shock_OC!$E$5</f>
        <v>0</v>
      </c>
      <c r="F19" s="7">
        <f>s_ri!F19*shock_OC!$E$6</f>
        <v>25.614034069212973</v>
      </c>
      <c r="G19" s="7">
        <f>s_ri!G19*shock_OC!$E$7</f>
        <v>-397.75524506330572</v>
      </c>
      <c r="H19" s="7">
        <f t="shared" si="0"/>
        <v>9634.2225248792711</v>
      </c>
      <c r="K19" s="9" t="s">
        <v>21</v>
      </c>
      <c r="L19" s="7">
        <f>s_ri!K19*shock_OC!$E$8</f>
        <v>-4104.2527868991147</v>
      </c>
      <c r="M19" s="7">
        <f>s_ri!L19*shock_OC!$E$9</f>
        <v>-120903.88873033501</v>
      </c>
      <c r="N19" s="7">
        <f>s_ri!M19*shock_OC!$E$10</f>
        <v>0</v>
      </c>
      <c r="O19" s="7">
        <f>s_ri!N19*shock_OC!$E$11</f>
        <v>0</v>
      </c>
      <c r="P19" s="7">
        <f>s_ri!O19*shock_OC!$E$12</f>
        <v>36.427234251516502</v>
      </c>
      <c r="Q19" s="7">
        <f>s_ri!P19*shock_OC!$E$13</f>
        <v>689.29384161180496</v>
      </c>
      <c r="R19" s="7">
        <f t="shared" si="1"/>
        <v>-124.2824204413708</v>
      </c>
    </row>
    <row r="20" spans="1:18" x14ac:dyDescent="0.2">
      <c r="A20" s="6" t="s">
        <v>22</v>
      </c>
      <c r="B20" s="7">
        <f>s_ri!B20*shock_OC!$E$2</f>
        <v>14233.695776929984</v>
      </c>
      <c r="C20" s="7">
        <f>s_ri!C20*shock_OC!$E$3</f>
        <v>2878560.1203766074</v>
      </c>
      <c r="D20" s="7">
        <f>s_ri!D20*shock_OC!$E$4</f>
        <v>0</v>
      </c>
      <c r="E20" s="7">
        <f>s_ri!E20*shock_OC!$E$5</f>
        <v>0</v>
      </c>
      <c r="F20" s="7">
        <f>s_ri!F20*shock_OC!$E$6</f>
        <v>30.330837673899858</v>
      </c>
      <c r="G20" s="7">
        <f>s_ri!G20*shock_OC!$E$7</f>
        <v>-533.59433644211254</v>
      </c>
      <c r="H20" s="7">
        <f t="shared" si="0"/>
        <v>2892.2905526547693</v>
      </c>
      <c r="K20" s="9" t="s">
        <v>22</v>
      </c>
      <c r="L20" s="7">
        <f>s_ri!K20*shock_OC!$E$8</f>
        <v>-3391.5473746327875</v>
      </c>
      <c r="M20" s="7">
        <f>s_ri!L20*shock_OC!$E$9</f>
        <v>-85334.36029032142</v>
      </c>
      <c r="N20" s="7">
        <f>s_ri!M20*shock_OC!$E$10</f>
        <v>0</v>
      </c>
      <c r="O20" s="7">
        <f>s_ri!N20*shock_OC!$E$11</f>
        <v>0</v>
      </c>
      <c r="P20" s="7">
        <f>s_ri!O20*shock_OC!$E$12</f>
        <v>39.059848399719336</v>
      </c>
      <c r="Q20" s="7">
        <f>s_ri!P20*shock_OC!$E$13</f>
        <v>789.35557475467965</v>
      </c>
      <c r="R20" s="7">
        <f t="shared" si="1"/>
        <v>-87.89749224179981</v>
      </c>
    </row>
    <row r="21" spans="1:18" x14ac:dyDescent="0.2">
      <c r="A21" s="6" t="s">
        <v>23</v>
      </c>
      <c r="B21" s="7">
        <f>s_ri!B21*shock_OC!$E$2</f>
        <v>11021.041791194646</v>
      </c>
      <c r="C21" s="7">
        <f>s_ri!C21*shock_OC!$E$3</f>
        <v>17791435.579185292</v>
      </c>
      <c r="D21" s="7">
        <f>s_ri!D21*shock_OC!$E$4</f>
        <v>0</v>
      </c>
      <c r="E21" s="7">
        <f>s_ri!E21*shock_OC!$E$5</f>
        <v>0</v>
      </c>
      <c r="F21" s="7">
        <f>s_ri!F21*shock_OC!$E$6</f>
        <v>13.876036240988736</v>
      </c>
      <c r="G21" s="7">
        <f>s_ri!G21*shock_OC!$E$7</f>
        <v>-354.17274475116233</v>
      </c>
      <c r="H21" s="7">
        <f t="shared" si="0"/>
        <v>17802.116324267976</v>
      </c>
      <c r="K21" s="9" t="s">
        <v>23</v>
      </c>
      <c r="L21" s="7">
        <f>s_ri!K21*shock_OC!$E$8</f>
        <v>-3434.3928885014138</v>
      </c>
      <c r="M21" s="7">
        <f>s_ri!L21*shock_OC!$E$9</f>
        <v>-98915.390532187914</v>
      </c>
      <c r="N21" s="7">
        <f>s_ri!M21*shock_OC!$E$10</f>
        <v>0</v>
      </c>
      <c r="O21" s="7">
        <f>s_ri!N21*shock_OC!$E$11</f>
        <v>0</v>
      </c>
      <c r="P21" s="7">
        <f>s_ri!O21*shock_OC!$E$12</f>
        <v>31.128652557357377</v>
      </c>
      <c r="Q21" s="7">
        <f>s_ri!P21*shock_OC!$E$13</f>
        <v>781.08802328851596</v>
      </c>
      <c r="R21" s="7">
        <f t="shared" si="1"/>
        <v>-101.53756674484347</v>
      </c>
    </row>
    <row r="22" spans="1:18" x14ac:dyDescent="0.2">
      <c r="A22" s="6" t="s">
        <v>24</v>
      </c>
      <c r="B22" s="7">
        <f>s_ri!B22*shock_OC!$E$2</f>
        <v>12355.282216029354</v>
      </c>
      <c r="C22" s="7">
        <f>s_ri!C22*shock_OC!$E$3</f>
        <v>14884149.648020657</v>
      </c>
      <c r="D22" s="7">
        <f>s_ri!D22*shock_OC!$E$4</f>
        <v>0</v>
      </c>
      <c r="E22" s="7">
        <f>s_ri!E22*shock_OC!$E$5</f>
        <v>0</v>
      </c>
      <c r="F22" s="7">
        <f>s_ri!F22*shock_OC!$E$6</f>
        <v>20.038953356927372</v>
      </c>
      <c r="G22" s="7">
        <f>s_ri!G22*shock_OC!$E$7</f>
        <v>-370.24331161422833</v>
      </c>
      <c r="H22" s="7">
        <f t="shared" si="0"/>
        <v>14896.154725878429</v>
      </c>
      <c r="K22" s="9" t="s">
        <v>24</v>
      </c>
      <c r="L22" s="7">
        <f>s_ri!K22*shock_OC!$E$8</f>
        <v>-2603.8750688637224</v>
      </c>
      <c r="M22" s="7">
        <f>s_ri!L22*shock_OC!$E$9</f>
        <v>-134625.55404832464</v>
      </c>
      <c r="N22" s="7">
        <f>s_ri!M22*shock_OC!$E$10</f>
        <v>0</v>
      </c>
      <c r="O22" s="7">
        <f>s_ri!N22*shock_OC!$E$11</f>
        <v>0</v>
      </c>
      <c r="P22" s="7">
        <f>s_ri!O22*shock_OC!$E$12</f>
        <v>31.946319058954618</v>
      </c>
      <c r="Q22" s="7">
        <f>s_ri!P22*shock_OC!$E$13</f>
        <v>717.83402323471444</v>
      </c>
      <c r="R22" s="7">
        <f t="shared" si="1"/>
        <v>-136.47964877489468</v>
      </c>
    </row>
    <row r="23" spans="1:18" x14ac:dyDescent="0.2">
      <c r="A23" s="6" t="s">
        <v>25</v>
      </c>
      <c r="B23" s="7">
        <f>s_ri!B23*shock_OC!$E$2</f>
        <v>8602.3809785819467</v>
      </c>
      <c r="C23" s="7">
        <f>s_ri!C23*shock_OC!$E$3</f>
        <v>8846222.3535134438</v>
      </c>
      <c r="D23" s="7">
        <f>s_ri!D23*shock_OC!$E$4</f>
        <v>0</v>
      </c>
      <c r="E23" s="7">
        <f>s_ri!E23*shock_OC!$E$5</f>
        <v>0</v>
      </c>
      <c r="F23" s="7">
        <f>s_ri!F23*shock_OC!$E$6</f>
        <v>31.346738892528908</v>
      </c>
      <c r="G23" s="7">
        <f>s_ri!G23*shock_OC!$E$7</f>
        <v>-526.09265449446866</v>
      </c>
      <c r="H23" s="7">
        <f t="shared" si="0"/>
        <v>8854.3299885764227</v>
      </c>
      <c r="K23" s="9" t="s">
        <v>25</v>
      </c>
      <c r="L23" s="7">
        <f>s_ri!K23*shock_OC!$E$8</f>
        <v>-1965.6094910245506</v>
      </c>
      <c r="M23" s="7">
        <f>s_ri!L23*shock_OC!$E$9</f>
        <v>-46336.059014985782</v>
      </c>
      <c r="N23" s="7">
        <f>s_ri!M23*shock_OC!$E$10</f>
        <v>0</v>
      </c>
      <c r="O23" s="7">
        <f>s_ri!N23*shock_OC!$E$11</f>
        <v>0</v>
      </c>
      <c r="P23" s="7">
        <f>s_ri!O23*shock_OC!$E$12</f>
        <v>43.104512121137262</v>
      </c>
      <c r="Q23" s="7">
        <f>s_ri!P23*shock_OC!$E$13</f>
        <v>993.39952262498127</v>
      </c>
      <c r="R23" s="7">
        <f t="shared" si="1"/>
        <v>-47.265164471264214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2026-04-03T11:41:41Z</dcterms:created>
  <dcterms:modified xsi:type="dcterms:W3CDTF">2026-04-11T13:51:14Z</dcterms:modified>
</cp:coreProperties>
</file>