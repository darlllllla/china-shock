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EUROPE/data/"/>
    </mc:Choice>
  </mc:AlternateContent>
  <xr:revisionPtr revIDLastSave="0" documentId="8_{F8D0C011-6B98-CA44-A07F-0BC47BB96006}" xr6:coauthVersionLast="47" xr6:coauthVersionMax="47" xr10:uidLastSave="{00000000-0000-0000-0000-000000000000}"/>
  <bookViews>
    <workbookView xWindow="0" yWindow="720" windowWidth="29400" windowHeight="18400" xr2:uid="{05672B15-1E54-2046-A970-472BD5751164}"/>
  </bookViews>
  <sheets>
    <sheet name="employment" sheetId="1" r:id="rId1"/>
    <sheet name="import" sheetId="2" r:id="rId2"/>
    <sheet name="L_i" sheetId="3" r:id="rId3"/>
    <sheet name="delta_M" sheetId="4" r:id="rId4"/>
    <sheet name="shock_i" sheetId="6" r:id="rId5"/>
    <sheet name="L_r" sheetId="5" r:id="rId6"/>
    <sheet name="s_ri" sheetId="7" r:id="rId7"/>
    <sheet name="IPW_r" sheetId="8" r:id="rId8"/>
    <sheet name="import OC" sheetId="9" r:id="rId9"/>
    <sheet name="delta_M_OC" sheetId="10" r:id="rId10"/>
    <sheet name="shock_OC" sheetId="11" r:id="rId11"/>
    <sheet name="IPW_O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2" i="11"/>
  <c r="W40" i="9" l="1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3" i="5"/>
  <c r="F2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3" i="5"/>
  <c r="C3" i="4"/>
  <c r="D3" i="6" s="1"/>
  <c r="C4" i="4"/>
  <c r="D4" i="6" s="1"/>
  <c r="C5" i="4"/>
  <c r="D5" i="6" s="1"/>
  <c r="C6" i="4"/>
  <c r="D6" i="6" s="1"/>
  <c r="C7" i="4"/>
  <c r="D7" i="6" s="1"/>
  <c r="C2" i="4"/>
  <c r="D2" i="6" s="1"/>
  <c r="C13" i="4"/>
  <c r="D13" i="6" s="1"/>
  <c r="C12" i="4"/>
  <c r="D12" i="6" s="1"/>
  <c r="C11" i="4"/>
  <c r="D11" i="6" s="1"/>
  <c r="C10" i="4"/>
  <c r="D10" i="6" s="1"/>
  <c r="C9" i="4"/>
  <c r="D9" i="6" s="1"/>
  <c r="C8" i="4"/>
  <c r="D8" i="6" s="1"/>
  <c r="C25" i="3"/>
  <c r="C19" i="3"/>
  <c r="C24" i="3"/>
  <c r="C18" i="3"/>
  <c r="C23" i="3"/>
  <c r="C17" i="3"/>
  <c r="C22" i="3"/>
  <c r="C16" i="3"/>
  <c r="C21" i="3"/>
  <c r="C13" i="11" s="1"/>
  <c r="E13" i="11" s="1"/>
  <c r="C15" i="3"/>
  <c r="C9" i="6" s="1"/>
  <c r="C20" i="3"/>
  <c r="C12" i="11" s="1"/>
  <c r="E12" i="11" s="1"/>
  <c r="C14" i="3"/>
  <c r="C8" i="6" s="1"/>
  <c r="C13" i="3"/>
  <c r="C12" i="3"/>
  <c r="C11" i="3"/>
  <c r="C10" i="3"/>
  <c r="C9" i="3"/>
  <c r="C8" i="3"/>
  <c r="C7" i="3"/>
  <c r="C6" i="3"/>
  <c r="C5" i="3"/>
  <c r="C4" i="3"/>
  <c r="C3" i="3"/>
  <c r="C2" i="3"/>
  <c r="C6" i="6" l="1"/>
  <c r="C6" i="11"/>
  <c r="E6" i="11" s="1"/>
  <c r="C13" i="6"/>
  <c r="E13" i="6" s="1"/>
  <c r="C11" i="11"/>
  <c r="E11" i="11" s="1"/>
  <c r="C12" i="6"/>
  <c r="E12" i="6" s="1"/>
  <c r="C10" i="11"/>
  <c r="E10" i="11" s="1"/>
  <c r="R18" i="5"/>
  <c r="K18" i="7" s="1"/>
  <c r="L18" i="12" s="1"/>
  <c r="R10" i="5"/>
  <c r="C10" i="6"/>
  <c r="E10" i="6" s="1"/>
  <c r="C8" i="11"/>
  <c r="E8" i="11" s="1"/>
  <c r="H20" i="5"/>
  <c r="H12" i="5"/>
  <c r="C7" i="6"/>
  <c r="C7" i="11"/>
  <c r="E7" i="11" s="1"/>
  <c r="C2" i="6"/>
  <c r="E2" i="6" s="1"/>
  <c r="C2" i="11"/>
  <c r="E2" i="11" s="1"/>
  <c r="C3" i="6"/>
  <c r="C3" i="11"/>
  <c r="E3" i="11" s="1"/>
  <c r="C4" i="6"/>
  <c r="E4" i="6" s="1"/>
  <c r="C4" i="11"/>
  <c r="E4" i="11" s="1"/>
  <c r="C11" i="6"/>
  <c r="E11" i="6" s="1"/>
  <c r="C9" i="11"/>
  <c r="E9" i="11" s="1"/>
  <c r="C5" i="6"/>
  <c r="C5" i="11"/>
  <c r="E5" i="11" s="1"/>
  <c r="R17" i="5"/>
  <c r="K17" i="7" s="1"/>
  <c r="L17" i="12" s="1"/>
  <c r="R9" i="5"/>
  <c r="K9" i="7" s="1"/>
  <c r="R3" i="5"/>
  <c r="L3" i="7" s="1"/>
  <c r="M3" i="12" s="1"/>
  <c r="H21" i="5"/>
  <c r="F21" i="7" s="1"/>
  <c r="H13" i="5"/>
  <c r="E13" i="7" s="1"/>
  <c r="H5" i="5"/>
  <c r="B5" i="7" s="1"/>
  <c r="H4" i="5"/>
  <c r="H3" i="5"/>
  <c r="B3" i="7" s="1"/>
  <c r="O3" i="7"/>
  <c r="P3" i="12" s="1"/>
  <c r="H6" i="5"/>
  <c r="B6" i="7" s="1"/>
  <c r="G14" i="7"/>
  <c r="L18" i="7"/>
  <c r="M18" i="12" s="1"/>
  <c r="G5" i="7"/>
  <c r="G5" i="8" s="1"/>
  <c r="P18" i="7"/>
  <c r="H22" i="5"/>
  <c r="G22" i="7" s="1"/>
  <c r="H14" i="5"/>
  <c r="E14" i="7" s="1"/>
  <c r="R19" i="5"/>
  <c r="P19" i="7" s="1"/>
  <c r="Q19" i="8" s="1"/>
  <c r="R11" i="5"/>
  <c r="L11" i="7" s="1"/>
  <c r="M11" i="12" s="1"/>
  <c r="C12" i="12"/>
  <c r="L9" i="12"/>
  <c r="Q18" i="12"/>
  <c r="B3" i="12"/>
  <c r="E7" i="6"/>
  <c r="C3" i="7"/>
  <c r="P10" i="7"/>
  <c r="Q10" i="12" s="1"/>
  <c r="E6" i="6"/>
  <c r="E22" i="7"/>
  <c r="E6" i="7"/>
  <c r="F6" i="7"/>
  <c r="G20" i="7"/>
  <c r="G20" i="8" s="1"/>
  <c r="G12" i="7"/>
  <c r="M18" i="7"/>
  <c r="N18" i="12" s="1"/>
  <c r="L10" i="7"/>
  <c r="M10" i="12" s="1"/>
  <c r="D4" i="7"/>
  <c r="E9" i="6"/>
  <c r="C20" i="7"/>
  <c r="C12" i="7"/>
  <c r="M3" i="7"/>
  <c r="N18" i="7"/>
  <c r="O18" i="12" s="1"/>
  <c r="N10" i="7"/>
  <c r="K10" i="7"/>
  <c r="L10" i="12" s="1"/>
  <c r="M10" i="7"/>
  <c r="N10" i="12" s="1"/>
  <c r="D20" i="7"/>
  <c r="E5" i="6"/>
  <c r="C4" i="7"/>
  <c r="B14" i="7"/>
  <c r="K3" i="7"/>
  <c r="L3" i="12" s="1"/>
  <c r="E20" i="7"/>
  <c r="E12" i="7"/>
  <c r="E12" i="8" s="1"/>
  <c r="E4" i="7"/>
  <c r="N9" i="7"/>
  <c r="O9" i="12" s="1"/>
  <c r="F13" i="7"/>
  <c r="O18" i="7"/>
  <c r="P18" i="12" s="1"/>
  <c r="O10" i="7"/>
  <c r="G3" i="7"/>
  <c r="G3" i="8" s="1"/>
  <c r="F14" i="7"/>
  <c r="E3" i="7"/>
  <c r="G4" i="7"/>
  <c r="G4" i="8" s="1"/>
  <c r="K19" i="7"/>
  <c r="L19" i="12" s="1"/>
  <c r="E8" i="6"/>
  <c r="D12" i="7"/>
  <c r="E3" i="6"/>
  <c r="C13" i="7"/>
  <c r="D13" i="7"/>
  <c r="C5" i="7"/>
  <c r="D5" i="7"/>
  <c r="N3" i="7"/>
  <c r="O3" i="12" s="1"/>
  <c r="F20" i="7"/>
  <c r="F12" i="7"/>
  <c r="F12" i="8" s="1"/>
  <c r="F4" i="7"/>
  <c r="O17" i="7"/>
  <c r="P17" i="12" s="1"/>
  <c r="O9" i="7"/>
  <c r="P9" i="12" s="1"/>
  <c r="H18" i="5"/>
  <c r="D18" i="7" s="1"/>
  <c r="H10" i="5"/>
  <c r="D10" i="7" s="1"/>
  <c r="R23" i="5"/>
  <c r="R15" i="5"/>
  <c r="N15" i="7" s="1"/>
  <c r="R7" i="5"/>
  <c r="O7" i="7" s="1"/>
  <c r="D3" i="7"/>
  <c r="H17" i="5"/>
  <c r="B17" i="7" s="1"/>
  <c r="H9" i="5"/>
  <c r="B9" i="7" s="1"/>
  <c r="R22" i="5"/>
  <c r="L22" i="7" s="1"/>
  <c r="M22" i="12" s="1"/>
  <c r="R14" i="5"/>
  <c r="L14" i="7" s="1"/>
  <c r="M14" i="12" s="1"/>
  <c r="R6" i="5"/>
  <c r="L6" i="7" s="1"/>
  <c r="M6" i="12" s="1"/>
  <c r="B20" i="7"/>
  <c r="B12" i="7"/>
  <c r="B4" i="7"/>
  <c r="H16" i="5"/>
  <c r="D16" i="7" s="1"/>
  <c r="H8" i="5"/>
  <c r="E8" i="7" s="1"/>
  <c r="R21" i="5"/>
  <c r="P21" i="7" s="1"/>
  <c r="Q21" i="12" s="1"/>
  <c r="R13" i="5"/>
  <c r="P13" i="7" s="1"/>
  <c r="R5" i="5"/>
  <c r="P5" i="7" s="1"/>
  <c r="Q5" i="12" s="1"/>
  <c r="H23" i="5"/>
  <c r="G23" i="7" s="1"/>
  <c r="H15" i="5"/>
  <c r="C15" i="7" s="1"/>
  <c r="C15" i="8" s="1"/>
  <c r="H7" i="5"/>
  <c r="B7" i="7" s="1"/>
  <c r="R20" i="5"/>
  <c r="K20" i="7" s="1"/>
  <c r="L20" i="12" s="1"/>
  <c r="R12" i="5"/>
  <c r="K12" i="7" s="1"/>
  <c r="L12" i="12" s="1"/>
  <c r="R4" i="5"/>
  <c r="K4" i="7" s="1"/>
  <c r="L4" i="12" s="1"/>
  <c r="D22" i="7"/>
  <c r="D14" i="7"/>
  <c r="B13" i="7"/>
  <c r="D6" i="7"/>
  <c r="M19" i="7"/>
  <c r="N19" i="12" s="1"/>
  <c r="M11" i="7"/>
  <c r="N11" i="12" s="1"/>
  <c r="H19" i="5"/>
  <c r="G19" i="7" s="1"/>
  <c r="G19" i="8" s="1"/>
  <c r="H11" i="5"/>
  <c r="G11" i="7" s="1"/>
  <c r="G11" i="8" s="1"/>
  <c r="R16" i="5"/>
  <c r="P16" i="7" s="1"/>
  <c r="Q16" i="12" s="1"/>
  <c r="R8" i="5"/>
  <c r="P8" i="7" s="1"/>
  <c r="Q8" i="12" s="1"/>
  <c r="B6" i="8" l="1"/>
  <c r="D17" i="7"/>
  <c r="B9" i="8"/>
  <c r="K11" i="7"/>
  <c r="L11" i="12" s="1"/>
  <c r="C14" i="7"/>
  <c r="N3" i="12"/>
  <c r="G12" i="8"/>
  <c r="G21" i="7"/>
  <c r="G21" i="12" s="1"/>
  <c r="B5" i="8"/>
  <c r="B17" i="8"/>
  <c r="B7" i="8"/>
  <c r="B4" i="8"/>
  <c r="G23" i="8"/>
  <c r="B20" i="8"/>
  <c r="F20" i="8"/>
  <c r="C21" i="7"/>
  <c r="O19" i="7"/>
  <c r="P19" i="12" s="1"/>
  <c r="F5" i="7"/>
  <c r="P3" i="7"/>
  <c r="C6" i="7"/>
  <c r="C6" i="8" s="1"/>
  <c r="G6" i="7"/>
  <c r="G6" i="12" s="1"/>
  <c r="B12" i="8"/>
  <c r="B21" i="7"/>
  <c r="B21" i="8" s="1"/>
  <c r="N19" i="7"/>
  <c r="O19" i="8" s="1"/>
  <c r="O10" i="8"/>
  <c r="Q18" i="8"/>
  <c r="B13" i="8"/>
  <c r="B14" i="8"/>
  <c r="B3" i="8"/>
  <c r="L12" i="7"/>
  <c r="M12" i="12" s="1"/>
  <c r="N17" i="7"/>
  <c r="O17" i="12" s="1"/>
  <c r="E21" i="7"/>
  <c r="G13" i="7"/>
  <c r="P3" i="8"/>
  <c r="Q3" i="8"/>
  <c r="L20" i="7"/>
  <c r="M20" i="12" s="1"/>
  <c r="D12" i="8"/>
  <c r="G17" i="7"/>
  <c r="G17" i="8" s="1"/>
  <c r="D4" i="8"/>
  <c r="L19" i="7"/>
  <c r="M19" i="12" s="1"/>
  <c r="D18" i="8"/>
  <c r="D16" i="8"/>
  <c r="K7" i="7"/>
  <c r="L7" i="12" s="1"/>
  <c r="P11" i="7"/>
  <c r="Q11" i="8" s="1"/>
  <c r="Q13" i="8"/>
  <c r="D6" i="8"/>
  <c r="D3" i="8"/>
  <c r="D5" i="8"/>
  <c r="P7" i="8"/>
  <c r="C5" i="8"/>
  <c r="D8" i="7"/>
  <c r="D8" i="8" s="1"/>
  <c r="E4" i="8"/>
  <c r="C4" i="8"/>
  <c r="E21" i="8"/>
  <c r="C22" i="7"/>
  <c r="C22" i="8" s="1"/>
  <c r="B21" i="12"/>
  <c r="D13" i="8"/>
  <c r="G14" i="8"/>
  <c r="C13" i="8"/>
  <c r="P10" i="8"/>
  <c r="D20" i="8"/>
  <c r="C12" i="8"/>
  <c r="H12" i="8" s="1"/>
  <c r="G5" i="12"/>
  <c r="L9" i="7"/>
  <c r="M9" i="12" s="1"/>
  <c r="D14" i="8"/>
  <c r="D22" i="8"/>
  <c r="D10" i="8"/>
  <c r="D17" i="8"/>
  <c r="C21" i="8"/>
  <c r="C20" i="8"/>
  <c r="O11" i="7"/>
  <c r="P11" i="12" s="1"/>
  <c r="M20" i="7"/>
  <c r="N20" i="12" s="1"/>
  <c r="P10" i="12"/>
  <c r="E3" i="8"/>
  <c r="F5" i="8"/>
  <c r="F14" i="8"/>
  <c r="F4" i="8"/>
  <c r="C14" i="8"/>
  <c r="E22" i="8"/>
  <c r="E20" i="8"/>
  <c r="F6" i="8"/>
  <c r="C3" i="8"/>
  <c r="E8" i="8"/>
  <c r="F13" i="8"/>
  <c r="E6" i="8"/>
  <c r="G13" i="8"/>
  <c r="E14" i="8"/>
  <c r="O15" i="12"/>
  <c r="O15" i="8"/>
  <c r="G22" i="8"/>
  <c r="G22" i="12"/>
  <c r="F21" i="8"/>
  <c r="F21" i="12"/>
  <c r="E13" i="8"/>
  <c r="E13" i="12"/>
  <c r="E18" i="7"/>
  <c r="E18" i="8" s="1"/>
  <c r="Q19" i="12"/>
  <c r="F12" i="12"/>
  <c r="P17" i="7"/>
  <c r="P9" i="7"/>
  <c r="C9" i="7"/>
  <c r="C9" i="8" s="1"/>
  <c r="P7" i="7"/>
  <c r="Q7" i="8" s="1"/>
  <c r="Q5" i="8"/>
  <c r="E12" i="12"/>
  <c r="G11" i="12"/>
  <c r="N22" i="7"/>
  <c r="O22" i="12" s="1"/>
  <c r="O18" i="8"/>
  <c r="C13" i="12"/>
  <c r="B22" i="7"/>
  <c r="B22" i="8" s="1"/>
  <c r="F22" i="7"/>
  <c r="M4" i="7"/>
  <c r="N4" i="12" s="1"/>
  <c r="Q11" i="12"/>
  <c r="C20" i="12"/>
  <c r="G13" i="12"/>
  <c r="L21" i="7"/>
  <c r="M21" i="12" s="1"/>
  <c r="G15" i="7"/>
  <c r="O15" i="7"/>
  <c r="K8" i="7"/>
  <c r="L8" i="12" s="1"/>
  <c r="E5" i="7"/>
  <c r="E9" i="7"/>
  <c r="D12" i="12"/>
  <c r="G4" i="12"/>
  <c r="L17" i="7"/>
  <c r="M17" i="12" s="1"/>
  <c r="M9" i="7"/>
  <c r="N9" i="12" s="1"/>
  <c r="L4" i="7"/>
  <c r="M4" i="12" s="1"/>
  <c r="D21" i="7"/>
  <c r="D21" i="8" s="1"/>
  <c r="F9" i="7"/>
  <c r="O8" i="7"/>
  <c r="F3" i="7"/>
  <c r="D7" i="7"/>
  <c r="N11" i="7"/>
  <c r="C7" i="7"/>
  <c r="B14" i="12"/>
  <c r="D5" i="12"/>
  <c r="C3" i="12"/>
  <c r="F14" i="12"/>
  <c r="G14" i="12"/>
  <c r="M17" i="7"/>
  <c r="N17" i="12" s="1"/>
  <c r="Q10" i="8"/>
  <c r="B4" i="12"/>
  <c r="B17" i="12"/>
  <c r="B7" i="12"/>
  <c r="Q3" i="12"/>
  <c r="R3" i="12" s="1"/>
  <c r="E20" i="12"/>
  <c r="P7" i="12"/>
  <c r="D16" i="12"/>
  <c r="D6" i="12"/>
  <c r="P17" i="8"/>
  <c r="B13" i="12"/>
  <c r="E3" i="12"/>
  <c r="E14" i="12"/>
  <c r="D3" i="12"/>
  <c r="D8" i="12"/>
  <c r="O10" i="12"/>
  <c r="R10" i="12" s="1"/>
  <c r="C5" i="12"/>
  <c r="C22" i="12"/>
  <c r="F20" i="12"/>
  <c r="Q16" i="8"/>
  <c r="O17" i="8"/>
  <c r="B5" i="12"/>
  <c r="B9" i="12"/>
  <c r="E6" i="12"/>
  <c r="E4" i="12"/>
  <c r="D10" i="12"/>
  <c r="D20" i="12"/>
  <c r="C14" i="12"/>
  <c r="P9" i="8"/>
  <c r="Q8" i="8"/>
  <c r="O3" i="8"/>
  <c r="Q13" i="12"/>
  <c r="E8" i="12"/>
  <c r="D21" i="12"/>
  <c r="D17" i="12"/>
  <c r="C6" i="12"/>
  <c r="F13" i="12"/>
  <c r="F4" i="12"/>
  <c r="G3" i="12"/>
  <c r="O9" i="8"/>
  <c r="B20" i="12"/>
  <c r="H20" i="12" s="1"/>
  <c r="E21" i="12"/>
  <c r="D13" i="12"/>
  <c r="O19" i="12"/>
  <c r="C4" i="12"/>
  <c r="F5" i="12"/>
  <c r="G19" i="12"/>
  <c r="G12" i="12"/>
  <c r="C15" i="12"/>
  <c r="C9" i="12"/>
  <c r="Q21" i="8"/>
  <c r="P19" i="8"/>
  <c r="P18" i="8"/>
  <c r="B12" i="12"/>
  <c r="B6" i="12"/>
  <c r="D4" i="12"/>
  <c r="D22" i="12"/>
  <c r="G20" i="12"/>
  <c r="E22" i="12"/>
  <c r="D18" i="12"/>
  <c r="D14" i="12"/>
  <c r="C21" i="12"/>
  <c r="F6" i="12"/>
  <c r="G23" i="12"/>
  <c r="R18" i="12"/>
  <c r="L4" i="8"/>
  <c r="L8" i="8"/>
  <c r="L12" i="8"/>
  <c r="L20" i="8"/>
  <c r="L7" i="8"/>
  <c r="L18" i="8"/>
  <c r="L11" i="8"/>
  <c r="L19" i="8"/>
  <c r="L10" i="8"/>
  <c r="L3" i="8"/>
  <c r="L9" i="8"/>
  <c r="L17" i="8"/>
  <c r="N4" i="8"/>
  <c r="N11" i="8"/>
  <c r="N10" i="8"/>
  <c r="N18" i="8"/>
  <c r="N3" i="8"/>
  <c r="N19" i="8"/>
  <c r="M3" i="8"/>
  <c r="M14" i="8"/>
  <c r="M4" i="8"/>
  <c r="M12" i="8"/>
  <c r="M11" i="8"/>
  <c r="M19" i="8"/>
  <c r="M6" i="8"/>
  <c r="M10" i="8"/>
  <c r="M18" i="8"/>
  <c r="M22" i="8"/>
  <c r="B11" i="7"/>
  <c r="E23" i="7"/>
  <c r="F23" i="7"/>
  <c r="L15" i="7"/>
  <c r="M15" i="12" s="1"/>
  <c r="M15" i="7"/>
  <c r="N15" i="12" s="1"/>
  <c r="N16" i="7"/>
  <c r="C18" i="7"/>
  <c r="B18" i="7"/>
  <c r="K21" i="7"/>
  <c r="L21" i="12" s="1"/>
  <c r="M5" i="7"/>
  <c r="N5" i="12" s="1"/>
  <c r="L13" i="7"/>
  <c r="M13" i="12" s="1"/>
  <c r="M21" i="7"/>
  <c r="N21" i="12" s="1"/>
  <c r="E16" i="7"/>
  <c r="N6" i="7"/>
  <c r="E19" i="7"/>
  <c r="O21" i="7"/>
  <c r="F18" i="7"/>
  <c r="O16" i="7"/>
  <c r="K16" i="7"/>
  <c r="L16" i="12" s="1"/>
  <c r="G10" i="7"/>
  <c r="O14" i="7"/>
  <c r="C23" i="7"/>
  <c r="M13" i="7"/>
  <c r="N13" i="12" s="1"/>
  <c r="L23" i="7"/>
  <c r="M23" i="12" s="1"/>
  <c r="M23" i="7"/>
  <c r="N23" i="12" s="1"/>
  <c r="E11" i="7"/>
  <c r="D19" i="7"/>
  <c r="P23" i="7"/>
  <c r="N12" i="7"/>
  <c r="O12" i="7"/>
  <c r="P4" i="7"/>
  <c r="M6" i="7"/>
  <c r="N6" i="12" s="1"/>
  <c r="F8" i="7"/>
  <c r="N13" i="7"/>
  <c r="N14" i="7"/>
  <c r="F11" i="7"/>
  <c r="P6" i="7"/>
  <c r="K13" i="7"/>
  <c r="L13" i="12" s="1"/>
  <c r="G18" i="7"/>
  <c r="O22" i="7"/>
  <c r="D23" i="7"/>
  <c r="G16" i="7"/>
  <c r="B16" i="7"/>
  <c r="P12" i="7"/>
  <c r="M14" i="7"/>
  <c r="N14" i="12" s="1"/>
  <c r="K15" i="7"/>
  <c r="L15" i="12" s="1"/>
  <c r="F16" i="7"/>
  <c r="E17" i="7"/>
  <c r="F19" i="7"/>
  <c r="B15" i="7"/>
  <c r="P14" i="7"/>
  <c r="C16" i="7"/>
  <c r="F17" i="7"/>
  <c r="K5" i="7"/>
  <c r="L5" i="12" s="1"/>
  <c r="K6" i="7"/>
  <c r="L6" i="12" s="1"/>
  <c r="D11" i="7"/>
  <c r="O5" i="7"/>
  <c r="F10" i="7"/>
  <c r="K14" i="7"/>
  <c r="L14" i="12" s="1"/>
  <c r="O6" i="7"/>
  <c r="N4" i="7"/>
  <c r="O4" i="7"/>
  <c r="G8" i="7"/>
  <c r="B8" i="7"/>
  <c r="N20" i="7"/>
  <c r="O20" i="7"/>
  <c r="E7" i="7"/>
  <c r="F7" i="7"/>
  <c r="P20" i="7"/>
  <c r="M22" i="7"/>
  <c r="N22" i="12" s="1"/>
  <c r="K23" i="7"/>
  <c r="L23" i="12" s="1"/>
  <c r="L8" i="7"/>
  <c r="M8" i="12" s="1"/>
  <c r="M12" i="7"/>
  <c r="N12" i="12" s="1"/>
  <c r="N7" i="7"/>
  <c r="C11" i="7"/>
  <c r="P22" i="7"/>
  <c r="M8" i="7"/>
  <c r="N8" i="12" s="1"/>
  <c r="B23" i="7"/>
  <c r="B19" i="7"/>
  <c r="N5" i="7"/>
  <c r="C8" i="7"/>
  <c r="K22" i="7"/>
  <c r="L22" i="12" s="1"/>
  <c r="E15" i="7"/>
  <c r="F15" i="7"/>
  <c r="L7" i="7"/>
  <c r="M7" i="12" s="1"/>
  <c r="M7" i="7"/>
  <c r="N7" i="12" s="1"/>
  <c r="G7" i="7"/>
  <c r="N8" i="7"/>
  <c r="D9" i="7"/>
  <c r="C10" i="7"/>
  <c r="L16" i="7"/>
  <c r="M16" i="12" s="1"/>
  <c r="B10" i="7"/>
  <c r="D15" i="7"/>
  <c r="E10" i="7"/>
  <c r="L5" i="7"/>
  <c r="M5" i="12" s="1"/>
  <c r="C19" i="7"/>
  <c r="P15" i="7"/>
  <c r="G9" i="7"/>
  <c r="M16" i="7"/>
  <c r="N16" i="12" s="1"/>
  <c r="N23" i="7"/>
  <c r="O13" i="7"/>
  <c r="N21" i="7"/>
  <c r="O23" i="7"/>
  <c r="C17" i="7"/>
  <c r="H4" i="8" l="1"/>
  <c r="N17" i="8"/>
  <c r="M21" i="8"/>
  <c r="H12" i="12"/>
  <c r="N20" i="8"/>
  <c r="M17" i="8"/>
  <c r="R19" i="12"/>
  <c r="P11" i="8"/>
  <c r="G21" i="8"/>
  <c r="G6" i="8"/>
  <c r="H6" i="8" s="1"/>
  <c r="M9" i="8"/>
  <c r="M20" i="8"/>
  <c r="E18" i="12"/>
  <c r="H14" i="12"/>
  <c r="G17" i="12"/>
  <c r="H13" i="8"/>
  <c r="H20" i="8"/>
  <c r="N15" i="8"/>
  <c r="B22" i="12"/>
  <c r="H21" i="8"/>
  <c r="H13" i="12"/>
  <c r="O22" i="8"/>
  <c r="H14" i="8"/>
  <c r="H6" i="12"/>
  <c r="H21" i="12"/>
  <c r="P15" i="8"/>
  <c r="P15" i="12"/>
  <c r="C7" i="8"/>
  <c r="C7" i="12"/>
  <c r="G15" i="8"/>
  <c r="G15" i="12"/>
  <c r="O11" i="12"/>
  <c r="R11" i="12" s="1"/>
  <c r="O11" i="8"/>
  <c r="D7" i="8"/>
  <c r="D7" i="12"/>
  <c r="Q9" i="8"/>
  <c r="Q9" i="12"/>
  <c r="R9" i="12" s="1"/>
  <c r="N13" i="8"/>
  <c r="N9" i="8"/>
  <c r="L5" i="8"/>
  <c r="F3" i="8"/>
  <c r="H3" i="8" s="1"/>
  <c r="F3" i="12"/>
  <c r="H3" i="12" s="1"/>
  <c r="Q17" i="12"/>
  <c r="R17" i="12" s="1"/>
  <c r="Q17" i="8"/>
  <c r="R17" i="8" s="1"/>
  <c r="E9" i="8"/>
  <c r="E9" i="12"/>
  <c r="N14" i="8"/>
  <c r="P8" i="8"/>
  <c r="P8" i="12"/>
  <c r="M23" i="8"/>
  <c r="L13" i="8"/>
  <c r="Q7" i="12"/>
  <c r="F9" i="8"/>
  <c r="F9" i="12"/>
  <c r="E5" i="8"/>
  <c r="H5" i="8" s="1"/>
  <c r="E5" i="12"/>
  <c r="H5" i="12" s="1"/>
  <c r="F22" i="8"/>
  <c r="H22" i="8" s="1"/>
  <c r="F22" i="12"/>
  <c r="Q22" i="8"/>
  <c r="Q22" i="12"/>
  <c r="F23" i="8"/>
  <c r="F23" i="12"/>
  <c r="N7" i="8"/>
  <c r="N21" i="8"/>
  <c r="G10" i="8"/>
  <c r="G10" i="12"/>
  <c r="E15" i="8"/>
  <c r="E15" i="12"/>
  <c r="C11" i="8"/>
  <c r="C11" i="12"/>
  <c r="E7" i="8"/>
  <c r="E7" i="12"/>
  <c r="Q14" i="8"/>
  <c r="Q14" i="12"/>
  <c r="B16" i="8"/>
  <c r="B16" i="12"/>
  <c r="O14" i="8"/>
  <c r="O14" i="12"/>
  <c r="D19" i="8"/>
  <c r="D19" i="12"/>
  <c r="G9" i="8"/>
  <c r="G9" i="12"/>
  <c r="C10" i="8"/>
  <c r="C10" i="12"/>
  <c r="O7" i="12"/>
  <c r="R7" i="12" s="1"/>
  <c r="O7" i="8"/>
  <c r="P20" i="12"/>
  <c r="P20" i="8"/>
  <c r="F10" i="8"/>
  <c r="F10" i="12"/>
  <c r="B15" i="8"/>
  <c r="B15" i="12"/>
  <c r="G16" i="8"/>
  <c r="G16" i="12"/>
  <c r="O13" i="12"/>
  <c r="O13" i="8"/>
  <c r="E11" i="8"/>
  <c r="E11" i="12"/>
  <c r="P16" i="12"/>
  <c r="P16" i="8"/>
  <c r="E23" i="8"/>
  <c r="E23" i="12"/>
  <c r="M16" i="8"/>
  <c r="N23" i="8"/>
  <c r="L22" i="8"/>
  <c r="O23" i="8"/>
  <c r="O23" i="12"/>
  <c r="B10" i="8"/>
  <c r="B10" i="12"/>
  <c r="F15" i="8"/>
  <c r="F15" i="12"/>
  <c r="F7" i="8"/>
  <c r="F7" i="12"/>
  <c r="P6" i="12"/>
  <c r="P6" i="8"/>
  <c r="C16" i="8"/>
  <c r="C16" i="12"/>
  <c r="Q12" i="12"/>
  <c r="Q12" i="8"/>
  <c r="F11" i="8"/>
  <c r="F11" i="12"/>
  <c r="Q23" i="8"/>
  <c r="Q23" i="12"/>
  <c r="Q15" i="12"/>
  <c r="Q15" i="8"/>
  <c r="D9" i="8"/>
  <c r="D9" i="12"/>
  <c r="H9" i="12" s="1"/>
  <c r="C8" i="8"/>
  <c r="C8" i="12"/>
  <c r="O20" i="8"/>
  <c r="O20" i="12"/>
  <c r="P5" i="12"/>
  <c r="P5" i="8"/>
  <c r="F19" i="8"/>
  <c r="F19" i="12"/>
  <c r="D23" i="8"/>
  <c r="D23" i="12"/>
  <c r="F8" i="8"/>
  <c r="F8" i="12"/>
  <c r="F18" i="8"/>
  <c r="F18" i="12"/>
  <c r="B11" i="8"/>
  <c r="B11" i="12"/>
  <c r="N6" i="8"/>
  <c r="M15" i="8"/>
  <c r="C17" i="8"/>
  <c r="C17" i="12"/>
  <c r="C19" i="8"/>
  <c r="C19" i="12"/>
  <c r="O8" i="12"/>
  <c r="O8" i="8"/>
  <c r="O5" i="12"/>
  <c r="O5" i="8"/>
  <c r="D11" i="8"/>
  <c r="D11" i="12"/>
  <c r="P21" i="8"/>
  <c r="P21" i="12"/>
  <c r="B18" i="8"/>
  <c r="B18" i="12"/>
  <c r="M8" i="8"/>
  <c r="L14" i="8"/>
  <c r="H4" i="12"/>
  <c r="B8" i="8"/>
  <c r="B8" i="12"/>
  <c r="E17" i="8"/>
  <c r="E17" i="12"/>
  <c r="P22" i="12"/>
  <c r="R22" i="12" s="1"/>
  <c r="P22" i="8"/>
  <c r="F16" i="8"/>
  <c r="F16" i="12"/>
  <c r="E19" i="8"/>
  <c r="E19" i="12"/>
  <c r="C18" i="8"/>
  <c r="C18" i="12"/>
  <c r="M13" i="8"/>
  <c r="N8" i="8"/>
  <c r="N5" i="8"/>
  <c r="L23" i="8"/>
  <c r="P23" i="8"/>
  <c r="P23" i="12"/>
  <c r="G7" i="8"/>
  <c r="G7" i="12"/>
  <c r="B19" i="8"/>
  <c r="B19" i="12"/>
  <c r="G8" i="8"/>
  <c r="G8" i="12"/>
  <c r="G18" i="8"/>
  <c r="G18" i="12"/>
  <c r="E10" i="8"/>
  <c r="E10" i="12"/>
  <c r="B23" i="8"/>
  <c r="B23" i="12"/>
  <c r="P4" i="12"/>
  <c r="P4" i="8"/>
  <c r="P12" i="12"/>
  <c r="P12" i="8"/>
  <c r="C23" i="8"/>
  <c r="C23" i="12"/>
  <c r="O6" i="12"/>
  <c r="R6" i="12" s="1"/>
  <c r="O6" i="8"/>
  <c r="O16" i="12"/>
  <c r="R16" i="12" s="1"/>
  <c r="O16" i="8"/>
  <c r="N16" i="8"/>
  <c r="L6" i="8"/>
  <c r="Q4" i="12"/>
  <c r="Q4" i="8"/>
  <c r="O21" i="12"/>
  <c r="O21" i="8"/>
  <c r="P13" i="12"/>
  <c r="P13" i="8"/>
  <c r="D15" i="8"/>
  <c r="D15" i="12"/>
  <c r="Q20" i="8"/>
  <c r="Q20" i="12"/>
  <c r="O4" i="12"/>
  <c r="O4" i="8"/>
  <c r="F17" i="8"/>
  <c r="F17" i="12"/>
  <c r="Q6" i="12"/>
  <c r="Q6" i="8"/>
  <c r="O12" i="12"/>
  <c r="R12" i="12" s="1"/>
  <c r="O12" i="8"/>
  <c r="P14" i="8"/>
  <c r="P14" i="12"/>
  <c r="E16" i="8"/>
  <c r="E16" i="12"/>
  <c r="M5" i="8"/>
  <c r="M7" i="8"/>
  <c r="N22" i="8"/>
  <c r="N12" i="8"/>
  <c r="L21" i="8"/>
  <c r="L15" i="8"/>
  <c r="L16" i="8"/>
  <c r="R19" i="8"/>
  <c r="R3" i="8"/>
  <c r="R18" i="8"/>
  <c r="R10" i="8"/>
  <c r="R11" i="8" l="1"/>
  <c r="R15" i="8"/>
  <c r="R5" i="12"/>
  <c r="R21" i="12"/>
  <c r="R8" i="12"/>
  <c r="H22" i="12"/>
  <c r="R14" i="12"/>
  <c r="R9" i="8"/>
  <c r="R20" i="8"/>
  <c r="R7" i="8"/>
  <c r="R21" i="8"/>
  <c r="R22" i="8"/>
  <c r="R14" i="8"/>
  <c r="R13" i="8"/>
  <c r="R8" i="8"/>
  <c r="R12" i="8"/>
  <c r="R23" i="8"/>
  <c r="R4" i="8"/>
  <c r="H23" i="12"/>
  <c r="H19" i="12"/>
  <c r="H7" i="12"/>
  <c r="H9" i="8"/>
  <c r="R13" i="12"/>
  <c r="R5" i="8"/>
  <c r="R15" i="12"/>
  <c r="H10" i="12"/>
  <c r="R6" i="8"/>
  <c r="H17" i="12"/>
  <c r="R20" i="12"/>
  <c r="R16" i="8"/>
  <c r="R23" i="12"/>
  <c r="H11" i="12"/>
  <c r="H8" i="12"/>
  <c r="H11" i="8"/>
  <c r="H7" i="8"/>
  <c r="H18" i="8"/>
  <c r="H8" i="8"/>
  <c r="H15" i="12"/>
  <c r="H16" i="12"/>
  <c r="H17" i="8"/>
  <c r="H10" i="8"/>
  <c r="H15" i="8"/>
  <c r="H16" i="8"/>
  <c r="R4" i="12"/>
  <c r="H23" i="8"/>
  <c r="H19" i="8"/>
  <c r="H18" i="12"/>
</calcChain>
</file>

<file path=xl/sharedStrings.xml><?xml version="1.0" encoding="utf-8"?>
<sst xmlns="http://schemas.openxmlformats.org/spreadsheetml/2006/main" count="1734" uniqueCount="55">
  <si>
    <t>zone</t>
  </si>
  <si>
    <t>year</t>
  </si>
  <si>
    <t>industry</t>
  </si>
  <si>
    <t>employment</t>
  </si>
  <si>
    <t>a-b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</si>
  <si>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</si>
  <si>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</si>
  <si>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</si>
  <si>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</si>
  <si>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</si>
  <si>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</si>
  <si>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</si>
  <si>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</si>
  <si>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</si>
  <si>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</si>
  <si>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</si>
  <si>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</si>
  <si>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</si>
  <si>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</si>
  <si>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</si>
  <si>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</si>
  <si>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</si>
  <si>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</si>
  <si>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</si>
  <si>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</si>
  <si>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</si>
  <si>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c-e</t>
  </si>
  <si>
    <t>f</t>
  </si>
  <si>
    <t>g-i</t>
  </si>
  <si>
    <t>j-k</t>
  </si>
  <si>
    <t>l-q</t>
  </si>
  <si>
    <t>L_i</t>
  </si>
  <si>
    <t>period</t>
  </si>
  <si>
    <t>1999-2011</t>
  </si>
  <si>
    <t>2012-2019</t>
  </si>
  <si>
    <t>L_i0</t>
  </si>
  <si>
    <t>delta_M</t>
  </si>
  <si>
    <t>shock_i</t>
  </si>
  <si>
    <t>total_1999</t>
  </si>
  <si>
    <t>import</t>
  </si>
  <si>
    <t>total_2012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</si>
  <si>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</si>
  <si>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</si>
  <si>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</si>
  <si>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</si>
  <si>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</si>
  <si>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</si>
  <si>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</si>
  <si>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</si>
  <si>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p1</t>
  </si>
  <si>
    <t>p2</t>
  </si>
  <si>
    <t>IPW (1999-2011)</t>
  </si>
  <si>
    <t>IPW (2012-2019)</t>
  </si>
  <si>
    <t>IPW_OC (1999-2011)</t>
  </si>
  <si>
    <t>IPW_OC (2012-2019)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</si>
</sst>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0.0000"/>
    <numFmt numFmtId="166" formatCode="[$$-409]#,##0.00_ ;\-[$$-409]#,##0.00\ 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5" fontId="0" fillId="0" borderId="1" xfId="0" applyNumberFormat="1" applyBorder="1"/>
    <xf numFmtId="165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3DC5-55EB-BD44-BD70-EE4D80E34625}">
  <dimension ref="A1:D505"/>
  <sheetViews>
    <sheetView tabSelected="1" workbookViewId="0">
      <selection activeCell="H22" sqref="H22"/>
    </sheetView>
  </sheetViews>
  <sheetFormatPr baseColWidth="10" defaultRowHeight="16" x14ac:dyDescent="0.2"/>
  <cols>
    <col min="1" max="1" width="32.1640625" style="4" bestFit="1" customWidth="1"/>
    <col min="2" max="3" width="10.83203125" style="4"/>
    <col min="4" max="4" width="10.83203125" style="6"/>
  </cols>
  <sheetData>
    <row r="1" spans="1:4" x14ac:dyDescent="0.2">
      <c r="A1" s="5" t="s">
        <v>0</v>
      </c>
      <c r="B1" s="5" t="s">
        <v>1</v>
      </c>
      <c r="C1" s="5" t="s">
        <v>2</v>
      </c>
      <c r="D1" s="14" t="s">
        <v>3</v>
      </c>
    </row>
    <row r="2" spans="1:4" x14ac:dyDescent="0.2">
      <c r="A2" s="4" t="s">
        <v>5</v>
      </c>
      <c r="B2" s="4">
        <v>1999</v>
      </c>
      <c r="C2" s="4" t="s">
        <v>4</v>
      </c>
      <c r="D2" s="6">
        <v>57900</v>
      </c>
    </row>
    <row r="3" spans="1:4" x14ac:dyDescent="0.2">
      <c r="A3" s="4" t="s">
        <v>6</v>
      </c>
      <c r="B3" s="4">
        <v>1999</v>
      </c>
      <c r="C3" s="4" t="s">
        <v>4</v>
      </c>
      <c r="D3" s="6">
        <v>2799.9999999999973</v>
      </c>
    </row>
    <row r="4" spans="1:4" x14ac:dyDescent="0.2">
      <c r="A4" s="4" t="s">
        <v>7</v>
      </c>
      <c r="B4" s="4">
        <v>1999</v>
      </c>
      <c r="C4" s="4" t="s">
        <v>4</v>
      </c>
      <c r="D4" s="6">
        <v>19900</v>
      </c>
    </row>
    <row r="5" spans="1:4" x14ac:dyDescent="0.2">
      <c r="A5" s="4" t="s">
        <v>8</v>
      </c>
      <c r="B5" s="4">
        <v>1999</v>
      </c>
      <c r="C5" s="4" t="s">
        <v>4</v>
      </c>
      <c r="D5" s="6">
        <v>73300</v>
      </c>
    </row>
    <row r="6" spans="1:4" x14ac:dyDescent="0.2">
      <c r="A6" s="4" t="s">
        <v>9</v>
      </c>
      <c r="B6" s="4">
        <v>1999</v>
      </c>
      <c r="C6" s="4" t="s">
        <v>4</v>
      </c>
      <c r="D6" s="6">
        <v>26400</v>
      </c>
    </row>
    <row r="7" spans="1:4" x14ac:dyDescent="0.2">
      <c r="A7" s="4" t="s">
        <v>10</v>
      </c>
      <c r="B7" s="4">
        <v>1999</v>
      </c>
      <c r="C7" s="4" t="s">
        <v>4</v>
      </c>
      <c r="D7" s="6">
        <v>12600</v>
      </c>
    </row>
    <row r="8" spans="1:4" x14ac:dyDescent="0.2">
      <c r="A8" s="4" t="s">
        <v>11</v>
      </c>
      <c r="B8" s="4">
        <v>1999</v>
      </c>
      <c r="C8" s="4" t="s">
        <v>4</v>
      </c>
      <c r="D8" s="6">
        <v>114800</v>
      </c>
    </row>
    <row r="9" spans="1:4" x14ac:dyDescent="0.2">
      <c r="A9" s="4" t="s">
        <v>12</v>
      </c>
      <c r="B9" s="4">
        <v>1999</v>
      </c>
      <c r="C9" s="4" t="s">
        <v>4</v>
      </c>
      <c r="D9" s="6">
        <v>133300</v>
      </c>
    </row>
    <row r="10" spans="1:4" x14ac:dyDescent="0.2">
      <c r="A10" s="4" t="s">
        <v>13</v>
      </c>
      <c r="B10" s="4">
        <v>1999</v>
      </c>
      <c r="C10" s="4" t="s">
        <v>4</v>
      </c>
      <c r="D10" s="6">
        <v>21500</v>
      </c>
    </row>
    <row r="11" spans="1:4" x14ac:dyDescent="0.2">
      <c r="A11" s="4" t="s">
        <v>14</v>
      </c>
      <c r="B11" s="4">
        <v>1999</v>
      </c>
      <c r="C11" s="4" t="s">
        <v>4</v>
      </c>
      <c r="D11" s="6">
        <v>63500</v>
      </c>
    </row>
    <row r="12" spans="1:4" x14ac:dyDescent="0.2">
      <c r="A12" s="4" t="s">
        <v>15</v>
      </c>
      <c r="B12" s="4">
        <v>1999</v>
      </c>
      <c r="C12" s="4" t="s">
        <v>4</v>
      </c>
      <c r="D12" s="6">
        <v>118200</v>
      </c>
    </row>
    <row r="13" spans="1:4" x14ac:dyDescent="0.2">
      <c r="A13" s="4" t="s">
        <v>16</v>
      </c>
      <c r="B13" s="4">
        <v>1999</v>
      </c>
      <c r="C13" s="4" t="s">
        <v>4</v>
      </c>
      <c r="D13" s="6">
        <v>39500</v>
      </c>
    </row>
    <row r="14" spans="1:4" x14ac:dyDescent="0.2">
      <c r="A14" s="4" t="s">
        <v>17</v>
      </c>
      <c r="B14" s="4">
        <v>1999</v>
      </c>
      <c r="C14" s="4" t="s">
        <v>4</v>
      </c>
      <c r="D14" s="6">
        <v>21800</v>
      </c>
    </row>
    <row r="15" spans="1:4" x14ac:dyDescent="0.2">
      <c r="A15" s="4" t="s">
        <v>18</v>
      </c>
      <c r="B15" s="4">
        <v>1999</v>
      </c>
      <c r="C15" s="4" t="s">
        <v>4</v>
      </c>
      <c r="D15" s="6">
        <v>9900</v>
      </c>
    </row>
    <row r="16" spans="1:4" x14ac:dyDescent="0.2">
      <c r="A16" s="4" t="s">
        <v>19</v>
      </c>
      <c r="B16" s="4">
        <v>1999</v>
      </c>
      <c r="C16" s="4" t="s">
        <v>4</v>
      </c>
      <c r="D16" s="6">
        <v>80600</v>
      </c>
    </row>
    <row r="17" spans="1:4" x14ac:dyDescent="0.2">
      <c r="A17" s="4" t="s">
        <v>20</v>
      </c>
      <c r="B17" s="4">
        <v>1999</v>
      </c>
      <c r="C17" s="4" t="s">
        <v>4</v>
      </c>
      <c r="D17" s="6">
        <v>21600</v>
      </c>
    </row>
    <row r="18" spans="1:4" x14ac:dyDescent="0.2">
      <c r="A18" s="4" t="s">
        <v>21</v>
      </c>
      <c r="B18" s="4">
        <v>1999</v>
      </c>
      <c r="C18" s="4" t="s">
        <v>4</v>
      </c>
      <c r="D18" s="6">
        <v>105400</v>
      </c>
    </row>
    <row r="19" spans="1:4" x14ac:dyDescent="0.2">
      <c r="A19" s="4" t="s">
        <v>22</v>
      </c>
      <c r="B19" s="4">
        <v>1999</v>
      </c>
      <c r="C19" s="4" t="s">
        <v>4</v>
      </c>
      <c r="D19" s="6">
        <v>42800</v>
      </c>
    </row>
    <row r="20" spans="1:4" x14ac:dyDescent="0.2">
      <c r="A20" s="4" t="s">
        <v>23</v>
      </c>
      <c r="B20" s="4">
        <v>1999</v>
      </c>
      <c r="C20" s="4" t="s">
        <v>4</v>
      </c>
      <c r="D20" s="6">
        <v>13900</v>
      </c>
    </row>
    <row r="21" spans="1:4" x14ac:dyDescent="0.2">
      <c r="A21" s="4" t="s">
        <v>24</v>
      </c>
      <c r="B21" s="4">
        <v>1999</v>
      </c>
      <c r="C21" s="4" t="s">
        <v>4</v>
      </c>
      <c r="D21" s="6">
        <v>21800.000000000004</v>
      </c>
    </row>
    <row r="22" spans="1:4" x14ac:dyDescent="0.2">
      <c r="A22" s="4" t="s">
        <v>25</v>
      </c>
      <c r="B22" s="4">
        <v>1999</v>
      </c>
      <c r="C22" s="4" t="s">
        <v>4</v>
      </c>
      <c r="D22" s="6">
        <v>52400</v>
      </c>
    </row>
    <row r="23" spans="1:4" x14ac:dyDescent="0.2">
      <c r="A23" s="4" t="s">
        <v>5</v>
      </c>
      <c r="B23" s="4">
        <v>2011</v>
      </c>
      <c r="C23" s="4" t="s">
        <v>4</v>
      </c>
      <c r="D23" s="6">
        <v>52300</v>
      </c>
    </row>
    <row r="24" spans="1:4" x14ac:dyDescent="0.2">
      <c r="A24" s="4" t="s">
        <v>6</v>
      </c>
      <c r="B24" s="4">
        <v>2011</v>
      </c>
      <c r="C24" s="4" t="s">
        <v>4</v>
      </c>
      <c r="D24" s="6">
        <v>2000</v>
      </c>
    </row>
    <row r="25" spans="1:4" x14ac:dyDescent="0.2">
      <c r="A25" s="4" t="s">
        <v>7</v>
      </c>
      <c r="B25" s="4">
        <v>2011</v>
      </c>
      <c r="C25" s="4" t="s">
        <v>4</v>
      </c>
      <c r="D25" s="6">
        <v>11800</v>
      </c>
    </row>
    <row r="26" spans="1:4" x14ac:dyDescent="0.2">
      <c r="A26" s="4" t="s">
        <v>8</v>
      </c>
      <c r="B26" s="4">
        <v>2011</v>
      </c>
      <c r="C26" s="4" t="s">
        <v>4</v>
      </c>
      <c r="D26" s="6">
        <v>50100</v>
      </c>
    </row>
    <row r="27" spans="1:4" x14ac:dyDescent="0.2">
      <c r="A27" s="4" t="s">
        <v>9</v>
      </c>
      <c r="B27" s="4">
        <v>2011</v>
      </c>
      <c r="C27" s="4" t="s">
        <v>4</v>
      </c>
      <c r="D27" s="6">
        <v>16900</v>
      </c>
    </row>
    <row r="28" spans="1:4" x14ac:dyDescent="0.2">
      <c r="A28" s="4" t="s">
        <v>10</v>
      </c>
      <c r="B28" s="4">
        <v>2011</v>
      </c>
      <c r="C28" s="4" t="s">
        <v>4</v>
      </c>
      <c r="D28" s="6">
        <v>7400</v>
      </c>
    </row>
    <row r="29" spans="1:4" x14ac:dyDescent="0.2">
      <c r="A29" s="4" t="s">
        <v>11</v>
      </c>
      <c r="B29" s="4">
        <v>2011</v>
      </c>
      <c r="C29" s="4" t="s">
        <v>4</v>
      </c>
      <c r="D29" s="6">
        <v>58900</v>
      </c>
    </row>
    <row r="30" spans="1:4" x14ac:dyDescent="0.2">
      <c r="A30" s="4" t="s">
        <v>12</v>
      </c>
      <c r="B30" s="4">
        <v>2011</v>
      </c>
      <c r="C30" s="4" t="s">
        <v>4</v>
      </c>
      <c r="D30" s="6">
        <v>104200</v>
      </c>
    </row>
    <row r="31" spans="1:4" x14ac:dyDescent="0.2">
      <c r="A31" s="4" t="s">
        <v>13</v>
      </c>
      <c r="B31" s="4">
        <v>2011</v>
      </c>
      <c r="C31" s="4" t="s">
        <v>4</v>
      </c>
      <c r="D31" s="6">
        <v>15000</v>
      </c>
    </row>
    <row r="32" spans="1:4" x14ac:dyDescent="0.2">
      <c r="A32" s="4" t="s">
        <v>14</v>
      </c>
      <c r="B32" s="4">
        <v>2011</v>
      </c>
      <c r="C32" s="4" t="s">
        <v>4</v>
      </c>
      <c r="D32" s="6">
        <v>60300</v>
      </c>
    </row>
    <row r="33" spans="1:4" x14ac:dyDescent="0.2">
      <c r="A33" s="4" t="s">
        <v>15</v>
      </c>
      <c r="B33" s="4">
        <v>2011</v>
      </c>
      <c r="C33" s="4" t="s">
        <v>4</v>
      </c>
      <c r="D33" s="6">
        <v>112200</v>
      </c>
    </row>
    <row r="34" spans="1:4" x14ac:dyDescent="0.2">
      <c r="A34" s="4" t="s">
        <v>16</v>
      </c>
      <c r="B34" s="4">
        <v>2011</v>
      </c>
      <c r="C34" s="4" t="s">
        <v>4</v>
      </c>
      <c r="D34" s="6">
        <v>30000</v>
      </c>
    </row>
    <row r="35" spans="1:4" x14ac:dyDescent="0.2">
      <c r="A35" s="4" t="s">
        <v>17</v>
      </c>
      <c r="B35" s="4">
        <v>2011</v>
      </c>
      <c r="C35" s="4" t="s">
        <v>4</v>
      </c>
      <c r="D35" s="6">
        <v>13300</v>
      </c>
    </row>
    <row r="36" spans="1:4" x14ac:dyDescent="0.2">
      <c r="A36" s="4" t="s">
        <v>18</v>
      </c>
      <c r="B36" s="4">
        <v>2011</v>
      </c>
      <c r="C36" s="4" t="s">
        <v>4</v>
      </c>
      <c r="D36" s="6">
        <v>8400</v>
      </c>
    </row>
    <row r="37" spans="1:4" x14ac:dyDescent="0.2">
      <c r="A37" s="4" t="s">
        <v>19</v>
      </c>
      <c r="B37" s="4">
        <v>2011</v>
      </c>
      <c r="C37" s="4" t="s">
        <v>4</v>
      </c>
      <c r="D37" s="6">
        <v>63300</v>
      </c>
    </row>
    <row r="38" spans="1:4" x14ac:dyDescent="0.2">
      <c r="A38" s="4" t="s">
        <v>20</v>
      </c>
      <c r="B38" s="4">
        <v>2011</v>
      </c>
      <c r="C38" s="4" t="s">
        <v>4</v>
      </c>
      <c r="D38" s="6">
        <v>9600</v>
      </c>
    </row>
    <row r="39" spans="1:4" x14ac:dyDescent="0.2">
      <c r="A39" s="4" t="s">
        <v>21</v>
      </c>
      <c r="B39" s="4">
        <v>2011</v>
      </c>
      <c r="C39" s="4" t="s">
        <v>4</v>
      </c>
      <c r="D39" s="6">
        <v>63900</v>
      </c>
    </row>
    <row r="40" spans="1:4" x14ac:dyDescent="0.2">
      <c r="A40" s="4" t="s">
        <v>22</v>
      </c>
      <c r="B40" s="4">
        <v>2011</v>
      </c>
      <c r="C40" s="4" t="s">
        <v>4</v>
      </c>
      <c r="D40" s="6">
        <v>44900</v>
      </c>
    </row>
    <row r="41" spans="1:4" x14ac:dyDescent="0.2">
      <c r="A41" s="4" t="s">
        <v>23</v>
      </c>
      <c r="B41" s="4">
        <v>2011</v>
      </c>
      <c r="C41" s="4" t="s">
        <v>4</v>
      </c>
      <c r="D41" s="6">
        <v>10900</v>
      </c>
    </row>
    <row r="42" spans="1:4" x14ac:dyDescent="0.2">
      <c r="A42" s="4" t="s">
        <v>24</v>
      </c>
      <c r="B42" s="4">
        <v>2011</v>
      </c>
      <c r="C42" s="4" t="s">
        <v>4</v>
      </c>
      <c r="D42" s="6">
        <v>13900</v>
      </c>
    </row>
    <row r="43" spans="1:4" x14ac:dyDescent="0.2">
      <c r="A43" s="4" t="s">
        <v>25</v>
      </c>
      <c r="B43" s="4">
        <v>2011</v>
      </c>
      <c r="C43" s="4" t="s">
        <v>4</v>
      </c>
      <c r="D43" s="6">
        <v>31900</v>
      </c>
    </row>
    <row r="44" spans="1:4" x14ac:dyDescent="0.2">
      <c r="A44" s="4" t="s">
        <v>5</v>
      </c>
      <c r="B44" s="4">
        <v>2012</v>
      </c>
      <c r="C44" s="4" t="s">
        <v>4</v>
      </c>
      <c r="D44" s="6">
        <v>49100</v>
      </c>
    </row>
    <row r="45" spans="1:4" x14ac:dyDescent="0.2">
      <c r="A45" s="4" t="s">
        <v>6</v>
      </c>
      <c r="B45" s="4">
        <v>2012</v>
      </c>
      <c r="C45" s="4" t="s">
        <v>4</v>
      </c>
      <c r="D45" s="6">
        <v>2100</v>
      </c>
    </row>
    <row r="46" spans="1:4" x14ac:dyDescent="0.2">
      <c r="A46" s="4" t="s">
        <v>7</v>
      </c>
      <c r="B46" s="4">
        <v>2012</v>
      </c>
      <c r="C46" s="4" t="s">
        <v>4</v>
      </c>
      <c r="D46" s="6">
        <v>12600</v>
      </c>
    </row>
    <row r="47" spans="1:4" x14ac:dyDescent="0.2">
      <c r="A47" s="4" t="s">
        <v>8</v>
      </c>
      <c r="B47" s="4">
        <v>2012</v>
      </c>
      <c r="C47" s="4" t="s">
        <v>4</v>
      </c>
      <c r="D47" s="6">
        <v>51400</v>
      </c>
    </row>
    <row r="48" spans="1:4" x14ac:dyDescent="0.2">
      <c r="A48" s="4" t="s">
        <v>9</v>
      </c>
      <c r="B48" s="4">
        <v>2012</v>
      </c>
      <c r="C48" s="4" t="s">
        <v>4</v>
      </c>
      <c r="D48" s="6">
        <v>11900</v>
      </c>
    </row>
    <row r="49" spans="1:4" x14ac:dyDescent="0.2">
      <c r="A49" s="4" t="s">
        <v>10</v>
      </c>
      <c r="B49" s="4">
        <v>2012</v>
      </c>
      <c r="C49" s="4" t="s">
        <v>4</v>
      </c>
      <c r="D49" s="6">
        <v>6700</v>
      </c>
    </row>
    <row r="50" spans="1:4" x14ac:dyDescent="0.2">
      <c r="A50" s="4" t="s">
        <v>11</v>
      </c>
      <c r="B50" s="4">
        <v>2012</v>
      </c>
      <c r="C50" s="4" t="s">
        <v>4</v>
      </c>
      <c r="D50" s="6">
        <v>61200</v>
      </c>
    </row>
    <row r="51" spans="1:4" x14ac:dyDescent="0.2">
      <c r="A51" s="4" t="s">
        <v>12</v>
      </c>
      <c r="B51" s="4">
        <v>2012</v>
      </c>
      <c r="C51" s="4" t="s">
        <v>4</v>
      </c>
      <c r="D51" s="6">
        <v>106000</v>
      </c>
    </row>
    <row r="52" spans="1:4" x14ac:dyDescent="0.2">
      <c r="A52" s="4" t="s">
        <v>13</v>
      </c>
      <c r="B52" s="4">
        <v>2012</v>
      </c>
      <c r="C52" s="4" t="s">
        <v>4</v>
      </c>
      <c r="D52" s="6">
        <v>13800</v>
      </c>
    </row>
    <row r="53" spans="1:4" x14ac:dyDescent="0.2">
      <c r="A53" s="4" t="s">
        <v>14</v>
      </c>
      <c r="B53" s="4">
        <v>2012</v>
      </c>
      <c r="C53" s="4" t="s">
        <v>4</v>
      </c>
      <c r="D53" s="6">
        <v>56600</v>
      </c>
    </row>
    <row r="54" spans="1:4" x14ac:dyDescent="0.2">
      <c r="A54" s="4" t="s">
        <v>15</v>
      </c>
      <c r="B54" s="4">
        <v>2012</v>
      </c>
      <c r="C54" s="4" t="s">
        <v>4</v>
      </c>
      <c r="D54" s="6">
        <v>113000</v>
      </c>
    </row>
    <row r="55" spans="1:4" x14ac:dyDescent="0.2">
      <c r="A55" s="4" t="s">
        <v>16</v>
      </c>
      <c r="B55" s="4">
        <v>2012</v>
      </c>
      <c r="C55" s="4" t="s">
        <v>4</v>
      </c>
      <c r="D55" s="6">
        <v>32100</v>
      </c>
    </row>
    <row r="56" spans="1:4" x14ac:dyDescent="0.2">
      <c r="A56" s="4" t="s">
        <v>17</v>
      </c>
      <c r="B56" s="4">
        <v>2012</v>
      </c>
      <c r="C56" s="4" t="s">
        <v>4</v>
      </c>
      <c r="D56" s="6">
        <v>14200</v>
      </c>
    </row>
    <row r="57" spans="1:4" x14ac:dyDescent="0.2">
      <c r="A57" s="4" t="s">
        <v>18</v>
      </c>
      <c r="B57" s="4">
        <v>2012</v>
      </c>
      <c r="C57" s="4" t="s">
        <v>4</v>
      </c>
      <c r="D57" s="6">
        <v>8100</v>
      </c>
    </row>
    <row r="58" spans="1:4" x14ac:dyDescent="0.2">
      <c r="A58" s="4" t="s">
        <v>19</v>
      </c>
      <c r="B58" s="4">
        <v>2012</v>
      </c>
      <c r="C58" s="4" t="s">
        <v>4</v>
      </c>
      <c r="D58" s="6">
        <v>70600</v>
      </c>
    </row>
    <row r="59" spans="1:4" x14ac:dyDescent="0.2">
      <c r="A59" s="4" t="s">
        <v>20</v>
      </c>
      <c r="B59" s="4">
        <v>2012</v>
      </c>
      <c r="C59" s="4" t="s">
        <v>4</v>
      </c>
      <c r="D59" s="6">
        <v>9500</v>
      </c>
    </row>
    <row r="60" spans="1:4" x14ac:dyDescent="0.2">
      <c r="A60" s="4" t="s">
        <v>21</v>
      </c>
      <c r="B60" s="4">
        <v>2012</v>
      </c>
      <c r="C60" s="4" t="s">
        <v>4</v>
      </c>
      <c r="D60" s="6">
        <v>62100</v>
      </c>
    </row>
    <row r="61" spans="1:4" x14ac:dyDescent="0.2">
      <c r="A61" s="4" t="s">
        <v>22</v>
      </c>
      <c r="B61" s="4">
        <v>2012</v>
      </c>
      <c r="C61" s="4" t="s">
        <v>4</v>
      </c>
      <c r="D61" s="6">
        <v>40900</v>
      </c>
    </row>
    <row r="62" spans="1:4" x14ac:dyDescent="0.2">
      <c r="A62" s="4" t="s">
        <v>23</v>
      </c>
      <c r="B62" s="4">
        <v>2012</v>
      </c>
      <c r="C62" s="4" t="s">
        <v>4</v>
      </c>
      <c r="D62" s="6">
        <v>9500</v>
      </c>
    </row>
    <row r="63" spans="1:4" x14ac:dyDescent="0.2">
      <c r="A63" s="4" t="s">
        <v>24</v>
      </c>
      <c r="B63" s="4">
        <v>2012</v>
      </c>
      <c r="C63" s="4" t="s">
        <v>4</v>
      </c>
      <c r="D63" s="6">
        <v>12900</v>
      </c>
    </row>
    <row r="64" spans="1:4" x14ac:dyDescent="0.2">
      <c r="A64" s="4" t="s">
        <v>25</v>
      </c>
      <c r="B64" s="4">
        <v>2012</v>
      </c>
      <c r="C64" s="4" t="s">
        <v>4</v>
      </c>
      <c r="D64" s="6">
        <v>34400</v>
      </c>
    </row>
    <row r="65" spans="1:4" x14ac:dyDescent="0.2">
      <c r="A65" s="4" t="s">
        <v>5</v>
      </c>
      <c r="B65" s="4">
        <v>2019</v>
      </c>
      <c r="C65" s="4" t="s">
        <v>4</v>
      </c>
      <c r="D65" s="6">
        <v>55500</v>
      </c>
    </row>
    <row r="66" spans="1:4" x14ac:dyDescent="0.2">
      <c r="A66" s="4" t="s">
        <v>6</v>
      </c>
      <c r="B66" s="4">
        <v>2019</v>
      </c>
      <c r="C66" s="4" t="s">
        <v>4</v>
      </c>
      <c r="D66" s="6">
        <v>1700</v>
      </c>
    </row>
    <row r="67" spans="1:4" x14ac:dyDescent="0.2">
      <c r="A67" s="4" t="s">
        <v>7</v>
      </c>
      <c r="B67" s="4">
        <v>2019</v>
      </c>
      <c r="C67" s="4" t="s">
        <v>4</v>
      </c>
      <c r="D67" s="6">
        <v>10700</v>
      </c>
    </row>
    <row r="68" spans="1:4" x14ac:dyDescent="0.2">
      <c r="A68" s="4" t="s">
        <v>8</v>
      </c>
      <c r="B68" s="4">
        <v>2019</v>
      </c>
      <c r="C68" s="4" t="s">
        <v>4</v>
      </c>
      <c r="D68" s="6">
        <v>54400</v>
      </c>
    </row>
    <row r="69" spans="1:4" x14ac:dyDescent="0.2">
      <c r="A69" s="4" t="s">
        <v>9</v>
      </c>
      <c r="B69" s="4">
        <v>2019</v>
      </c>
      <c r="C69" s="4" t="s">
        <v>4</v>
      </c>
      <c r="D69" s="6">
        <v>19500</v>
      </c>
    </row>
    <row r="70" spans="1:4" x14ac:dyDescent="0.2">
      <c r="A70" s="4" t="s">
        <v>10</v>
      </c>
      <c r="B70" s="4">
        <v>2019</v>
      </c>
      <c r="C70" s="4" t="s">
        <v>4</v>
      </c>
      <c r="D70" s="6">
        <v>6300</v>
      </c>
    </row>
    <row r="71" spans="1:4" x14ac:dyDescent="0.2">
      <c r="A71" s="4" t="s">
        <v>11</v>
      </c>
      <c r="B71" s="4">
        <v>2019</v>
      </c>
      <c r="C71" s="4" t="s">
        <v>4</v>
      </c>
      <c r="D71" s="6">
        <v>67100</v>
      </c>
    </row>
    <row r="72" spans="1:4" x14ac:dyDescent="0.2">
      <c r="A72" s="4" t="s">
        <v>12</v>
      </c>
      <c r="B72" s="4">
        <v>2019</v>
      </c>
      <c r="C72" s="4" t="s">
        <v>4</v>
      </c>
      <c r="D72" s="6">
        <v>101500</v>
      </c>
    </row>
    <row r="73" spans="1:4" x14ac:dyDescent="0.2">
      <c r="A73" s="4" t="s">
        <v>13</v>
      </c>
      <c r="B73" s="4">
        <v>2019</v>
      </c>
      <c r="C73" s="4" t="s">
        <v>4</v>
      </c>
      <c r="D73" s="6">
        <v>16500</v>
      </c>
    </row>
    <row r="74" spans="1:4" x14ac:dyDescent="0.2">
      <c r="A74" s="4" t="s">
        <v>14</v>
      </c>
      <c r="B74" s="4">
        <v>2019</v>
      </c>
      <c r="C74" s="4" t="s">
        <v>4</v>
      </c>
      <c r="D74" s="6">
        <v>65000</v>
      </c>
    </row>
    <row r="75" spans="1:4" x14ac:dyDescent="0.2">
      <c r="A75" s="4" t="s">
        <v>15</v>
      </c>
      <c r="B75" s="4">
        <v>2019</v>
      </c>
      <c r="C75" s="4" t="s">
        <v>4</v>
      </c>
      <c r="D75" s="6">
        <v>116700</v>
      </c>
    </row>
    <row r="76" spans="1:4" x14ac:dyDescent="0.2">
      <c r="A76" s="4" t="s">
        <v>16</v>
      </c>
      <c r="B76" s="4">
        <v>2019</v>
      </c>
      <c r="C76" s="4" t="s">
        <v>4</v>
      </c>
      <c r="D76" s="6">
        <v>30700</v>
      </c>
    </row>
    <row r="77" spans="1:4" x14ac:dyDescent="0.2">
      <c r="A77" s="4" t="s">
        <v>17</v>
      </c>
      <c r="B77" s="4">
        <v>2019</v>
      </c>
      <c r="C77" s="4" t="s">
        <v>4</v>
      </c>
      <c r="D77" s="6">
        <v>15700</v>
      </c>
    </row>
    <row r="78" spans="1:4" x14ac:dyDescent="0.2">
      <c r="A78" s="4" t="s">
        <v>18</v>
      </c>
      <c r="B78" s="4">
        <v>2019</v>
      </c>
      <c r="C78" s="4" t="s">
        <v>4</v>
      </c>
      <c r="D78" s="6">
        <v>9500</v>
      </c>
    </row>
    <row r="79" spans="1:4" x14ac:dyDescent="0.2">
      <c r="A79" s="4" t="s">
        <v>19</v>
      </c>
      <c r="B79" s="4">
        <v>2019</v>
      </c>
      <c r="C79" s="4" t="s">
        <v>4</v>
      </c>
      <c r="D79" s="6">
        <v>56700</v>
      </c>
    </row>
    <row r="80" spans="1:4" x14ac:dyDescent="0.2">
      <c r="A80" s="4" t="s">
        <v>20</v>
      </c>
      <c r="B80" s="4">
        <v>2019</v>
      </c>
      <c r="C80" s="4" t="s">
        <v>4</v>
      </c>
      <c r="D80" s="6">
        <v>16000</v>
      </c>
    </row>
    <row r="81" spans="1:4" x14ac:dyDescent="0.2">
      <c r="A81" s="4" t="s">
        <v>21</v>
      </c>
      <c r="B81" s="4">
        <v>2019</v>
      </c>
      <c r="C81" s="4" t="s">
        <v>4</v>
      </c>
      <c r="D81" s="6">
        <v>66000</v>
      </c>
    </row>
    <row r="82" spans="1:4" x14ac:dyDescent="0.2">
      <c r="A82" s="4" t="s">
        <v>22</v>
      </c>
      <c r="B82" s="4">
        <v>2019</v>
      </c>
      <c r="C82" s="4" t="s">
        <v>4</v>
      </c>
      <c r="D82" s="6">
        <v>43900</v>
      </c>
    </row>
    <row r="83" spans="1:4" x14ac:dyDescent="0.2">
      <c r="A83" s="4" t="s">
        <v>23</v>
      </c>
      <c r="B83" s="4">
        <v>2019</v>
      </c>
      <c r="C83" s="4" t="s">
        <v>4</v>
      </c>
      <c r="D83" s="6">
        <v>14600</v>
      </c>
    </row>
    <row r="84" spans="1:4" x14ac:dyDescent="0.2">
      <c r="A84" s="4" t="s">
        <v>24</v>
      </c>
      <c r="B84" s="4">
        <v>2019</v>
      </c>
      <c r="C84" s="4" t="s">
        <v>4</v>
      </c>
      <c r="D84" s="6">
        <v>15100</v>
      </c>
    </row>
    <row r="85" spans="1:4" x14ac:dyDescent="0.2">
      <c r="A85" s="4" t="s">
        <v>25</v>
      </c>
      <c r="B85" s="4">
        <v>2019</v>
      </c>
      <c r="C85" s="4" t="s">
        <v>4</v>
      </c>
      <c r="D85" s="6">
        <v>48900</v>
      </c>
    </row>
    <row r="86" spans="1:4" x14ac:dyDescent="0.2">
      <c r="A86" s="4" t="s">
        <v>5</v>
      </c>
      <c r="B86" s="4">
        <v>1999</v>
      </c>
      <c r="C86" s="4" t="s">
        <v>26</v>
      </c>
      <c r="D86" s="6">
        <v>575200</v>
      </c>
    </row>
    <row r="87" spans="1:4" x14ac:dyDescent="0.2">
      <c r="A87" s="4" t="s">
        <v>6</v>
      </c>
      <c r="B87" s="4">
        <v>1999</v>
      </c>
      <c r="C87" s="4" t="s">
        <v>26</v>
      </c>
      <c r="D87" s="6">
        <v>6400</v>
      </c>
    </row>
    <row r="88" spans="1:4" x14ac:dyDescent="0.2">
      <c r="A88" s="4" t="s">
        <v>7</v>
      </c>
      <c r="B88" s="4">
        <v>1999</v>
      </c>
      <c r="C88" s="4" t="s">
        <v>26</v>
      </c>
      <c r="D88" s="6">
        <v>92500</v>
      </c>
    </row>
    <row r="89" spans="1:4" x14ac:dyDescent="0.2">
      <c r="A89" s="4" t="s">
        <v>8</v>
      </c>
      <c r="B89" s="4">
        <v>1999</v>
      </c>
      <c r="C89" s="4" t="s">
        <v>26</v>
      </c>
      <c r="D89" s="6">
        <v>1268400</v>
      </c>
    </row>
    <row r="90" spans="1:4" x14ac:dyDescent="0.2">
      <c r="A90" s="4" t="s">
        <v>9</v>
      </c>
      <c r="B90" s="4">
        <v>1999</v>
      </c>
      <c r="C90" s="4" t="s">
        <v>26</v>
      </c>
      <c r="D90" s="6">
        <v>111500</v>
      </c>
    </row>
    <row r="91" spans="1:4" x14ac:dyDescent="0.2">
      <c r="A91" s="4" t="s">
        <v>10</v>
      </c>
      <c r="B91" s="4">
        <v>1999</v>
      </c>
      <c r="C91" s="4" t="s">
        <v>26</v>
      </c>
      <c r="D91" s="6">
        <v>19300</v>
      </c>
    </row>
    <row r="92" spans="1:4" x14ac:dyDescent="0.2">
      <c r="A92" s="4" t="s">
        <v>11</v>
      </c>
      <c r="B92" s="4">
        <v>1999</v>
      </c>
      <c r="C92" s="4" t="s">
        <v>26</v>
      </c>
      <c r="D92" s="6">
        <v>247400</v>
      </c>
    </row>
    <row r="93" spans="1:4" x14ac:dyDescent="0.2">
      <c r="A93" s="4" t="s">
        <v>12</v>
      </c>
      <c r="B93" s="4">
        <v>1999</v>
      </c>
      <c r="C93" s="4" t="s">
        <v>26</v>
      </c>
      <c r="D93" s="6">
        <v>200700</v>
      </c>
    </row>
    <row r="94" spans="1:4" x14ac:dyDescent="0.2">
      <c r="A94" s="4" t="s">
        <v>13</v>
      </c>
      <c r="B94" s="4">
        <v>1999</v>
      </c>
      <c r="C94" s="4" t="s">
        <v>26</v>
      </c>
      <c r="D94" s="6">
        <v>34300</v>
      </c>
    </row>
    <row r="95" spans="1:4" x14ac:dyDescent="0.2">
      <c r="A95" s="4" t="s">
        <v>14</v>
      </c>
      <c r="B95" s="4">
        <v>1999</v>
      </c>
      <c r="C95" s="4" t="s">
        <v>26</v>
      </c>
      <c r="D95" s="6">
        <v>39200</v>
      </c>
    </row>
    <row r="96" spans="1:4" x14ac:dyDescent="0.2">
      <c r="A96" s="4" t="s">
        <v>15</v>
      </c>
      <c r="B96" s="4">
        <v>1999</v>
      </c>
      <c r="C96" s="4" t="s">
        <v>26</v>
      </c>
      <c r="D96" s="6">
        <v>125400</v>
      </c>
    </row>
    <row r="97" spans="1:4" x14ac:dyDescent="0.2">
      <c r="A97" s="4" t="s">
        <v>16</v>
      </c>
      <c r="B97" s="4">
        <v>1999</v>
      </c>
      <c r="C97" s="4" t="s">
        <v>26</v>
      </c>
      <c r="D97" s="6">
        <v>59400</v>
      </c>
    </row>
    <row r="98" spans="1:4" x14ac:dyDescent="0.2">
      <c r="A98" s="4" t="s">
        <v>17</v>
      </c>
      <c r="B98" s="4">
        <v>1999</v>
      </c>
      <c r="C98" s="4" t="s">
        <v>26</v>
      </c>
      <c r="D98" s="6">
        <v>34800</v>
      </c>
    </row>
    <row r="99" spans="1:4" x14ac:dyDescent="0.2">
      <c r="A99" s="4" t="s">
        <v>18</v>
      </c>
      <c r="B99" s="4">
        <v>1999</v>
      </c>
      <c r="C99" s="4" t="s">
        <v>26</v>
      </c>
      <c r="D99" s="6">
        <v>36100</v>
      </c>
    </row>
    <row r="100" spans="1:4" x14ac:dyDescent="0.2">
      <c r="A100" s="4" t="s">
        <v>19</v>
      </c>
      <c r="B100" s="4">
        <v>1999</v>
      </c>
      <c r="C100" s="4" t="s">
        <v>26</v>
      </c>
      <c r="D100" s="6">
        <v>681100</v>
      </c>
    </row>
    <row r="101" spans="1:4" x14ac:dyDescent="0.2">
      <c r="A101" s="4" t="s">
        <v>20</v>
      </c>
      <c r="B101" s="4">
        <v>1999</v>
      </c>
      <c r="C101" s="4" t="s">
        <v>26</v>
      </c>
      <c r="D101" s="6">
        <v>124800</v>
      </c>
    </row>
    <row r="102" spans="1:4" x14ac:dyDescent="0.2">
      <c r="A102" s="4" t="s">
        <v>21</v>
      </c>
      <c r="B102" s="4">
        <v>1999</v>
      </c>
      <c r="C102" s="4" t="s">
        <v>26</v>
      </c>
      <c r="D102" s="6">
        <v>520100.00000000023</v>
      </c>
    </row>
    <row r="103" spans="1:4" x14ac:dyDescent="0.2">
      <c r="A103" s="4" t="s">
        <v>22</v>
      </c>
      <c r="B103" s="4">
        <v>1999</v>
      </c>
      <c r="C103" s="4" t="s">
        <v>26</v>
      </c>
      <c r="D103" s="6">
        <v>383800</v>
      </c>
    </row>
    <row r="104" spans="1:4" x14ac:dyDescent="0.2">
      <c r="A104" s="4" t="s">
        <v>23</v>
      </c>
      <c r="B104" s="4">
        <v>1999</v>
      </c>
      <c r="C104" s="4" t="s">
        <v>26</v>
      </c>
      <c r="D104" s="6">
        <v>76300</v>
      </c>
    </row>
    <row r="105" spans="1:4" x14ac:dyDescent="0.2">
      <c r="A105" s="4" t="s">
        <v>24</v>
      </c>
      <c r="B105" s="4">
        <v>1999</v>
      </c>
      <c r="C105" s="4" t="s">
        <v>26</v>
      </c>
      <c r="D105" s="6">
        <v>197799.99999999994</v>
      </c>
    </row>
    <row r="106" spans="1:4" x14ac:dyDescent="0.2">
      <c r="A106" s="4" t="s">
        <v>25</v>
      </c>
      <c r="B106" s="4">
        <v>1999</v>
      </c>
      <c r="C106" s="4" t="s">
        <v>26</v>
      </c>
      <c r="D106" s="6">
        <v>231500</v>
      </c>
    </row>
    <row r="107" spans="1:4" x14ac:dyDescent="0.2">
      <c r="A107" s="4" t="s">
        <v>5</v>
      </c>
      <c r="B107" s="4">
        <v>2011</v>
      </c>
      <c r="C107" s="4" t="s">
        <v>26</v>
      </c>
      <c r="D107" s="6">
        <v>475000</v>
      </c>
    </row>
    <row r="108" spans="1:4" x14ac:dyDescent="0.2">
      <c r="A108" s="4" t="s">
        <v>6</v>
      </c>
      <c r="B108" s="4">
        <v>2011</v>
      </c>
      <c r="C108" s="4" t="s">
        <v>26</v>
      </c>
      <c r="D108" s="6">
        <v>5400</v>
      </c>
    </row>
    <row r="109" spans="1:4" x14ac:dyDescent="0.2">
      <c r="A109" s="4" t="s">
        <v>7</v>
      </c>
      <c r="B109" s="4">
        <v>2011</v>
      </c>
      <c r="C109" s="4" t="s">
        <v>26</v>
      </c>
      <c r="D109" s="6">
        <v>74400</v>
      </c>
    </row>
    <row r="110" spans="1:4" x14ac:dyDescent="0.2">
      <c r="A110" s="4" t="s">
        <v>8</v>
      </c>
      <c r="B110" s="4">
        <v>2011</v>
      </c>
      <c r="C110" s="4" t="s">
        <v>26</v>
      </c>
      <c r="D110" s="6">
        <v>1097300</v>
      </c>
    </row>
    <row r="111" spans="1:4" x14ac:dyDescent="0.2">
      <c r="A111" s="4" t="s">
        <v>9</v>
      </c>
      <c r="B111" s="4">
        <v>2011</v>
      </c>
      <c r="C111" s="4" t="s">
        <v>26</v>
      </c>
      <c r="D111" s="6">
        <v>108500</v>
      </c>
    </row>
    <row r="112" spans="1:4" x14ac:dyDescent="0.2">
      <c r="A112" s="4" t="s">
        <v>10</v>
      </c>
      <c r="B112" s="4">
        <v>2011</v>
      </c>
      <c r="C112" s="4" t="s">
        <v>26</v>
      </c>
      <c r="D112" s="6">
        <v>20100</v>
      </c>
    </row>
    <row r="113" spans="1:4" x14ac:dyDescent="0.2">
      <c r="A113" s="4" t="s">
        <v>11</v>
      </c>
      <c r="B113" s="4">
        <v>2011</v>
      </c>
      <c r="C113" s="4" t="s">
        <v>26</v>
      </c>
      <c r="D113" s="6">
        <v>207800</v>
      </c>
    </row>
    <row r="114" spans="1:4" x14ac:dyDescent="0.2">
      <c r="A114" s="4" t="s">
        <v>12</v>
      </c>
      <c r="B114" s="4">
        <v>2011</v>
      </c>
      <c r="C114" s="4" t="s">
        <v>26</v>
      </c>
      <c r="D114" s="6">
        <v>187800</v>
      </c>
    </row>
    <row r="115" spans="1:4" x14ac:dyDescent="0.2">
      <c r="A115" s="4" t="s">
        <v>13</v>
      </c>
      <c r="B115" s="4">
        <v>2011</v>
      </c>
      <c r="C115" s="4" t="s">
        <v>26</v>
      </c>
      <c r="D115" s="6">
        <v>31200</v>
      </c>
    </row>
    <row r="116" spans="1:4" x14ac:dyDescent="0.2">
      <c r="A116" s="4" t="s">
        <v>14</v>
      </c>
      <c r="B116" s="4">
        <v>2011</v>
      </c>
      <c r="C116" s="4" t="s">
        <v>26</v>
      </c>
      <c r="D116" s="6">
        <v>44000</v>
      </c>
    </row>
    <row r="117" spans="1:4" x14ac:dyDescent="0.2">
      <c r="A117" s="4" t="s">
        <v>15</v>
      </c>
      <c r="B117" s="4">
        <v>2011</v>
      </c>
      <c r="C117" s="4" t="s">
        <v>26</v>
      </c>
      <c r="D117" s="6">
        <v>132200</v>
      </c>
    </row>
    <row r="118" spans="1:4" x14ac:dyDescent="0.2">
      <c r="A118" s="4" t="s">
        <v>16</v>
      </c>
      <c r="B118" s="4">
        <v>2011</v>
      </c>
      <c r="C118" s="4" t="s">
        <v>26</v>
      </c>
      <c r="D118" s="6">
        <v>59200</v>
      </c>
    </row>
    <row r="119" spans="1:4" x14ac:dyDescent="0.2">
      <c r="A119" s="4" t="s">
        <v>17</v>
      </c>
      <c r="B119" s="4">
        <v>2011</v>
      </c>
      <c r="C119" s="4" t="s">
        <v>26</v>
      </c>
      <c r="D119" s="6">
        <v>33400</v>
      </c>
    </row>
    <row r="120" spans="1:4" x14ac:dyDescent="0.2">
      <c r="A120" s="4" t="s">
        <v>18</v>
      </c>
      <c r="B120" s="4">
        <v>2011</v>
      </c>
      <c r="C120" s="4" t="s">
        <v>26</v>
      </c>
      <c r="D120" s="6">
        <v>41400</v>
      </c>
    </row>
    <row r="121" spans="1:4" x14ac:dyDescent="0.2">
      <c r="A121" s="4" t="s">
        <v>19</v>
      </c>
      <c r="B121" s="4">
        <v>2011</v>
      </c>
      <c r="C121" s="4" t="s">
        <v>26</v>
      </c>
      <c r="D121" s="6">
        <v>599800</v>
      </c>
    </row>
    <row r="122" spans="1:4" x14ac:dyDescent="0.2">
      <c r="A122" s="4" t="s">
        <v>20</v>
      </c>
      <c r="B122" s="4">
        <v>2011</v>
      </c>
      <c r="C122" s="4" t="s">
        <v>26</v>
      </c>
      <c r="D122" s="6">
        <v>131800</v>
      </c>
    </row>
    <row r="123" spans="1:4" x14ac:dyDescent="0.2">
      <c r="A123" s="4" t="s">
        <v>21</v>
      </c>
      <c r="B123" s="4">
        <v>2011</v>
      </c>
      <c r="C123" s="4" t="s">
        <v>26</v>
      </c>
      <c r="D123" s="6">
        <v>520600</v>
      </c>
    </row>
    <row r="124" spans="1:4" x14ac:dyDescent="0.2">
      <c r="A124" s="4" t="s">
        <v>22</v>
      </c>
      <c r="B124" s="4">
        <v>2011</v>
      </c>
      <c r="C124" s="4" t="s">
        <v>26</v>
      </c>
      <c r="D124" s="6">
        <v>290700</v>
      </c>
    </row>
    <row r="125" spans="1:4" x14ac:dyDescent="0.2">
      <c r="A125" s="4" t="s">
        <v>23</v>
      </c>
      <c r="B125" s="4">
        <v>2011</v>
      </c>
      <c r="C125" s="4" t="s">
        <v>26</v>
      </c>
      <c r="D125" s="6">
        <v>74500</v>
      </c>
    </row>
    <row r="126" spans="1:4" x14ac:dyDescent="0.2">
      <c r="A126" s="4" t="s">
        <v>24</v>
      </c>
      <c r="B126" s="4">
        <v>2011</v>
      </c>
      <c r="C126" s="4" t="s">
        <v>26</v>
      </c>
      <c r="D126" s="6">
        <v>185300</v>
      </c>
    </row>
    <row r="127" spans="1:4" x14ac:dyDescent="0.2">
      <c r="A127" s="4" t="s">
        <v>25</v>
      </c>
      <c r="B127" s="4">
        <v>2011</v>
      </c>
      <c r="C127" s="4" t="s">
        <v>26</v>
      </c>
      <c r="D127" s="6">
        <v>234200</v>
      </c>
    </row>
    <row r="128" spans="1:4" x14ac:dyDescent="0.2">
      <c r="A128" s="4" t="s">
        <v>5</v>
      </c>
      <c r="B128" s="4">
        <v>2012</v>
      </c>
      <c r="C128" s="4" t="s">
        <v>26</v>
      </c>
      <c r="D128" s="6">
        <v>455000</v>
      </c>
    </row>
    <row r="129" spans="1:4" x14ac:dyDescent="0.2">
      <c r="A129" s="4" t="s">
        <v>6</v>
      </c>
      <c r="B129" s="4">
        <v>2012</v>
      </c>
      <c r="C129" s="4" t="s">
        <v>26</v>
      </c>
      <c r="D129" s="6">
        <v>5800</v>
      </c>
    </row>
    <row r="130" spans="1:4" x14ac:dyDescent="0.2">
      <c r="A130" s="4" t="s">
        <v>7</v>
      </c>
      <c r="B130" s="4">
        <v>2012</v>
      </c>
      <c r="C130" s="4" t="s">
        <v>26</v>
      </c>
      <c r="D130" s="6">
        <v>72500</v>
      </c>
    </row>
    <row r="131" spans="1:4" x14ac:dyDescent="0.2">
      <c r="A131" s="4" t="s">
        <v>8</v>
      </c>
      <c r="B131" s="4">
        <v>2012</v>
      </c>
      <c r="C131" s="4" t="s">
        <v>26</v>
      </c>
      <c r="D131" s="6">
        <v>1101200</v>
      </c>
    </row>
    <row r="132" spans="1:4" x14ac:dyDescent="0.2">
      <c r="A132" s="4" t="s">
        <v>9</v>
      </c>
      <c r="B132" s="4">
        <v>2012</v>
      </c>
      <c r="C132" s="4" t="s">
        <v>26</v>
      </c>
      <c r="D132" s="6">
        <v>110400</v>
      </c>
    </row>
    <row r="133" spans="1:4" x14ac:dyDescent="0.2">
      <c r="A133" s="4" t="s">
        <v>10</v>
      </c>
      <c r="B133" s="4">
        <v>2012</v>
      </c>
      <c r="C133" s="4" t="s">
        <v>26</v>
      </c>
      <c r="D133" s="6">
        <v>18600</v>
      </c>
    </row>
    <row r="134" spans="1:4" x14ac:dyDescent="0.2">
      <c r="A134" s="4" t="s">
        <v>11</v>
      </c>
      <c r="B134" s="4">
        <v>2012</v>
      </c>
      <c r="C134" s="4" t="s">
        <v>26</v>
      </c>
      <c r="D134" s="6">
        <v>218800</v>
      </c>
    </row>
    <row r="135" spans="1:4" x14ac:dyDescent="0.2">
      <c r="A135" s="4" t="s">
        <v>12</v>
      </c>
      <c r="B135" s="4">
        <v>2012</v>
      </c>
      <c r="C135" s="4" t="s">
        <v>26</v>
      </c>
      <c r="D135" s="6">
        <v>191600</v>
      </c>
    </row>
    <row r="136" spans="1:4" x14ac:dyDescent="0.2">
      <c r="A136" s="4" t="s">
        <v>13</v>
      </c>
      <c r="B136" s="4">
        <v>2012</v>
      </c>
      <c r="C136" s="4" t="s">
        <v>26</v>
      </c>
      <c r="D136" s="6">
        <v>31500</v>
      </c>
    </row>
    <row r="137" spans="1:4" x14ac:dyDescent="0.2">
      <c r="A137" s="4" t="s">
        <v>14</v>
      </c>
      <c r="B137" s="4">
        <v>2012</v>
      </c>
      <c r="C137" s="4" t="s">
        <v>26</v>
      </c>
      <c r="D137" s="6">
        <v>48000</v>
      </c>
    </row>
    <row r="138" spans="1:4" x14ac:dyDescent="0.2">
      <c r="A138" s="4" t="s">
        <v>15</v>
      </c>
      <c r="B138" s="4">
        <v>2012</v>
      </c>
      <c r="C138" s="4" t="s">
        <v>26</v>
      </c>
      <c r="D138" s="6">
        <v>126400</v>
      </c>
    </row>
    <row r="139" spans="1:4" x14ac:dyDescent="0.2">
      <c r="A139" s="4" t="s">
        <v>16</v>
      </c>
      <c r="B139" s="4">
        <v>2012</v>
      </c>
      <c r="C139" s="4" t="s">
        <v>26</v>
      </c>
      <c r="D139" s="6">
        <v>52900</v>
      </c>
    </row>
    <row r="140" spans="1:4" x14ac:dyDescent="0.2">
      <c r="A140" s="4" t="s">
        <v>17</v>
      </c>
      <c r="B140" s="4">
        <v>2012</v>
      </c>
      <c r="C140" s="4" t="s">
        <v>26</v>
      </c>
      <c r="D140" s="6">
        <v>31900</v>
      </c>
    </row>
    <row r="141" spans="1:4" x14ac:dyDescent="0.2">
      <c r="A141" s="4" t="s">
        <v>18</v>
      </c>
      <c r="B141" s="4">
        <v>2012</v>
      </c>
      <c r="C141" s="4" t="s">
        <v>26</v>
      </c>
      <c r="D141" s="6">
        <v>40900</v>
      </c>
    </row>
    <row r="142" spans="1:4" x14ac:dyDescent="0.2">
      <c r="A142" s="4" t="s">
        <v>19</v>
      </c>
      <c r="B142" s="4">
        <v>2012</v>
      </c>
      <c r="C142" s="4" t="s">
        <v>26</v>
      </c>
      <c r="D142" s="6">
        <v>582100</v>
      </c>
    </row>
    <row r="143" spans="1:4" x14ac:dyDescent="0.2">
      <c r="A143" s="4" t="s">
        <v>20</v>
      </c>
      <c r="B143" s="4">
        <v>2012</v>
      </c>
      <c r="C143" s="4" t="s">
        <v>26</v>
      </c>
      <c r="D143" s="6">
        <v>130500</v>
      </c>
    </row>
    <row r="144" spans="1:4" x14ac:dyDescent="0.2">
      <c r="A144" s="4" t="s">
        <v>21</v>
      </c>
      <c r="B144" s="4">
        <v>2012</v>
      </c>
      <c r="C144" s="4" t="s">
        <v>26</v>
      </c>
      <c r="D144" s="6">
        <v>498100</v>
      </c>
    </row>
    <row r="145" spans="1:4" x14ac:dyDescent="0.2">
      <c r="A145" s="4" t="s">
        <v>22</v>
      </c>
      <c r="B145" s="4">
        <v>2012</v>
      </c>
      <c r="C145" s="4" t="s">
        <v>26</v>
      </c>
      <c r="D145" s="6">
        <v>280200</v>
      </c>
    </row>
    <row r="146" spans="1:4" x14ac:dyDescent="0.2">
      <c r="A146" s="4" t="s">
        <v>23</v>
      </c>
      <c r="B146" s="4">
        <v>2012</v>
      </c>
      <c r="C146" s="4" t="s">
        <v>26</v>
      </c>
      <c r="D146" s="6">
        <v>74500</v>
      </c>
    </row>
    <row r="147" spans="1:4" x14ac:dyDescent="0.2">
      <c r="A147" s="4" t="s">
        <v>24</v>
      </c>
      <c r="B147" s="4">
        <v>2012</v>
      </c>
      <c r="C147" s="4" t="s">
        <v>26</v>
      </c>
      <c r="D147" s="6">
        <v>181600</v>
      </c>
    </row>
    <row r="148" spans="1:4" x14ac:dyDescent="0.2">
      <c r="A148" s="4" t="s">
        <v>25</v>
      </c>
      <c r="B148" s="4">
        <v>2012</v>
      </c>
      <c r="C148" s="4" t="s">
        <v>26</v>
      </c>
      <c r="D148" s="6">
        <v>220800</v>
      </c>
    </row>
    <row r="149" spans="1:4" x14ac:dyDescent="0.2">
      <c r="A149" s="4" t="s">
        <v>5</v>
      </c>
      <c r="B149" s="4">
        <v>2019</v>
      </c>
      <c r="C149" s="4" t="s">
        <v>26</v>
      </c>
      <c r="D149" s="6">
        <v>454400</v>
      </c>
    </row>
    <row r="150" spans="1:4" x14ac:dyDescent="0.2">
      <c r="A150" s="4" t="s">
        <v>6</v>
      </c>
      <c r="B150" s="4">
        <v>2019</v>
      </c>
      <c r="C150" s="4" t="s">
        <v>26</v>
      </c>
      <c r="D150" s="6">
        <v>6700</v>
      </c>
    </row>
    <row r="151" spans="1:4" x14ac:dyDescent="0.2">
      <c r="A151" s="4" t="s">
        <v>7</v>
      </c>
      <c r="B151" s="4">
        <v>2019</v>
      </c>
      <c r="C151" s="4" t="s">
        <v>26</v>
      </c>
      <c r="D151" s="6">
        <v>78400</v>
      </c>
    </row>
    <row r="152" spans="1:4" x14ac:dyDescent="0.2">
      <c r="A152" s="4" t="s">
        <v>8</v>
      </c>
      <c r="B152" s="4">
        <v>2019</v>
      </c>
      <c r="C152" s="4" t="s">
        <v>26</v>
      </c>
      <c r="D152" s="6">
        <v>1142600</v>
      </c>
    </row>
    <row r="153" spans="1:4" x14ac:dyDescent="0.2">
      <c r="A153" s="4" t="s">
        <v>9</v>
      </c>
      <c r="B153" s="4">
        <v>2019</v>
      </c>
      <c r="C153" s="4" t="s">
        <v>26</v>
      </c>
      <c r="D153" s="6">
        <v>109300</v>
      </c>
    </row>
    <row r="154" spans="1:4" x14ac:dyDescent="0.2">
      <c r="A154" s="4" t="s">
        <v>10</v>
      </c>
      <c r="B154" s="4">
        <v>2019</v>
      </c>
      <c r="C154" s="4" t="s">
        <v>26</v>
      </c>
      <c r="D154" s="6">
        <v>19700</v>
      </c>
    </row>
    <row r="155" spans="1:4" x14ac:dyDescent="0.2">
      <c r="A155" s="4" t="s">
        <v>11</v>
      </c>
      <c r="B155" s="4">
        <v>2019</v>
      </c>
      <c r="C155" s="4" t="s">
        <v>26</v>
      </c>
      <c r="D155" s="6">
        <v>233200</v>
      </c>
    </row>
    <row r="156" spans="1:4" x14ac:dyDescent="0.2">
      <c r="A156" s="4" t="s">
        <v>12</v>
      </c>
      <c r="B156" s="4">
        <v>2019</v>
      </c>
      <c r="C156" s="4" t="s">
        <v>26</v>
      </c>
      <c r="D156" s="6">
        <v>190000</v>
      </c>
    </row>
    <row r="157" spans="1:4" x14ac:dyDescent="0.2">
      <c r="A157" s="4" t="s">
        <v>13</v>
      </c>
      <c r="B157" s="4">
        <v>2019</v>
      </c>
      <c r="C157" s="4" t="s">
        <v>26</v>
      </c>
      <c r="D157" s="6">
        <v>32400</v>
      </c>
    </row>
    <row r="158" spans="1:4" x14ac:dyDescent="0.2">
      <c r="A158" s="4" t="s">
        <v>14</v>
      </c>
      <c r="B158" s="4">
        <v>2019</v>
      </c>
      <c r="C158" s="4" t="s">
        <v>26</v>
      </c>
      <c r="D158" s="6">
        <v>39200</v>
      </c>
    </row>
    <row r="159" spans="1:4" x14ac:dyDescent="0.2">
      <c r="A159" s="4" t="s">
        <v>15</v>
      </c>
      <c r="B159" s="4">
        <v>2019</v>
      </c>
      <c r="C159" s="4" t="s">
        <v>26</v>
      </c>
      <c r="D159" s="6">
        <v>128500</v>
      </c>
    </row>
    <row r="160" spans="1:4" x14ac:dyDescent="0.2">
      <c r="A160" s="4" t="s">
        <v>16</v>
      </c>
      <c r="B160" s="4">
        <v>2019</v>
      </c>
      <c r="C160" s="4" t="s">
        <v>26</v>
      </c>
      <c r="D160" s="6">
        <v>47000</v>
      </c>
    </row>
    <row r="161" spans="1:4" x14ac:dyDescent="0.2">
      <c r="A161" s="4" t="s">
        <v>17</v>
      </c>
      <c r="B161" s="4">
        <v>2019</v>
      </c>
      <c r="C161" s="4" t="s">
        <v>26</v>
      </c>
      <c r="D161" s="6">
        <v>40000</v>
      </c>
    </row>
    <row r="162" spans="1:4" x14ac:dyDescent="0.2">
      <c r="A162" s="4" t="s">
        <v>18</v>
      </c>
      <c r="B162" s="4">
        <v>2019</v>
      </c>
      <c r="C162" s="4" t="s">
        <v>26</v>
      </c>
      <c r="D162" s="6">
        <v>41900</v>
      </c>
    </row>
    <row r="163" spans="1:4" x14ac:dyDescent="0.2">
      <c r="A163" s="4" t="s">
        <v>19</v>
      </c>
      <c r="B163" s="4">
        <v>2019</v>
      </c>
      <c r="C163" s="4" t="s">
        <v>26</v>
      </c>
      <c r="D163" s="6">
        <v>583900</v>
      </c>
    </row>
    <row r="164" spans="1:4" x14ac:dyDescent="0.2">
      <c r="A164" s="4" t="s">
        <v>20</v>
      </c>
      <c r="B164" s="4">
        <v>2019</v>
      </c>
      <c r="C164" s="4" t="s">
        <v>26</v>
      </c>
      <c r="D164" s="6">
        <v>119800</v>
      </c>
    </row>
    <row r="165" spans="1:4" x14ac:dyDescent="0.2">
      <c r="A165" s="4" t="s">
        <v>21</v>
      </c>
      <c r="B165" s="4">
        <v>2019</v>
      </c>
      <c r="C165" s="4" t="s">
        <v>26</v>
      </c>
      <c r="D165" s="6">
        <v>544000</v>
      </c>
    </row>
    <row r="166" spans="1:4" x14ac:dyDescent="0.2">
      <c r="A166" s="4" t="s">
        <v>22</v>
      </c>
      <c r="B166" s="4">
        <v>2019</v>
      </c>
      <c r="C166" s="4" t="s">
        <v>26</v>
      </c>
      <c r="D166" s="6">
        <v>313300</v>
      </c>
    </row>
    <row r="167" spans="1:4" x14ac:dyDescent="0.2">
      <c r="A167" s="4" t="s">
        <v>23</v>
      </c>
      <c r="B167" s="4">
        <v>2019</v>
      </c>
      <c r="C167" s="4" t="s">
        <v>26</v>
      </c>
      <c r="D167" s="6">
        <v>67300</v>
      </c>
    </row>
    <row r="168" spans="1:4" x14ac:dyDescent="0.2">
      <c r="A168" s="4" t="s">
        <v>24</v>
      </c>
      <c r="B168" s="4">
        <v>2019</v>
      </c>
      <c r="C168" s="4" t="s">
        <v>26</v>
      </c>
      <c r="D168" s="6">
        <v>185800</v>
      </c>
    </row>
    <row r="169" spans="1:4" x14ac:dyDescent="0.2">
      <c r="A169" s="4" t="s">
        <v>25</v>
      </c>
      <c r="B169" s="4">
        <v>2019</v>
      </c>
      <c r="C169" s="4" t="s">
        <v>26</v>
      </c>
      <c r="D169" s="6">
        <v>209000</v>
      </c>
    </row>
    <row r="170" spans="1:4" x14ac:dyDescent="0.2">
      <c r="A170" s="4" t="s">
        <v>5</v>
      </c>
      <c r="B170" s="4">
        <v>1999</v>
      </c>
      <c r="C170" s="4" t="s">
        <v>27</v>
      </c>
      <c r="D170" s="6">
        <v>104300</v>
      </c>
    </row>
    <row r="171" spans="1:4" x14ac:dyDescent="0.2">
      <c r="A171" s="4" t="s">
        <v>6</v>
      </c>
      <c r="B171" s="4">
        <v>1999</v>
      </c>
      <c r="C171" s="4" t="s">
        <v>27</v>
      </c>
      <c r="D171" s="6">
        <v>5600</v>
      </c>
    </row>
    <row r="172" spans="1:4" x14ac:dyDescent="0.2">
      <c r="A172" s="4" t="s">
        <v>7</v>
      </c>
      <c r="B172" s="4">
        <v>1999</v>
      </c>
      <c r="C172" s="4" t="s">
        <v>27</v>
      </c>
      <c r="D172" s="6">
        <v>42700</v>
      </c>
    </row>
    <row r="173" spans="1:4" x14ac:dyDescent="0.2">
      <c r="A173" s="4" t="s">
        <v>8</v>
      </c>
      <c r="B173" s="4">
        <v>1999</v>
      </c>
      <c r="C173" s="4" t="s">
        <v>27</v>
      </c>
      <c r="D173" s="6">
        <v>291000</v>
      </c>
    </row>
    <row r="174" spans="1:4" x14ac:dyDescent="0.2">
      <c r="A174" s="4" t="s">
        <v>9</v>
      </c>
      <c r="B174" s="4">
        <v>1999</v>
      </c>
      <c r="C174" s="4" t="s">
        <v>27</v>
      </c>
      <c r="D174" s="6">
        <v>37200</v>
      </c>
    </row>
    <row r="175" spans="1:4" x14ac:dyDescent="0.2">
      <c r="A175" s="4" t="s">
        <v>10</v>
      </c>
      <c r="B175" s="4">
        <v>1999</v>
      </c>
      <c r="C175" s="4" t="s">
        <v>27</v>
      </c>
      <c r="D175" s="6">
        <v>11300</v>
      </c>
    </row>
    <row r="176" spans="1:4" x14ac:dyDescent="0.2">
      <c r="A176" s="4" t="s">
        <v>11</v>
      </c>
      <c r="B176" s="4">
        <v>1999</v>
      </c>
      <c r="C176" s="4" t="s">
        <v>27</v>
      </c>
      <c r="D176" s="6">
        <v>132100</v>
      </c>
    </row>
    <row r="177" spans="1:4" x14ac:dyDescent="0.2">
      <c r="A177" s="4" t="s">
        <v>12</v>
      </c>
      <c r="B177" s="4">
        <v>1999</v>
      </c>
      <c r="C177" s="4" t="s">
        <v>27</v>
      </c>
      <c r="D177" s="6">
        <v>109300</v>
      </c>
    </row>
    <row r="178" spans="1:4" x14ac:dyDescent="0.2">
      <c r="A178" s="4" t="s">
        <v>13</v>
      </c>
      <c r="B178" s="4">
        <v>1999</v>
      </c>
      <c r="C178" s="4" t="s">
        <v>27</v>
      </c>
      <c r="D178" s="6">
        <v>21600</v>
      </c>
    </row>
    <row r="179" spans="1:4" x14ac:dyDescent="0.2">
      <c r="A179" s="4" t="s">
        <v>14</v>
      </c>
      <c r="B179" s="4">
        <v>1999</v>
      </c>
      <c r="C179" s="4" t="s">
        <v>27</v>
      </c>
      <c r="D179" s="6">
        <v>58000</v>
      </c>
    </row>
    <row r="180" spans="1:4" x14ac:dyDescent="0.2">
      <c r="A180" s="4" t="s">
        <v>15</v>
      </c>
      <c r="B180" s="4">
        <v>1999</v>
      </c>
      <c r="C180" s="4" t="s">
        <v>27</v>
      </c>
      <c r="D180" s="6">
        <v>125100</v>
      </c>
    </row>
    <row r="181" spans="1:4" x14ac:dyDescent="0.2">
      <c r="A181" s="4" t="s">
        <v>16</v>
      </c>
      <c r="B181" s="4">
        <v>1999</v>
      </c>
      <c r="C181" s="4" t="s">
        <v>27</v>
      </c>
      <c r="D181" s="6">
        <v>56100</v>
      </c>
    </row>
    <row r="182" spans="1:4" x14ac:dyDescent="0.2">
      <c r="A182" s="4" t="s">
        <v>17</v>
      </c>
      <c r="B182" s="4">
        <v>1999</v>
      </c>
      <c r="C182" s="4" t="s">
        <v>27</v>
      </c>
      <c r="D182" s="6">
        <v>16600</v>
      </c>
    </row>
    <row r="183" spans="1:4" x14ac:dyDescent="0.2">
      <c r="A183" s="4" t="s">
        <v>18</v>
      </c>
      <c r="B183" s="4">
        <v>1999</v>
      </c>
      <c r="C183" s="4" t="s">
        <v>27</v>
      </c>
      <c r="D183" s="6">
        <v>19600</v>
      </c>
    </row>
    <row r="184" spans="1:4" x14ac:dyDescent="0.2">
      <c r="A184" s="4" t="s">
        <v>19</v>
      </c>
      <c r="B184" s="4">
        <v>1999</v>
      </c>
      <c r="C184" s="4" t="s">
        <v>27</v>
      </c>
      <c r="D184" s="6">
        <v>122800</v>
      </c>
    </row>
    <row r="185" spans="1:4" x14ac:dyDescent="0.2">
      <c r="A185" s="4" t="s">
        <v>20</v>
      </c>
      <c r="B185" s="4">
        <v>1999</v>
      </c>
      <c r="C185" s="4" t="s">
        <v>27</v>
      </c>
      <c r="D185" s="6">
        <v>31300</v>
      </c>
    </row>
    <row r="186" spans="1:4" x14ac:dyDescent="0.2">
      <c r="A186" s="4" t="s">
        <v>21</v>
      </c>
      <c r="B186" s="4">
        <v>1999</v>
      </c>
      <c r="C186" s="4" t="s">
        <v>27</v>
      </c>
      <c r="D186" s="6">
        <v>101899.99999999999</v>
      </c>
    </row>
    <row r="187" spans="1:4" x14ac:dyDescent="0.2">
      <c r="A187" s="4" t="s">
        <v>22</v>
      </c>
      <c r="B187" s="4">
        <v>1999</v>
      </c>
      <c r="C187" s="4" t="s">
        <v>27</v>
      </c>
      <c r="D187" s="6">
        <v>81800</v>
      </c>
    </row>
    <row r="188" spans="1:4" x14ac:dyDescent="0.2">
      <c r="A188" s="4" t="s">
        <v>23</v>
      </c>
      <c r="B188" s="4">
        <v>1999</v>
      </c>
      <c r="C188" s="4" t="s">
        <v>27</v>
      </c>
      <c r="D188" s="6">
        <v>22900</v>
      </c>
    </row>
    <row r="189" spans="1:4" x14ac:dyDescent="0.2">
      <c r="A189" s="4" t="s">
        <v>24</v>
      </c>
      <c r="B189" s="4">
        <v>1999</v>
      </c>
      <c r="C189" s="4" t="s">
        <v>27</v>
      </c>
      <c r="D189" s="6">
        <v>40099.999999999964</v>
      </c>
    </row>
    <row r="190" spans="1:4" x14ac:dyDescent="0.2">
      <c r="A190" s="4" t="s">
        <v>25</v>
      </c>
      <c r="B190" s="4">
        <v>1999</v>
      </c>
      <c r="C190" s="4" t="s">
        <v>27</v>
      </c>
      <c r="D190" s="6">
        <v>119100</v>
      </c>
    </row>
    <row r="191" spans="1:4" x14ac:dyDescent="0.2">
      <c r="A191" s="4" t="s">
        <v>5</v>
      </c>
      <c r="B191" s="4">
        <v>2011</v>
      </c>
      <c r="C191" s="4" t="s">
        <v>27</v>
      </c>
      <c r="D191" s="6">
        <v>135600</v>
      </c>
    </row>
    <row r="192" spans="1:4" x14ac:dyDescent="0.2">
      <c r="A192" s="4" t="s">
        <v>6</v>
      </c>
      <c r="B192" s="4">
        <v>2011</v>
      </c>
      <c r="C192" s="4" t="s">
        <v>27</v>
      </c>
      <c r="D192" s="6">
        <v>6400</v>
      </c>
    </row>
    <row r="193" spans="1:4" x14ac:dyDescent="0.2">
      <c r="A193" s="4" t="s">
        <v>7</v>
      </c>
      <c r="B193" s="4">
        <v>2011</v>
      </c>
      <c r="C193" s="4" t="s">
        <v>27</v>
      </c>
      <c r="D193" s="6">
        <v>48100</v>
      </c>
    </row>
    <row r="194" spans="1:4" x14ac:dyDescent="0.2">
      <c r="A194" s="4" t="s">
        <v>8</v>
      </c>
      <c r="B194" s="4">
        <v>2011</v>
      </c>
      <c r="C194" s="4" t="s">
        <v>27</v>
      </c>
      <c r="D194" s="6">
        <v>312100</v>
      </c>
    </row>
    <row r="195" spans="1:4" x14ac:dyDescent="0.2">
      <c r="A195" s="4" t="s">
        <v>9</v>
      </c>
      <c r="B195" s="4">
        <v>2011</v>
      </c>
      <c r="C195" s="4" t="s">
        <v>27</v>
      </c>
      <c r="D195" s="6">
        <v>45000</v>
      </c>
    </row>
    <row r="196" spans="1:4" x14ac:dyDescent="0.2">
      <c r="A196" s="4" t="s">
        <v>10</v>
      </c>
      <c r="B196" s="4">
        <v>2011</v>
      </c>
      <c r="C196" s="4" t="s">
        <v>27</v>
      </c>
      <c r="D196" s="6">
        <v>10600</v>
      </c>
    </row>
    <row r="197" spans="1:4" x14ac:dyDescent="0.2">
      <c r="A197" s="4" t="s">
        <v>11</v>
      </c>
      <c r="B197" s="4">
        <v>2011</v>
      </c>
      <c r="C197" s="4" t="s">
        <v>27</v>
      </c>
      <c r="D197" s="6">
        <v>141100</v>
      </c>
    </row>
    <row r="198" spans="1:4" x14ac:dyDescent="0.2">
      <c r="A198" s="4" t="s">
        <v>12</v>
      </c>
      <c r="B198" s="4">
        <v>2011</v>
      </c>
      <c r="C198" s="4" t="s">
        <v>27</v>
      </c>
      <c r="D198" s="6">
        <v>109400</v>
      </c>
    </row>
    <row r="199" spans="1:4" x14ac:dyDescent="0.2">
      <c r="A199" s="4" t="s">
        <v>13</v>
      </c>
      <c r="B199" s="4">
        <v>2011</v>
      </c>
      <c r="C199" s="4" t="s">
        <v>27</v>
      </c>
      <c r="D199" s="6">
        <v>19400</v>
      </c>
    </row>
    <row r="200" spans="1:4" x14ac:dyDescent="0.2">
      <c r="A200" s="4" t="s">
        <v>14</v>
      </c>
      <c r="B200" s="4">
        <v>2011</v>
      </c>
      <c r="C200" s="4" t="s">
        <v>27</v>
      </c>
      <c r="D200" s="6">
        <v>48700</v>
      </c>
    </row>
    <row r="201" spans="1:4" x14ac:dyDescent="0.2">
      <c r="A201" s="4" t="s">
        <v>15</v>
      </c>
      <c r="B201" s="4">
        <v>2011</v>
      </c>
      <c r="C201" s="4" t="s">
        <v>27</v>
      </c>
      <c r="D201" s="6">
        <v>111600</v>
      </c>
    </row>
    <row r="202" spans="1:4" x14ac:dyDescent="0.2">
      <c r="A202" s="4" t="s">
        <v>16</v>
      </c>
      <c r="B202" s="4">
        <v>2011</v>
      </c>
      <c r="C202" s="4" t="s">
        <v>27</v>
      </c>
      <c r="D202" s="6">
        <v>51900</v>
      </c>
    </row>
    <row r="203" spans="1:4" x14ac:dyDescent="0.2">
      <c r="A203" s="4" t="s">
        <v>17</v>
      </c>
      <c r="B203" s="4">
        <v>2011</v>
      </c>
      <c r="C203" s="4" t="s">
        <v>27</v>
      </c>
      <c r="D203" s="6">
        <v>22300</v>
      </c>
    </row>
    <row r="204" spans="1:4" x14ac:dyDescent="0.2">
      <c r="A204" s="4" t="s">
        <v>18</v>
      </c>
      <c r="B204" s="4">
        <v>2011</v>
      </c>
      <c r="C204" s="4" t="s">
        <v>27</v>
      </c>
      <c r="D204" s="6">
        <v>21400</v>
      </c>
    </row>
    <row r="205" spans="1:4" x14ac:dyDescent="0.2">
      <c r="A205" s="4" t="s">
        <v>19</v>
      </c>
      <c r="B205" s="4">
        <v>2011</v>
      </c>
      <c r="C205" s="4" t="s">
        <v>27</v>
      </c>
      <c r="D205" s="6">
        <v>166700</v>
      </c>
    </row>
    <row r="206" spans="1:4" x14ac:dyDescent="0.2">
      <c r="A206" s="4" t="s">
        <v>20</v>
      </c>
      <c r="B206" s="4">
        <v>2011</v>
      </c>
      <c r="C206" s="4" t="s">
        <v>27</v>
      </c>
      <c r="D206" s="6">
        <v>38300</v>
      </c>
    </row>
    <row r="207" spans="1:4" x14ac:dyDescent="0.2">
      <c r="A207" s="4" t="s">
        <v>21</v>
      </c>
      <c r="B207" s="4">
        <v>2011</v>
      </c>
      <c r="C207" s="4" t="s">
        <v>27</v>
      </c>
      <c r="D207" s="6">
        <v>114800</v>
      </c>
    </row>
    <row r="208" spans="1:4" x14ac:dyDescent="0.2">
      <c r="A208" s="4" t="s">
        <v>22</v>
      </c>
      <c r="B208" s="4">
        <v>2011</v>
      </c>
      <c r="C208" s="4" t="s">
        <v>27</v>
      </c>
      <c r="D208" s="6">
        <v>124100</v>
      </c>
    </row>
    <row r="209" spans="1:4" x14ac:dyDescent="0.2">
      <c r="A209" s="4" t="s">
        <v>23</v>
      </c>
      <c r="B209" s="4">
        <v>2011</v>
      </c>
      <c r="C209" s="4" t="s">
        <v>27</v>
      </c>
      <c r="D209" s="6">
        <v>31200</v>
      </c>
    </row>
    <row r="210" spans="1:4" x14ac:dyDescent="0.2">
      <c r="A210" s="4" t="s">
        <v>24</v>
      </c>
      <c r="B210" s="4">
        <v>2011</v>
      </c>
      <c r="C210" s="4" t="s">
        <v>27</v>
      </c>
      <c r="D210" s="6">
        <v>42800</v>
      </c>
    </row>
    <row r="211" spans="1:4" x14ac:dyDescent="0.2">
      <c r="A211" s="4" t="s">
        <v>25</v>
      </c>
      <c r="B211" s="4">
        <v>2011</v>
      </c>
      <c r="C211" s="4" t="s">
        <v>27</v>
      </c>
      <c r="D211" s="6">
        <v>166100</v>
      </c>
    </row>
    <row r="212" spans="1:4" x14ac:dyDescent="0.2">
      <c r="A212" s="4" t="s">
        <v>5</v>
      </c>
      <c r="B212" s="4">
        <v>2012</v>
      </c>
      <c r="C212" s="4" t="s">
        <v>27</v>
      </c>
      <c r="D212" s="6">
        <v>139400</v>
      </c>
    </row>
    <row r="213" spans="1:4" x14ac:dyDescent="0.2">
      <c r="A213" s="4" t="s">
        <v>6</v>
      </c>
      <c r="B213" s="4">
        <v>2012</v>
      </c>
      <c r="C213" s="4" t="s">
        <v>27</v>
      </c>
      <c r="D213" s="6">
        <v>6300</v>
      </c>
    </row>
    <row r="214" spans="1:4" x14ac:dyDescent="0.2">
      <c r="A214" s="4" t="s">
        <v>7</v>
      </c>
      <c r="B214" s="4">
        <v>2012</v>
      </c>
      <c r="C214" s="4" t="s">
        <v>27</v>
      </c>
      <c r="D214" s="6">
        <v>41600</v>
      </c>
    </row>
    <row r="215" spans="1:4" x14ac:dyDescent="0.2">
      <c r="A215" s="4" t="s">
        <v>8</v>
      </c>
      <c r="B215" s="4">
        <v>2012</v>
      </c>
      <c r="C215" s="4" t="s">
        <v>27</v>
      </c>
      <c r="D215" s="6">
        <v>307600</v>
      </c>
    </row>
    <row r="216" spans="1:4" x14ac:dyDescent="0.2">
      <c r="A216" s="4" t="s">
        <v>9</v>
      </c>
      <c r="B216" s="4">
        <v>2012</v>
      </c>
      <c r="C216" s="4" t="s">
        <v>27</v>
      </c>
      <c r="D216" s="6">
        <v>48700</v>
      </c>
    </row>
    <row r="217" spans="1:4" x14ac:dyDescent="0.2">
      <c r="A217" s="4" t="s">
        <v>10</v>
      </c>
      <c r="B217" s="4">
        <v>2012</v>
      </c>
      <c r="C217" s="4" t="s">
        <v>27</v>
      </c>
      <c r="D217" s="6">
        <v>10500</v>
      </c>
    </row>
    <row r="218" spans="1:4" x14ac:dyDescent="0.2">
      <c r="A218" s="4" t="s">
        <v>11</v>
      </c>
      <c r="B218" s="4">
        <v>2012</v>
      </c>
      <c r="C218" s="4" t="s">
        <v>27</v>
      </c>
      <c r="D218" s="6">
        <v>119700</v>
      </c>
    </row>
    <row r="219" spans="1:4" x14ac:dyDescent="0.2">
      <c r="A219" s="4" t="s">
        <v>12</v>
      </c>
      <c r="B219" s="4">
        <v>2012</v>
      </c>
      <c r="C219" s="4" t="s">
        <v>27</v>
      </c>
      <c r="D219" s="6">
        <v>101200</v>
      </c>
    </row>
    <row r="220" spans="1:4" x14ac:dyDescent="0.2">
      <c r="A220" s="4" t="s">
        <v>13</v>
      </c>
      <c r="B220" s="4">
        <v>2012</v>
      </c>
      <c r="C220" s="4" t="s">
        <v>27</v>
      </c>
      <c r="D220" s="6">
        <v>18000</v>
      </c>
    </row>
    <row r="221" spans="1:4" x14ac:dyDescent="0.2">
      <c r="A221" s="4" t="s">
        <v>14</v>
      </c>
      <c r="B221" s="4">
        <v>2012</v>
      </c>
      <c r="C221" s="4" t="s">
        <v>27</v>
      </c>
      <c r="D221" s="6">
        <v>43700</v>
      </c>
    </row>
    <row r="222" spans="1:4" x14ac:dyDescent="0.2">
      <c r="A222" s="4" t="s">
        <v>15</v>
      </c>
      <c r="B222" s="4">
        <v>2012</v>
      </c>
      <c r="C222" s="4" t="s">
        <v>27</v>
      </c>
      <c r="D222" s="6">
        <v>101200</v>
      </c>
    </row>
    <row r="223" spans="1:4" x14ac:dyDescent="0.2">
      <c r="A223" s="4" t="s">
        <v>16</v>
      </c>
      <c r="B223" s="4">
        <v>2012</v>
      </c>
      <c r="C223" s="4" t="s">
        <v>27</v>
      </c>
      <c r="D223" s="6">
        <v>46400</v>
      </c>
    </row>
    <row r="224" spans="1:4" x14ac:dyDescent="0.2">
      <c r="A224" s="4" t="s">
        <v>17</v>
      </c>
      <c r="B224" s="4">
        <v>2012</v>
      </c>
      <c r="C224" s="4" t="s">
        <v>27</v>
      </c>
      <c r="D224" s="6">
        <v>20900</v>
      </c>
    </row>
    <row r="225" spans="1:4" x14ac:dyDescent="0.2">
      <c r="A225" s="4" t="s">
        <v>18</v>
      </c>
      <c r="B225" s="4">
        <v>2012</v>
      </c>
      <c r="C225" s="4" t="s">
        <v>27</v>
      </c>
      <c r="D225" s="6">
        <v>19000</v>
      </c>
    </row>
    <row r="226" spans="1:4" x14ac:dyDescent="0.2">
      <c r="A226" s="4" t="s">
        <v>19</v>
      </c>
      <c r="B226" s="4">
        <v>2012</v>
      </c>
      <c r="C226" s="4" t="s">
        <v>27</v>
      </c>
      <c r="D226" s="6">
        <v>158800</v>
      </c>
    </row>
    <row r="227" spans="1:4" x14ac:dyDescent="0.2">
      <c r="A227" s="4" t="s">
        <v>20</v>
      </c>
      <c r="B227" s="4">
        <v>2012</v>
      </c>
      <c r="C227" s="4" t="s">
        <v>27</v>
      </c>
      <c r="D227" s="6">
        <v>30900</v>
      </c>
    </row>
    <row r="228" spans="1:4" x14ac:dyDescent="0.2">
      <c r="A228" s="4" t="s">
        <v>21</v>
      </c>
      <c r="B228" s="4">
        <v>2012</v>
      </c>
      <c r="C228" s="4" t="s">
        <v>27</v>
      </c>
      <c r="D228" s="6">
        <v>118000</v>
      </c>
    </row>
    <row r="229" spans="1:4" x14ac:dyDescent="0.2">
      <c r="A229" s="4" t="s">
        <v>22</v>
      </c>
      <c r="B229" s="4">
        <v>2012</v>
      </c>
      <c r="C229" s="4" t="s">
        <v>27</v>
      </c>
      <c r="D229" s="6">
        <v>115800</v>
      </c>
    </row>
    <row r="230" spans="1:4" x14ac:dyDescent="0.2">
      <c r="A230" s="4" t="s">
        <v>23</v>
      </c>
      <c r="B230" s="4">
        <v>2012</v>
      </c>
      <c r="C230" s="4" t="s">
        <v>27</v>
      </c>
      <c r="D230" s="6">
        <v>29500</v>
      </c>
    </row>
    <row r="231" spans="1:4" x14ac:dyDescent="0.2">
      <c r="A231" s="4" t="s">
        <v>24</v>
      </c>
      <c r="B231" s="4">
        <v>2012</v>
      </c>
      <c r="C231" s="4" t="s">
        <v>27</v>
      </c>
      <c r="D231" s="6">
        <v>38900</v>
      </c>
    </row>
    <row r="232" spans="1:4" x14ac:dyDescent="0.2">
      <c r="A232" s="4" t="s">
        <v>25</v>
      </c>
      <c r="B232" s="4">
        <v>2012</v>
      </c>
      <c r="C232" s="4" t="s">
        <v>27</v>
      </c>
      <c r="D232" s="6">
        <v>157400</v>
      </c>
    </row>
    <row r="233" spans="1:4" x14ac:dyDescent="0.2">
      <c r="A233" s="4" t="s">
        <v>5</v>
      </c>
      <c r="B233" s="4">
        <v>2019</v>
      </c>
      <c r="C233" s="4" t="s">
        <v>27</v>
      </c>
      <c r="D233" s="6">
        <v>96800</v>
      </c>
    </row>
    <row r="234" spans="1:4" x14ac:dyDescent="0.2">
      <c r="A234" s="4" t="s">
        <v>6</v>
      </c>
      <c r="B234" s="4">
        <v>2019</v>
      </c>
      <c r="C234" s="4" t="s">
        <v>27</v>
      </c>
      <c r="D234" s="6">
        <v>4600</v>
      </c>
    </row>
    <row r="235" spans="1:4" x14ac:dyDescent="0.2">
      <c r="A235" s="4" t="s">
        <v>7</v>
      </c>
      <c r="B235" s="4">
        <v>2019</v>
      </c>
      <c r="C235" s="4" t="s">
        <v>27</v>
      </c>
      <c r="D235" s="6">
        <v>35200</v>
      </c>
    </row>
    <row r="236" spans="1:4" x14ac:dyDescent="0.2">
      <c r="A236" s="4" t="s">
        <v>8</v>
      </c>
      <c r="B236" s="4">
        <v>2019</v>
      </c>
      <c r="C236" s="4" t="s">
        <v>27</v>
      </c>
      <c r="D236" s="6">
        <v>233500</v>
      </c>
    </row>
    <row r="237" spans="1:4" x14ac:dyDescent="0.2">
      <c r="A237" s="4" t="s">
        <v>9</v>
      </c>
      <c r="B237" s="4">
        <v>2019</v>
      </c>
      <c r="C237" s="4" t="s">
        <v>27</v>
      </c>
      <c r="D237" s="6">
        <v>35400</v>
      </c>
    </row>
    <row r="238" spans="1:4" x14ac:dyDescent="0.2">
      <c r="A238" s="4" t="s">
        <v>10</v>
      </c>
      <c r="B238" s="4">
        <v>2019</v>
      </c>
      <c r="C238" s="4" t="s">
        <v>27</v>
      </c>
      <c r="D238" s="6">
        <v>7000</v>
      </c>
    </row>
    <row r="239" spans="1:4" x14ac:dyDescent="0.2">
      <c r="A239" s="4" t="s">
        <v>11</v>
      </c>
      <c r="B239" s="4">
        <v>2019</v>
      </c>
      <c r="C239" s="4" t="s">
        <v>27</v>
      </c>
      <c r="D239" s="6">
        <v>108800</v>
      </c>
    </row>
    <row r="240" spans="1:4" x14ac:dyDescent="0.2">
      <c r="A240" s="4" t="s">
        <v>12</v>
      </c>
      <c r="B240" s="4">
        <v>2019</v>
      </c>
      <c r="C240" s="4" t="s">
        <v>27</v>
      </c>
      <c r="D240" s="6">
        <v>76600</v>
      </c>
    </row>
    <row r="241" spans="1:4" x14ac:dyDescent="0.2">
      <c r="A241" s="4" t="s">
        <v>13</v>
      </c>
      <c r="B241" s="4">
        <v>2019</v>
      </c>
      <c r="C241" s="4" t="s">
        <v>27</v>
      </c>
      <c r="D241" s="6">
        <v>13400</v>
      </c>
    </row>
    <row r="242" spans="1:4" x14ac:dyDescent="0.2">
      <c r="A242" s="4" t="s">
        <v>14</v>
      </c>
      <c r="B242" s="4">
        <v>2019</v>
      </c>
      <c r="C242" s="4" t="s">
        <v>27</v>
      </c>
      <c r="D242" s="6">
        <v>35300</v>
      </c>
    </row>
    <row r="243" spans="1:4" x14ac:dyDescent="0.2">
      <c r="A243" s="4" t="s">
        <v>15</v>
      </c>
      <c r="B243" s="4">
        <v>2019</v>
      </c>
      <c r="C243" s="4" t="s">
        <v>27</v>
      </c>
      <c r="D243" s="6">
        <v>66500</v>
      </c>
    </row>
    <row r="244" spans="1:4" x14ac:dyDescent="0.2">
      <c r="A244" s="4" t="s">
        <v>16</v>
      </c>
      <c r="B244" s="4">
        <v>2019</v>
      </c>
      <c r="C244" s="4" t="s">
        <v>27</v>
      </c>
      <c r="D244" s="6">
        <v>32800</v>
      </c>
    </row>
    <row r="245" spans="1:4" x14ac:dyDescent="0.2">
      <c r="A245" s="4" t="s">
        <v>17</v>
      </c>
      <c r="B245" s="4">
        <v>2019</v>
      </c>
      <c r="C245" s="4" t="s">
        <v>27</v>
      </c>
      <c r="D245" s="6">
        <v>19000</v>
      </c>
    </row>
    <row r="246" spans="1:4" x14ac:dyDescent="0.2">
      <c r="A246" s="4" t="s">
        <v>18</v>
      </c>
      <c r="B246" s="4">
        <v>2019</v>
      </c>
      <c r="C246" s="4" t="s">
        <v>27</v>
      </c>
      <c r="D246" s="6">
        <v>15900</v>
      </c>
    </row>
    <row r="247" spans="1:4" x14ac:dyDescent="0.2">
      <c r="A247" s="4" t="s">
        <v>19</v>
      </c>
      <c r="B247" s="4">
        <v>2019</v>
      </c>
      <c r="C247" s="4" t="s">
        <v>27</v>
      </c>
      <c r="D247" s="6">
        <v>120300</v>
      </c>
    </row>
    <row r="248" spans="1:4" x14ac:dyDescent="0.2">
      <c r="A248" s="4" t="s">
        <v>20</v>
      </c>
      <c r="B248" s="4">
        <v>2019</v>
      </c>
      <c r="C248" s="4" t="s">
        <v>27</v>
      </c>
      <c r="D248" s="6">
        <v>32299.999999999996</v>
      </c>
    </row>
    <row r="249" spans="1:4" x14ac:dyDescent="0.2">
      <c r="A249" s="4" t="s">
        <v>21</v>
      </c>
      <c r="B249" s="4">
        <v>2019</v>
      </c>
      <c r="C249" s="4" t="s">
        <v>27</v>
      </c>
      <c r="D249" s="6">
        <v>101300</v>
      </c>
    </row>
    <row r="250" spans="1:4" x14ac:dyDescent="0.2">
      <c r="A250" s="4" t="s">
        <v>22</v>
      </c>
      <c r="B250" s="4">
        <v>2019</v>
      </c>
      <c r="C250" s="4" t="s">
        <v>27</v>
      </c>
      <c r="D250" s="6">
        <v>91500</v>
      </c>
    </row>
    <row r="251" spans="1:4" x14ac:dyDescent="0.2">
      <c r="A251" s="4" t="s">
        <v>23</v>
      </c>
      <c r="B251" s="4">
        <v>2019</v>
      </c>
      <c r="C251" s="4" t="s">
        <v>27</v>
      </c>
      <c r="D251" s="6">
        <v>20500</v>
      </c>
    </row>
    <row r="252" spans="1:4" x14ac:dyDescent="0.2">
      <c r="A252" s="4" t="s">
        <v>24</v>
      </c>
      <c r="B252" s="4">
        <v>2019</v>
      </c>
      <c r="C252" s="4" t="s">
        <v>27</v>
      </c>
      <c r="D252" s="6">
        <v>28300</v>
      </c>
    </row>
    <row r="253" spans="1:4" x14ac:dyDescent="0.2">
      <c r="A253" s="4" t="s">
        <v>25</v>
      </c>
      <c r="B253" s="4">
        <v>2019</v>
      </c>
      <c r="C253" s="4" t="s">
        <v>27</v>
      </c>
      <c r="D253" s="6">
        <v>120700</v>
      </c>
    </row>
    <row r="254" spans="1:4" x14ac:dyDescent="0.2">
      <c r="A254" s="4" t="s">
        <v>5</v>
      </c>
      <c r="B254" s="4">
        <v>1999</v>
      </c>
      <c r="C254" s="4" t="s">
        <v>28</v>
      </c>
      <c r="D254" s="6">
        <v>395000</v>
      </c>
    </row>
    <row r="255" spans="1:4" x14ac:dyDescent="0.2">
      <c r="A255" s="4" t="s">
        <v>6</v>
      </c>
      <c r="B255" s="4">
        <v>1999</v>
      </c>
      <c r="C255" s="4" t="s">
        <v>28</v>
      </c>
      <c r="D255" s="6">
        <v>15400</v>
      </c>
    </row>
    <row r="256" spans="1:4" x14ac:dyDescent="0.2">
      <c r="A256" s="4" t="s">
        <v>7</v>
      </c>
      <c r="B256" s="4">
        <v>1999</v>
      </c>
      <c r="C256" s="4" t="s">
        <v>28</v>
      </c>
      <c r="D256" s="6">
        <v>182600</v>
      </c>
    </row>
    <row r="257" spans="1:4" x14ac:dyDescent="0.2">
      <c r="A257" s="4" t="s">
        <v>8</v>
      </c>
      <c r="B257" s="4">
        <v>1999</v>
      </c>
      <c r="C257" s="4" t="s">
        <v>28</v>
      </c>
      <c r="D257" s="6">
        <v>877600</v>
      </c>
    </row>
    <row r="258" spans="1:4" x14ac:dyDescent="0.2">
      <c r="A258" s="4" t="s">
        <v>9</v>
      </c>
      <c r="B258" s="4">
        <v>1999</v>
      </c>
      <c r="C258" s="4" t="s">
        <v>28</v>
      </c>
      <c r="D258" s="6">
        <v>98000</v>
      </c>
    </row>
    <row r="259" spans="1:4" x14ac:dyDescent="0.2">
      <c r="A259" s="4" t="s">
        <v>10</v>
      </c>
      <c r="B259" s="4">
        <v>1999</v>
      </c>
      <c r="C259" s="4" t="s">
        <v>28</v>
      </c>
      <c r="D259" s="6">
        <v>20500</v>
      </c>
    </row>
    <row r="260" spans="1:4" x14ac:dyDescent="0.2">
      <c r="A260" s="4" t="s">
        <v>11</v>
      </c>
      <c r="B260" s="4">
        <v>1999</v>
      </c>
      <c r="C260" s="4" t="s">
        <v>28</v>
      </c>
      <c r="D260" s="6">
        <v>379600</v>
      </c>
    </row>
    <row r="261" spans="1:4" x14ac:dyDescent="0.2">
      <c r="A261" s="4" t="s">
        <v>12</v>
      </c>
      <c r="B261" s="4">
        <v>1999</v>
      </c>
      <c r="C261" s="4" t="s">
        <v>28</v>
      </c>
      <c r="D261" s="6">
        <v>263800</v>
      </c>
    </row>
    <row r="262" spans="1:4" x14ac:dyDescent="0.2">
      <c r="A262" s="4" t="s">
        <v>13</v>
      </c>
      <c r="B262" s="4">
        <v>1999</v>
      </c>
      <c r="C262" s="4" t="s">
        <v>28</v>
      </c>
      <c r="D262" s="6">
        <v>36100</v>
      </c>
    </row>
    <row r="263" spans="1:4" x14ac:dyDescent="0.2">
      <c r="A263" s="4" t="s">
        <v>14</v>
      </c>
      <c r="B263" s="4">
        <v>1999</v>
      </c>
      <c r="C263" s="4" t="s">
        <v>28</v>
      </c>
      <c r="D263" s="6">
        <v>127800</v>
      </c>
    </row>
    <row r="264" spans="1:4" x14ac:dyDescent="0.2">
      <c r="A264" s="4" t="s">
        <v>15</v>
      </c>
      <c r="B264" s="4">
        <v>1999</v>
      </c>
      <c r="C264" s="4" t="s">
        <v>28</v>
      </c>
      <c r="D264" s="6">
        <v>317000</v>
      </c>
    </row>
    <row r="265" spans="1:4" x14ac:dyDescent="0.2">
      <c r="A265" s="4" t="s">
        <v>16</v>
      </c>
      <c r="B265" s="4">
        <v>1999</v>
      </c>
      <c r="C265" s="4" t="s">
        <v>28</v>
      </c>
      <c r="D265" s="6">
        <v>136000</v>
      </c>
    </row>
    <row r="266" spans="1:4" x14ac:dyDescent="0.2">
      <c r="A266" s="4" t="s">
        <v>17</v>
      </c>
      <c r="B266" s="4">
        <v>1999</v>
      </c>
      <c r="C266" s="4" t="s">
        <v>28</v>
      </c>
      <c r="D266" s="6">
        <v>59000</v>
      </c>
    </row>
    <row r="267" spans="1:4" x14ac:dyDescent="0.2">
      <c r="A267" s="4" t="s">
        <v>18</v>
      </c>
      <c r="B267" s="4">
        <v>1999</v>
      </c>
      <c r="C267" s="4" t="s">
        <v>28</v>
      </c>
      <c r="D267" s="6">
        <v>53900</v>
      </c>
    </row>
    <row r="268" spans="1:4" x14ac:dyDescent="0.2">
      <c r="A268" s="4" t="s">
        <v>19</v>
      </c>
      <c r="B268" s="4">
        <v>1999</v>
      </c>
      <c r="C268" s="4" t="s">
        <v>28</v>
      </c>
      <c r="D268" s="6">
        <v>418400</v>
      </c>
    </row>
    <row r="269" spans="1:4" x14ac:dyDescent="0.2">
      <c r="A269" s="4" t="s">
        <v>20</v>
      </c>
      <c r="B269" s="4">
        <v>1999</v>
      </c>
      <c r="C269" s="4" t="s">
        <v>28</v>
      </c>
      <c r="D269" s="6">
        <v>123200</v>
      </c>
    </row>
    <row r="270" spans="1:4" x14ac:dyDescent="0.2">
      <c r="A270" s="4" t="s">
        <v>21</v>
      </c>
      <c r="B270" s="4">
        <v>1999</v>
      </c>
      <c r="C270" s="4" t="s">
        <v>28</v>
      </c>
      <c r="D270" s="6">
        <v>425300</v>
      </c>
    </row>
    <row r="271" spans="1:4" x14ac:dyDescent="0.2">
      <c r="A271" s="4" t="s">
        <v>22</v>
      </c>
      <c r="B271" s="4">
        <v>1999</v>
      </c>
      <c r="C271" s="4" t="s">
        <v>28</v>
      </c>
      <c r="D271" s="6">
        <v>369800</v>
      </c>
    </row>
    <row r="272" spans="1:4" x14ac:dyDescent="0.2">
      <c r="A272" s="4" t="s">
        <v>23</v>
      </c>
      <c r="B272" s="4">
        <v>1999</v>
      </c>
      <c r="C272" s="4" t="s">
        <v>28</v>
      </c>
      <c r="D272" s="6">
        <v>80500</v>
      </c>
    </row>
    <row r="273" spans="1:4" x14ac:dyDescent="0.2">
      <c r="A273" s="4" t="s">
        <v>24</v>
      </c>
      <c r="B273" s="4">
        <v>1999</v>
      </c>
      <c r="C273" s="4" t="s">
        <v>28</v>
      </c>
      <c r="D273" s="6">
        <v>126300.00000000013</v>
      </c>
    </row>
    <row r="274" spans="1:4" x14ac:dyDescent="0.2">
      <c r="A274" s="4" t="s">
        <v>25</v>
      </c>
      <c r="B274" s="4">
        <v>1999</v>
      </c>
      <c r="C274" s="4" t="s">
        <v>28</v>
      </c>
      <c r="D274" s="6">
        <v>510300</v>
      </c>
    </row>
    <row r="275" spans="1:4" x14ac:dyDescent="0.2">
      <c r="A275" s="4" t="s">
        <v>5</v>
      </c>
      <c r="B275" s="4">
        <v>2011</v>
      </c>
      <c r="C275" s="4" t="s">
        <v>28</v>
      </c>
      <c r="D275" s="6">
        <v>439900</v>
      </c>
    </row>
    <row r="276" spans="1:4" x14ac:dyDescent="0.2">
      <c r="A276" s="4" t="s">
        <v>6</v>
      </c>
      <c r="B276" s="4">
        <v>2011</v>
      </c>
      <c r="C276" s="4" t="s">
        <v>28</v>
      </c>
      <c r="D276" s="6">
        <v>14500</v>
      </c>
    </row>
    <row r="277" spans="1:4" x14ac:dyDescent="0.2">
      <c r="A277" s="4" t="s">
        <v>7</v>
      </c>
      <c r="B277" s="4">
        <v>2011</v>
      </c>
      <c r="C277" s="4" t="s">
        <v>28</v>
      </c>
      <c r="D277" s="6">
        <v>199200.00000000003</v>
      </c>
    </row>
    <row r="278" spans="1:4" x14ac:dyDescent="0.2">
      <c r="A278" s="4" t="s">
        <v>8</v>
      </c>
      <c r="B278" s="4">
        <v>2011</v>
      </c>
      <c r="C278" s="4" t="s">
        <v>28</v>
      </c>
      <c r="D278" s="6">
        <v>1041599.9999999999</v>
      </c>
    </row>
    <row r="279" spans="1:4" x14ac:dyDescent="0.2">
      <c r="A279" s="4" t="s">
        <v>9</v>
      </c>
      <c r="B279" s="4">
        <v>2011</v>
      </c>
      <c r="C279" s="4" t="s">
        <v>28</v>
      </c>
      <c r="D279" s="6">
        <v>126700</v>
      </c>
    </row>
    <row r="280" spans="1:4" x14ac:dyDescent="0.2">
      <c r="A280" s="4" t="s">
        <v>10</v>
      </c>
      <c r="B280" s="4">
        <v>2011</v>
      </c>
      <c r="C280" s="4" t="s">
        <v>28</v>
      </c>
      <c r="D280" s="6">
        <v>22800</v>
      </c>
    </row>
    <row r="281" spans="1:4" x14ac:dyDescent="0.2">
      <c r="A281" s="4" t="s">
        <v>11</v>
      </c>
      <c r="B281" s="4">
        <v>2011</v>
      </c>
      <c r="C281" s="4" t="s">
        <v>28</v>
      </c>
      <c r="D281" s="6">
        <v>451299.99999999994</v>
      </c>
    </row>
    <row r="282" spans="1:4" x14ac:dyDescent="0.2">
      <c r="A282" s="4" t="s">
        <v>12</v>
      </c>
      <c r="B282" s="4">
        <v>2011</v>
      </c>
      <c r="C282" s="4" t="s">
        <v>28</v>
      </c>
      <c r="D282" s="6">
        <v>323400.00000000006</v>
      </c>
    </row>
    <row r="283" spans="1:4" x14ac:dyDescent="0.2">
      <c r="A283" s="4" t="s">
        <v>13</v>
      </c>
      <c r="B283" s="4">
        <v>2011</v>
      </c>
      <c r="C283" s="4" t="s">
        <v>28</v>
      </c>
      <c r="D283" s="6">
        <v>44400.000000000007</v>
      </c>
    </row>
    <row r="284" spans="1:4" x14ac:dyDescent="0.2">
      <c r="A284" s="4" t="s">
        <v>14</v>
      </c>
      <c r="B284" s="4">
        <v>2011</v>
      </c>
      <c r="C284" s="4" t="s">
        <v>28</v>
      </c>
      <c r="D284" s="6">
        <v>163000</v>
      </c>
    </row>
    <row r="285" spans="1:4" x14ac:dyDescent="0.2">
      <c r="A285" s="4" t="s">
        <v>15</v>
      </c>
      <c r="B285" s="4">
        <v>2011</v>
      </c>
      <c r="C285" s="4" t="s">
        <v>28</v>
      </c>
      <c r="D285" s="6">
        <v>378900.00000000006</v>
      </c>
    </row>
    <row r="286" spans="1:4" x14ac:dyDescent="0.2">
      <c r="A286" s="4" t="s">
        <v>16</v>
      </c>
      <c r="B286" s="4">
        <v>2011</v>
      </c>
      <c r="C286" s="4" t="s">
        <v>28</v>
      </c>
      <c r="D286" s="6">
        <v>159600</v>
      </c>
    </row>
    <row r="287" spans="1:4" x14ac:dyDescent="0.2">
      <c r="A287" s="4" t="s">
        <v>17</v>
      </c>
      <c r="B287" s="4">
        <v>2011</v>
      </c>
      <c r="C287" s="4" t="s">
        <v>28</v>
      </c>
      <c r="D287" s="6">
        <v>71300</v>
      </c>
    </row>
    <row r="288" spans="1:4" x14ac:dyDescent="0.2">
      <c r="A288" s="4" t="s">
        <v>18</v>
      </c>
      <c r="B288" s="4">
        <v>2011</v>
      </c>
      <c r="C288" s="4" t="s">
        <v>28</v>
      </c>
      <c r="D288" s="6">
        <v>54100</v>
      </c>
    </row>
    <row r="289" spans="1:4" x14ac:dyDescent="0.2">
      <c r="A289" s="4" t="s">
        <v>19</v>
      </c>
      <c r="B289" s="4">
        <v>2011</v>
      </c>
      <c r="C289" s="4" t="s">
        <v>28</v>
      </c>
      <c r="D289" s="6">
        <v>533600</v>
      </c>
    </row>
    <row r="290" spans="1:4" x14ac:dyDescent="0.2">
      <c r="A290" s="4" t="s">
        <v>20</v>
      </c>
      <c r="B290" s="4">
        <v>2011</v>
      </c>
      <c r="C290" s="4" t="s">
        <v>28</v>
      </c>
      <c r="D290" s="6">
        <v>124700</v>
      </c>
    </row>
    <row r="291" spans="1:4" x14ac:dyDescent="0.2">
      <c r="A291" s="4" t="s">
        <v>21</v>
      </c>
      <c r="B291" s="4">
        <v>2011</v>
      </c>
      <c r="C291" s="4" t="s">
        <v>28</v>
      </c>
      <c r="D291" s="6">
        <v>488900.00000000006</v>
      </c>
    </row>
    <row r="292" spans="1:4" x14ac:dyDescent="0.2">
      <c r="A292" s="4" t="s">
        <v>22</v>
      </c>
      <c r="B292" s="4">
        <v>2011</v>
      </c>
      <c r="C292" s="4" t="s">
        <v>28</v>
      </c>
      <c r="D292" s="6">
        <v>418200</v>
      </c>
    </row>
    <row r="293" spans="1:4" x14ac:dyDescent="0.2">
      <c r="A293" s="4" t="s">
        <v>23</v>
      </c>
      <c r="B293" s="4">
        <v>2011</v>
      </c>
      <c r="C293" s="4" t="s">
        <v>28</v>
      </c>
      <c r="D293" s="6">
        <v>96700</v>
      </c>
    </row>
    <row r="294" spans="1:4" x14ac:dyDescent="0.2">
      <c r="A294" s="4" t="s">
        <v>24</v>
      </c>
      <c r="B294" s="4">
        <v>2011</v>
      </c>
      <c r="C294" s="4" t="s">
        <v>28</v>
      </c>
      <c r="D294" s="6">
        <v>155600</v>
      </c>
    </row>
    <row r="295" spans="1:4" x14ac:dyDescent="0.2">
      <c r="A295" s="4" t="s">
        <v>25</v>
      </c>
      <c r="B295" s="4">
        <v>2011</v>
      </c>
      <c r="C295" s="4" t="s">
        <v>28</v>
      </c>
      <c r="D295" s="6">
        <v>635400</v>
      </c>
    </row>
    <row r="296" spans="1:4" x14ac:dyDescent="0.2">
      <c r="A296" s="4" t="s">
        <v>5</v>
      </c>
      <c r="B296" s="4">
        <v>2012</v>
      </c>
      <c r="C296" s="4" t="s">
        <v>28</v>
      </c>
      <c r="D296" s="6">
        <v>443900.00000000006</v>
      </c>
    </row>
    <row r="297" spans="1:4" x14ac:dyDescent="0.2">
      <c r="A297" s="4" t="s">
        <v>6</v>
      </c>
      <c r="B297" s="4">
        <v>2012</v>
      </c>
      <c r="C297" s="4" t="s">
        <v>28</v>
      </c>
      <c r="D297" s="6">
        <v>14000</v>
      </c>
    </row>
    <row r="298" spans="1:4" x14ac:dyDescent="0.2">
      <c r="A298" s="4" t="s">
        <v>7</v>
      </c>
      <c r="B298" s="4">
        <v>2012</v>
      </c>
      <c r="C298" s="4" t="s">
        <v>28</v>
      </c>
      <c r="D298" s="6">
        <v>199900</v>
      </c>
    </row>
    <row r="299" spans="1:4" x14ac:dyDescent="0.2">
      <c r="A299" s="4" t="s">
        <v>8</v>
      </c>
      <c r="B299" s="4">
        <v>2012</v>
      </c>
      <c r="C299" s="4" t="s">
        <v>28</v>
      </c>
      <c r="D299" s="6">
        <v>1095300</v>
      </c>
    </row>
    <row r="300" spans="1:4" x14ac:dyDescent="0.2">
      <c r="A300" s="4" t="s">
        <v>9</v>
      </c>
      <c r="B300" s="4">
        <v>2012</v>
      </c>
      <c r="C300" s="4" t="s">
        <v>28</v>
      </c>
      <c r="D300" s="6">
        <v>131600</v>
      </c>
    </row>
    <row r="301" spans="1:4" x14ac:dyDescent="0.2">
      <c r="A301" s="4" t="s">
        <v>10</v>
      </c>
      <c r="B301" s="4">
        <v>2012</v>
      </c>
      <c r="C301" s="4" t="s">
        <v>28</v>
      </c>
      <c r="D301" s="6">
        <v>24400</v>
      </c>
    </row>
    <row r="302" spans="1:4" x14ac:dyDescent="0.2">
      <c r="A302" s="4" t="s">
        <v>11</v>
      </c>
      <c r="B302" s="4">
        <v>2012</v>
      </c>
      <c r="C302" s="4" t="s">
        <v>28</v>
      </c>
      <c r="D302" s="6">
        <v>465800</v>
      </c>
    </row>
    <row r="303" spans="1:4" x14ac:dyDescent="0.2">
      <c r="A303" s="4" t="s">
        <v>12</v>
      </c>
      <c r="B303" s="4">
        <v>2012</v>
      </c>
      <c r="C303" s="4" t="s">
        <v>28</v>
      </c>
      <c r="D303" s="6">
        <v>326000</v>
      </c>
    </row>
    <row r="304" spans="1:4" x14ac:dyDescent="0.2">
      <c r="A304" s="4" t="s">
        <v>13</v>
      </c>
      <c r="B304" s="4">
        <v>2012</v>
      </c>
      <c r="C304" s="4" t="s">
        <v>28</v>
      </c>
      <c r="D304" s="6">
        <v>43600</v>
      </c>
    </row>
    <row r="305" spans="1:4" x14ac:dyDescent="0.2">
      <c r="A305" s="4" t="s">
        <v>14</v>
      </c>
      <c r="B305" s="4">
        <v>2012</v>
      </c>
      <c r="C305" s="4" t="s">
        <v>28</v>
      </c>
      <c r="D305" s="6">
        <v>156800</v>
      </c>
    </row>
    <row r="306" spans="1:4" x14ac:dyDescent="0.2">
      <c r="A306" s="4" t="s">
        <v>15</v>
      </c>
      <c r="B306" s="4">
        <v>2012</v>
      </c>
      <c r="C306" s="4" t="s">
        <v>28</v>
      </c>
      <c r="D306" s="6">
        <v>368800</v>
      </c>
    </row>
    <row r="307" spans="1:4" x14ac:dyDescent="0.2">
      <c r="A307" s="4" t="s">
        <v>16</v>
      </c>
      <c r="B307" s="4">
        <v>2012</v>
      </c>
      <c r="C307" s="4" t="s">
        <v>28</v>
      </c>
      <c r="D307" s="6">
        <v>164100</v>
      </c>
    </row>
    <row r="308" spans="1:4" x14ac:dyDescent="0.2">
      <c r="A308" s="4" t="s">
        <v>17</v>
      </c>
      <c r="B308" s="4">
        <v>2012</v>
      </c>
      <c r="C308" s="4" t="s">
        <v>28</v>
      </c>
      <c r="D308" s="6">
        <v>75500</v>
      </c>
    </row>
    <row r="309" spans="1:4" x14ac:dyDescent="0.2">
      <c r="A309" s="4" t="s">
        <v>18</v>
      </c>
      <c r="B309" s="4">
        <v>2012</v>
      </c>
      <c r="C309" s="4" t="s">
        <v>28</v>
      </c>
      <c r="D309" s="6">
        <v>56600</v>
      </c>
    </row>
    <row r="310" spans="1:4" x14ac:dyDescent="0.2">
      <c r="A310" s="4" t="s">
        <v>19</v>
      </c>
      <c r="B310" s="4">
        <v>2012</v>
      </c>
      <c r="C310" s="4" t="s">
        <v>28</v>
      </c>
      <c r="D310" s="6">
        <v>559000</v>
      </c>
    </row>
    <row r="311" spans="1:4" x14ac:dyDescent="0.2">
      <c r="A311" s="4" t="s">
        <v>20</v>
      </c>
      <c r="B311" s="4">
        <v>2012</v>
      </c>
      <c r="C311" s="4" t="s">
        <v>28</v>
      </c>
      <c r="D311" s="6">
        <v>117200</v>
      </c>
    </row>
    <row r="312" spans="1:4" x14ac:dyDescent="0.2">
      <c r="A312" s="4" t="s">
        <v>21</v>
      </c>
      <c r="B312" s="4">
        <v>2012</v>
      </c>
      <c r="C312" s="4" t="s">
        <v>28</v>
      </c>
      <c r="D312" s="6">
        <v>490900</v>
      </c>
    </row>
    <row r="313" spans="1:4" x14ac:dyDescent="0.2">
      <c r="A313" s="4" t="s">
        <v>22</v>
      </c>
      <c r="B313" s="4">
        <v>2012</v>
      </c>
      <c r="C313" s="4" t="s">
        <v>28</v>
      </c>
      <c r="D313" s="6">
        <v>426600</v>
      </c>
    </row>
    <row r="314" spans="1:4" x14ac:dyDescent="0.2">
      <c r="A314" s="4" t="s">
        <v>23</v>
      </c>
      <c r="B314" s="4">
        <v>2012</v>
      </c>
      <c r="C314" s="4" t="s">
        <v>28</v>
      </c>
      <c r="D314" s="6">
        <v>95500</v>
      </c>
    </row>
    <row r="315" spans="1:4" x14ac:dyDescent="0.2">
      <c r="A315" s="4" t="s">
        <v>24</v>
      </c>
      <c r="B315" s="4">
        <v>2012</v>
      </c>
      <c r="C315" s="4" t="s">
        <v>28</v>
      </c>
      <c r="D315" s="6">
        <v>153100</v>
      </c>
    </row>
    <row r="316" spans="1:4" x14ac:dyDescent="0.2">
      <c r="A316" s="4" t="s">
        <v>25</v>
      </c>
      <c r="B316" s="4">
        <v>2012</v>
      </c>
      <c r="C316" s="4" t="s">
        <v>28</v>
      </c>
      <c r="D316" s="6">
        <v>648900.00000000012</v>
      </c>
    </row>
    <row r="317" spans="1:4" x14ac:dyDescent="0.2">
      <c r="A317" s="4" t="s">
        <v>5</v>
      </c>
      <c r="B317" s="4">
        <v>2019</v>
      </c>
      <c r="C317" s="4" t="s">
        <v>28</v>
      </c>
      <c r="D317" s="6">
        <v>450300</v>
      </c>
    </row>
    <row r="318" spans="1:4" x14ac:dyDescent="0.2">
      <c r="A318" s="4" t="s">
        <v>6</v>
      </c>
      <c r="B318" s="4">
        <v>2019</v>
      </c>
      <c r="C318" s="4" t="s">
        <v>28</v>
      </c>
      <c r="D318" s="6">
        <v>14700</v>
      </c>
    </row>
    <row r="319" spans="1:4" x14ac:dyDescent="0.2">
      <c r="A319" s="4" t="s">
        <v>7</v>
      </c>
      <c r="B319" s="4">
        <v>2019</v>
      </c>
      <c r="C319" s="4" t="s">
        <v>28</v>
      </c>
      <c r="D319" s="6">
        <v>190900</v>
      </c>
    </row>
    <row r="320" spans="1:4" x14ac:dyDescent="0.2">
      <c r="A320" s="4" t="s">
        <v>8</v>
      </c>
      <c r="B320" s="4">
        <v>2019</v>
      </c>
      <c r="C320" s="4" t="s">
        <v>28</v>
      </c>
      <c r="D320" s="6">
        <v>1145100</v>
      </c>
    </row>
    <row r="321" spans="1:4" x14ac:dyDescent="0.2">
      <c r="A321" s="4" t="s">
        <v>9</v>
      </c>
      <c r="B321" s="4">
        <v>2019</v>
      </c>
      <c r="C321" s="4" t="s">
        <v>28</v>
      </c>
      <c r="D321" s="6">
        <v>130500</v>
      </c>
    </row>
    <row r="322" spans="1:4" x14ac:dyDescent="0.2">
      <c r="A322" s="4" t="s">
        <v>10</v>
      </c>
      <c r="B322" s="4">
        <v>2019</v>
      </c>
      <c r="C322" s="4" t="s">
        <v>28</v>
      </c>
      <c r="D322" s="6">
        <v>29600</v>
      </c>
    </row>
    <row r="323" spans="1:4" x14ac:dyDescent="0.2">
      <c r="A323" s="4" t="s">
        <v>11</v>
      </c>
      <c r="B323" s="4">
        <v>2019</v>
      </c>
      <c r="C323" s="4" t="s">
        <v>28</v>
      </c>
      <c r="D323" s="6">
        <v>488600</v>
      </c>
    </row>
    <row r="324" spans="1:4" x14ac:dyDescent="0.2">
      <c r="A324" s="4" t="s">
        <v>12</v>
      </c>
      <c r="B324" s="4">
        <v>2019</v>
      </c>
      <c r="C324" s="4" t="s">
        <v>28</v>
      </c>
      <c r="D324" s="6">
        <v>333500</v>
      </c>
    </row>
    <row r="325" spans="1:4" x14ac:dyDescent="0.2">
      <c r="A325" s="4" t="s">
        <v>13</v>
      </c>
      <c r="B325" s="4">
        <v>2019</v>
      </c>
      <c r="C325" s="4" t="s">
        <v>28</v>
      </c>
      <c r="D325" s="6">
        <v>46500</v>
      </c>
    </row>
    <row r="326" spans="1:4" x14ac:dyDescent="0.2">
      <c r="A326" s="4" t="s">
        <v>14</v>
      </c>
      <c r="B326" s="4">
        <v>2019</v>
      </c>
      <c r="C326" s="4" t="s">
        <v>28</v>
      </c>
      <c r="D326" s="6">
        <v>155800</v>
      </c>
    </row>
    <row r="327" spans="1:4" x14ac:dyDescent="0.2">
      <c r="A327" s="4" t="s">
        <v>15</v>
      </c>
      <c r="B327" s="4">
        <v>2019</v>
      </c>
      <c r="C327" s="4" t="s">
        <v>28</v>
      </c>
      <c r="D327" s="6">
        <v>386100</v>
      </c>
    </row>
    <row r="328" spans="1:4" x14ac:dyDescent="0.2">
      <c r="A328" s="4" t="s">
        <v>16</v>
      </c>
      <c r="B328" s="4">
        <v>2019</v>
      </c>
      <c r="C328" s="4" t="s">
        <v>28</v>
      </c>
      <c r="D328" s="6">
        <v>176000</v>
      </c>
    </row>
    <row r="329" spans="1:4" x14ac:dyDescent="0.2">
      <c r="A329" s="4" t="s">
        <v>17</v>
      </c>
      <c r="B329" s="4">
        <v>2019</v>
      </c>
      <c r="C329" s="4" t="s">
        <v>28</v>
      </c>
      <c r="D329" s="6">
        <v>79500</v>
      </c>
    </row>
    <row r="330" spans="1:4" x14ac:dyDescent="0.2">
      <c r="A330" s="4" t="s">
        <v>18</v>
      </c>
      <c r="B330" s="4">
        <v>2019</v>
      </c>
      <c r="C330" s="4" t="s">
        <v>28</v>
      </c>
      <c r="D330" s="6">
        <v>62300</v>
      </c>
    </row>
    <row r="331" spans="1:4" x14ac:dyDescent="0.2">
      <c r="A331" s="4" t="s">
        <v>19</v>
      </c>
      <c r="B331" s="4">
        <v>2019</v>
      </c>
      <c r="C331" s="4" t="s">
        <v>28</v>
      </c>
      <c r="D331" s="6">
        <v>566800</v>
      </c>
    </row>
    <row r="332" spans="1:4" x14ac:dyDescent="0.2">
      <c r="A332" s="4" t="s">
        <v>20</v>
      </c>
      <c r="B332" s="4">
        <v>2019</v>
      </c>
      <c r="C332" s="4" t="s">
        <v>28</v>
      </c>
      <c r="D332" s="6">
        <v>124600.00000000001</v>
      </c>
    </row>
    <row r="333" spans="1:4" x14ac:dyDescent="0.2">
      <c r="A333" s="4" t="s">
        <v>21</v>
      </c>
      <c r="B333" s="4">
        <v>2019</v>
      </c>
      <c r="C333" s="4" t="s">
        <v>28</v>
      </c>
      <c r="D333" s="6">
        <v>508900.00000000006</v>
      </c>
    </row>
    <row r="334" spans="1:4" x14ac:dyDescent="0.2">
      <c r="A334" s="4" t="s">
        <v>22</v>
      </c>
      <c r="B334" s="4">
        <v>2019</v>
      </c>
      <c r="C334" s="4" t="s">
        <v>28</v>
      </c>
      <c r="D334" s="6">
        <v>434000</v>
      </c>
    </row>
    <row r="335" spans="1:4" x14ac:dyDescent="0.2">
      <c r="A335" s="4" t="s">
        <v>23</v>
      </c>
      <c r="B335" s="4">
        <v>2019</v>
      </c>
      <c r="C335" s="4" t="s">
        <v>28</v>
      </c>
      <c r="D335" s="6">
        <v>98400</v>
      </c>
    </row>
    <row r="336" spans="1:4" x14ac:dyDescent="0.2">
      <c r="A336" s="4" t="s">
        <v>24</v>
      </c>
      <c r="B336" s="4">
        <v>2019</v>
      </c>
      <c r="C336" s="4" t="s">
        <v>28</v>
      </c>
      <c r="D336" s="6">
        <v>159000</v>
      </c>
    </row>
    <row r="337" spans="1:4" x14ac:dyDescent="0.2">
      <c r="A337" s="4" t="s">
        <v>25</v>
      </c>
      <c r="B337" s="4">
        <v>2019</v>
      </c>
      <c r="C337" s="4" t="s">
        <v>28</v>
      </c>
      <c r="D337" s="6">
        <v>710000</v>
      </c>
    </row>
    <row r="338" spans="1:4" x14ac:dyDescent="0.2">
      <c r="A338" s="4" t="s">
        <v>5</v>
      </c>
      <c r="B338" s="4">
        <v>1999</v>
      </c>
      <c r="C338" s="4" t="s">
        <v>29</v>
      </c>
      <c r="D338" s="6">
        <v>166200</v>
      </c>
    </row>
    <row r="339" spans="1:4" x14ac:dyDescent="0.2">
      <c r="A339" s="4" t="s">
        <v>6</v>
      </c>
      <c r="B339" s="4">
        <v>1999</v>
      </c>
      <c r="C339" s="4" t="s">
        <v>29</v>
      </c>
      <c r="D339" s="6">
        <v>3900</v>
      </c>
    </row>
    <row r="340" spans="1:4" x14ac:dyDescent="0.2">
      <c r="A340" s="4" t="s">
        <v>7</v>
      </c>
      <c r="B340" s="4">
        <v>1999</v>
      </c>
      <c r="C340" s="4" t="s">
        <v>29</v>
      </c>
      <c r="D340" s="6">
        <v>73800</v>
      </c>
    </row>
    <row r="341" spans="1:4" x14ac:dyDescent="0.2">
      <c r="A341" s="4" t="s">
        <v>8</v>
      </c>
      <c r="B341" s="4">
        <v>1999</v>
      </c>
      <c r="C341" s="4" t="s">
        <v>29</v>
      </c>
      <c r="D341" s="6">
        <v>486200</v>
      </c>
    </row>
    <row r="342" spans="1:4" x14ac:dyDescent="0.2">
      <c r="A342" s="4" t="s">
        <v>9</v>
      </c>
      <c r="B342" s="4">
        <v>1999</v>
      </c>
      <c r="C342" s="4" t="s">
        <v>29</v>
      </c>
      <c r="D342" s="6">
        <v>34800</v>
      </c>
    </row>
    <row r="343" spans="1:4" x14ac:dyDescent="0.2">
      <c r="A343" s="4" t="s">
        <v>10</v>
      </c>
      <c r="B343" s="4">
        <v>1999</v>
      </c>
      <c r="C343" s="4" t="s">
        <v>29</v>
      </c>
      <c r="D343" s="6">
        <v>7400</v>
      </c>
    </row>
    <row r="344" spans="1:4" x14ac:dyDescent="0.2">
      <c r="A344" s="4" t="s">
        <v>11</v>
      </c>
      <c r="B344" s="4">
        <v>1999</v>
      </c>
      <c r="C344" s="4" t="s">
        <v>29</v>
      </c>
      <c r="D344" s="6">
        <v>116400</v>
      </c>
    </row>
    <row r="345" spans="1:4" x14ac:dyDescent="0.2">
      <c r="A345" s="4" t="s">
        <v>12</v>
      </c>
      <c r="B345" s="4">
        <v>1999</v>
      </c>
      <c r="C345" s="4" t="s">
        <v>29</v>
      </c>
      <c r="D345" s="6">
        <v>69300</v>
      </c>
    </row>
    <row r="346" spans="1:4" x14ac:dyDescent="0.2">
      <c r="A346" s="4" t="s">
        <v>13</v>
      </c>
      <c r="B346" s="4">
        <v>1999</v>
      </c>
      <c r="C346" s="4" t="s">
        <v>29</v>
      </c>
      <c r="D346" s="6">
        <v>8100</v>
      </c>
    </row>
    <row r="347" spans="1:4" x14ac:dyDescent="0.2">
      <c r="A347" s="4" t="s">
        <v>14</v>
      </c>
      <c r="B347" s="4">
        <v>1999</v>
      </c>
      <c r="C347" s="4" t="s">
        <v>29</v>
      </c>
      <c r="D347" s="6">
        <v>34900</v>
      </c>
    </row>
    <row r="348" spans="1:4" x14ac:dyDescent="0.2">
      <c r="A348" s="4" t="s">
        <v>15</v>
      </c>
      <c r="B348" s="4">
        <v>1999</v>
      </c>
      <c r="C348" s="4" t="s">
        <v>29</v>
      </c>
      <c r="D348" s="6">
        <v>95400</v>
      </c>
    </row>
    <row r="349" spans="1:4" x14ac:dyDescent="0.2">
      <c r="A349" s="4" t="s">
        <v>16</v>
      </c>
      <c r="B349" s="4">
        <v>1999</v>
      </c>
      <c r="C349" s="4" t="s">
        <v>29</v>
      </c>
      <c r="D349" s="6">
        <v>33100</v>
      </c>
    </row>
    <row r="350" spans="1:4" x14ac:dyDescent="0.2">
      <c r="A350" s="4" t="s">
        <v>17</v>
      </c>
      <c r="B350" s="4">
        <v>1999</v>
      </c>
      <c r="C350" s="4" t="s">
        <v>29</v>
      </c>
      <c r="D350" s="6">
        <v>14200</v>
      </c>
    </row>
    <row r="351" spans="1:4" x14ac:dyDescent="0.2">
      <c r="A351" s="4" t="s">
        <v>18</v>
      </c>
      <c r="B351" s="4">
        <v>1999</v>
      </c>
      <c r="C351" s="4" t="s">
        <v>29</v>
      </c>
      <c r="D351" s="6">
        <v>16100.000000000002</v>
      </c>
    </row>
    <row r="352" spans="1:4" x14ac:dyDescent="0.2">
      <c r="A352" s="4" t="s">
        <v>19</v>
      </c>
      <c r="B352" s="4">
        <v>1999</v>
      </c>
      <c r="C352" s="4" t="s">
        <v>29</v>
      </c>
      <c r="D352" s="6">
        <v>161400</v>
      </c>
    </row>
    <row r="353" spans="1:4" x14ac:dyDescent="0.2">
      <c r="A353" s="4" t="s">
        <v>20</v>
      </c>
      <c r="B353" s="4">
        <v>1999</v>
      </c>
      <c r="C353" s="4" t="s">
        <v>29</v>
      </c>
      <c r="D353" s="6">
        <v>41400</v>
      </c>
    </row>
    <row r="354" spans="1:4" x14ac:dyDescent="0.2">
      <c r="A354" s="4" t="s">
        <v>21</v>
      </c>
      <c r="B354" s="4">
        <v>1999</v>
      </c>
      <c r="C354" s="4" t="s">
        <v>29</v>
      </c>
      <c r="D354" s="6">
        <v>163099.99999999997</v>
      </c>
    </row>
    <row r="355" spans="1:4" x14ac:dyDescent="0.2">
      <c r="A355" s="4" t="s">
        <v>22</v>
      </c>
      <c r="B355" s="4">
        <v>1999</v>
      </c>
      <c r="C355" s="4" t="s">
        <v>29</v>
      </c>
      <c r="D355" s="6">
        <v>128199.99999999999</v>
      </c>
    </row>
    <row r="356" spans="1:4" x14ac:dyDescent="0.2">
      <c r="A356" s="4" t="s">
        <v>23</v>
      </c>
      <c r="B356" s="4">
        <v>1999</v>
      </c>
      <c r="C356" s="4" t="s">
        <v>29</v>
      </c>
      <c r="D356" s="6">
        <v>24600</v>
      </c>
    </row>
    <row r="357" spans="1:4" x14ac:dyDescent="0.2">
      <c r="A357" s="4" t="s">
        <v>24</v>
      </c>
      <c r="B357" s="4">
        <v>1999</v>
      </c>
      <c r="C357" s="4" t="s">
        <v>29</v>
      </c>
      <c r="D357" s="6">
        <v>49699.999999999985</v>
      </c>
    </row>
    <row r="358" spans="1:4" x14ac:dyDescent="0.2">
      <c r="A358" s="4" t="s">
        <v>25</v>
      </c>
      <c r="B358" s="4">
        <v>1999</v>
      </c>
      <c r="C358" s="4" t="s">
        <v>29</v>
      </c>
      <c r="D358" s="6">
        <v>268400</v>
      </c>
    </row>
    <row r="359" spans="1:4" x14ac:dyDescent="0.2">
      <c r="A359" s="4" t="s">
        <v>5</v>
      </c>
      <c r="B359" s="4">
        <v>2011</v>
      </c>
      <c r="C359" s="4" t="s">
        <v>29</v>
      </c>
      <c r="D359" s="6">
        <v>235000</v>
      </c>
    </row>
    <row r="360" spans="1:4" x14ac:dyDescent="0.2">
      <c r="A360" s="4" t="s">
        <v>6</v>
      </c>
      <c r="B360" s="4">
        <v>2011</v>
      </c>
      <c r="C360" s="4" t="s">
        <v>29</v>
      </c>
      <c r="D360" s="6">
        <v>4600</v>
      </c>
    </row>
    <row r="361" spans="1:4" x14ac:dyDescent="0.2">
      <c r="A361" s="4" t="s">
        <v>7</v>
      </c>
      <c r="B361" s="4">
        <v>2011</v>
      </c>
      <c r="C361" s="4" t="s">
        <v>29</v>
      </c>
      <c r="D361" s="6">
        <v>94199.999999999985</v>
      </c>
    </row>
    <row r="362" spans="1:4" x14ac:dyDescent="0.2">
      <c r="A362" s="4" t="s">
        <v>8</v>
      </c>
      <c r="B362" s="4">
        <v>2011</v>
      </c>
      <c r="C362" s="4" t="s">
        <v>29</v>
      </c>
      <c r="D362" s="6">
        <v>666100</v>
      </c>
    </row>
    <row r="363" spans="1:4" x14ac:dyDescent="0.2">
      <c r="A363" s="4" t="s">
        <v>9</v>
      </c>
      <c r="B363" s="4">
        <v>2011</v>
      </c>
      <c r="C363" s="4" t="s">
        <v>29</v>
      </c>
      <c r="D363" s="6">
        <v>54800.000000000007</v>
      </c>
    </row>
    <row r="364" spans="1:4" x14ac:dyDescent="0.2">
      <c r="A364" s="4" t="s">
        <v>10</v>
      </c>
      <c r="B364" s="4">
        <v>2011</v>
      </c>
      <c r="C364" s="4" t="s">
        <v>29</v>
      </c>
      <c r="D364" s="6">
        <v>9700</v>
      </c>
    </row>
    <row r="365" spans="1:4" x14ac:dyDescent="0.2">
      <c r="A365" s="4" t="s">
        <v>11</v>
      </c>
      <c r="B365" s="4">
        <v>2011</v>
      </c>
      <c r="C365" s="4" t="s">
        <v>29</v>
      </c>
      <c r="D365" s="6">
        <v>191600.00000000003</v>
      </c>
    </row>
    <row r="366" spans="1:4" x14ac:dyDescent="0.2">
      <c r="A366" s="4" t="s">
        <v>12</v>
      </c>
      <c r="B366" s="4">
        <v>2011</v>
      </c>
      <c r="C366" s="4" t="s">
        <v>29</v>
      </c>
      <c r="D366" s="6">
        <v>147100.00000000003</v>
      </c>
    </row>
    <row r="367" spans="1:4" x14ac:dyDescent="0.2">
      <c r="A367" s="4" t="s">
        <v>13</v>
      </c>
      <c r="B367" s="4">
        <v>2011</v>
      </c>
      <c r="C367" s="4" t="s">
        <v>29</v>
      </c>
      <c r="D367" s="6">
        <v>19600</v>
      </c>
    </row>
    <row r="368" spans="1:4" x14ac:dyDescent="0.2">
      <c r="A368" s="4" t="s">
        <v>14</v>
      </c>
      <c r="B368" s="4">
        <v>2011</v>
      </c>
      <c r="C368" s="4" t="s">
        <v>29</v>
      </c>
      <c r="D368" s="6">
        <v>58400.000000000007</v>
      </c>
    </row>
    <row r="369" spans="1:4" x14ac:dyDescent="0.2">
      <c r="A369" s="4" t="s">
        <v>15</v>
      </c>
      <c r="B369" s="4">
        <v>2011</v>
      </c>
      <c r="C369" s="4" t="s">
        <v>29</v>
      </c>
      <c r="D369" s="6">
        <v>154600</v>
      </c>
    </row>
    <row r="370" spans="1:4" x14ac:dyDescent="0.2">
      <c r="A370" s="4" t="s">
        <v>16</v>
      </c>
      <c r="B370" s="4">
        <v>2011</v>
      </c>
      <c r="C370" s="4" t="s">
        <v>29</v>
      </c>
      <c r="D370" s="6">
        <v>72000</v>
      </c>
    </row>
    <row r="371" spans="1:4" x14ac:dyDescent="0.2">
      <c r="A371" s="4" t="s">
        <v>17</v>
      </c>
      <c r="B371" s="4">
        <v>2011</v>
      </c>
      <c r="C371" s="4" t="s">
        <v>29</v>
      </c>
      <c r="D371" s="6">
        <v>23900</v>
      </c>
    </row>
    <row r="372" spans="1:4" x14ac:dyDescent="0.2">
      <c r="A372" s="4" t="s">
        <v>18</v>
      </c>
      <c r="B372" s="4">
        <v>2011</v>
      </c>
      <c r="C372" s="4" t="s">
        <v>29</v>
      </c>
      <c r="D372" s="6">
        <v>27799.999999999996</v>
      </c>
    </row>
    <row r="373" spans="1:4" x14ac:dyDescent="0.2">
      <c r="A373" s="4" t="s">
        <v>19</v>
      </c>
      <c r="B373" s="4">
        <v>2011</v>
      </c>
      <c r="C373" s="4" t="s">
        <v>29</v>
      </c>
      <c r="D373" s="6">
        <v>234000</v>
      </c>
    </row>
    <row r="374" spans="1:4" x14ac:dyDescent="0.2">
      <c r="A374" s="4" t="s">
        <v>20</v>
      </c>
      <c r="B374" s="4">
        <v>2011</v>
      </c>
      <c r="C374" s="4" t="s">
        <v>29</v>
      </c>
      <c r="D374" s="6">
        <v>57800</v>
      </c>
    </row>
    <row r="375" spans="1:4" x14ac:dyDescent="0.2">
      <c r="A375" s="4" t="s">
        <v>21</v>
      </c>
      <c r="B375" s="4">
        <v>2011</v>
      </c>
      <c r="C375" s="4" t="s">
        <v>29</v>
      </c>
      <c r="D375" s="6">
        <v>249900</v>
      </c>
    </row>
    <row r="376" spans="1:4" x14ac:dyDescent="0.2">
      <c r="A376" s="4" t="s">
        <v>22</v>
      </c>
      <c r="B376" s="4">
        <v>2011</v>
      </c>
      <c r="C376" s="4" t="s">
        <v>29</v>
      </c>
      <c r="D376" s="6">
        <v>204500</v>
      </c>
    </row>
    <row r="377" spans="1:4" x14ac:dyDescent="0.2">
      <c r="A377" s="4" t="s">
        <v>23</v>
      </c>
      <c r="B377" s="4">
        <v>2011</v>
      </c>
      <c r="C377" s="4" t="s">
        <v>29</v>
      </c>
      <c r="D377" s="6">
        <v>39700</v>
      </c>
    </row>
    <row r="378" spans="1:4" x14ac:dyDescent="0.2">
      <c r="A378" s="4" t="s">
        <v>24</v>
      </c>
      <c r="B378" s="4">
        <v>2011</v>
      </c>
      <c r="C378" s="4" t="s">
        <v>29</v>
      </c>
      <c r="D378" s="6">
        <v>60800</v>
      </c>
    </row>
    <row r="379" spans="1:4" x14ac:dyDescent="0.2">
      <c r="A379" s="4" t="s">
        <v>25</v>
      </c>
      <c r="B379" s="4">
        <v>2011</v>
      </c>
      <c r="C379" s="4" t="s">
        <v>29</v>
      </c>
      <c r="D379" s="6">
        <v>350100</v>
      </c>
    </row>
    <row r="380" spans="1:4" x14ac:dyDescent="0.2">
      <c r="A380" s="4" t="s">
        <v>5</v>
      </c>
      <c r="B380" s="4">
        <v>2012</v>
      </c>
      <c r="C380" s="4" t="s">
        <v>29</v>
      </c>
      <c r="D380" s="6">
        <v>230500</v>
      </c>
    </row>
    <row r="381" spans="1:4" x14ac:dyDescent="0.2">
      <c r="A381" s="4" t="s">
        <v>6</v>
      </c>
      <c r="B381" s="4">
        <v>2012</v>
      </c>
      <c r="C381" s="4" t="s">
        <v>29</v>
      </c>
      <c r="D381" s="6">
        <v>4900</v>
      </c>
    </row>
    <row r="382" spans="1:4" x14ac:dyDescent="0.2">
      <c r="A382" s="4" t="s">
        <v>7</v>
      </c>
      <c r="B382" s="4">
        <v>2012</v>
      </c>
      <c r="C382" s="4" t="s">
        <v>29</v>
      </c>
      <c r="D382" s="6">
        <v>83200</v>
      </c>
    </row>
    <row r="383" spans="1:4" x14ac:dyDescent="0.2">
      <c r="A383" s="4" t="s">
        <v>8</v>
      </c>
      <c r="B383" s="4">
        <v>2012</v>
      </c>
      <c r="C383" s="4" t="s">
        <v>29</v>
      </c>
      <c r="D383" s="6">
        <v>615700</v>
      </c>
    </row>
    <row r="384" spans="1:4" x14ac:dyDescent="0.2">
      <c r="A384" s="4" t="s">
        <v>9</v>
      </c>
      <c r="B384" s="4">
        <v>2012</v>
      </c>
      <c r="C384" s="4" t="s">
        <v>29</v>
      </c>
      <c r="D384" s="6">
        <v>54700</v>
      </c>
    </row>
    <row r="385" spans="1:4" x14ac:dyDescent="0.2">
      <c r="A385" s="4" t="s">
        <v>10</v>
      </c>
      <c r="B385" s="4">
        <v>2012</v>
      </c>
      <c r="C385" s="4" t="s">
        <v>29</v>
      </c>
      <c r="D385" s="6">
        <v>10900</v>
      </c>
    </row>
    <row r="386" spans="1:4" x14ac:dyDescent="0.2">
      <c r="A386" s="4" t="s">
        <v>11</v>
      </c>
      <c r="B386" s="4">
        <v>2012</v>
      </c>
      <c r="C386" s="4" t="s">
        <v>29</v>
      </c>
      <c r="D386" s="6">
        <v>201899.99999999997</v>
      </c>
    </row>
    <row r="387" spans="1:4" x14ac:dyDescent="0.2">
      <c r="A387" s="4" t="s">
        <v>12</v>
      </c>
      <c r="B387" s="4">
        <v>2012</v>
      </c>
      <c r="C387" s="4" t="s">
        <v>29</v>
      </c>
      <c r="D387" s="6">
        <v>143300</v>
      </c>
    </row>
    <row r="388" spans="1:4" x14ac:dyDescent="0.2">
      <c r="A388" s="4" t="s">
        <v>13</v>
      </c>
      <c r="B388" s="4">
        <v>2012</v>
      </c>
      <c r="C388" s="4" t="s">
        <v>29</v>
      </c>
      <c r="D388" s="6">
        <v>18599.999999999996</v>
      </c>
    </row>
    <row r="389" spans="1:4" x14ac:dyDescent="0.2">
      <c r="A389" s="4" t="s">
        <v>14</v>
      </c>
      <c r="B389" s="4">
        <v>2012</v>
      </c>
      <c r="C389" s="4" t="s">
        <v>29</v>
      </c>
      <c r="D389" s="6">
        <v>63800</v>
      </c>
    </row>
    <row r="390" spans="1:4" x14ac:dyDescent="0.2">
      <c r="A390" s="4" t="s">
        <v>15</v>
      </c>
      <c r="B390" s="4">
        <v>2012</v>
      </c>
      <c r="C390" s="4" t="s">
        <v>29</v>
      </c>
      <c r="D390" s="6">
        <v>153700</v>
      </c>
    </row>
    <row r="391" spans="1:4" x14ac:dyDescent="0.2">
      <c r="A391" s="4" t="s">
        <v>16</v>
      </c>
      <c r="B391" s="4">
        <v>2012</v>
      </c>
      <c r="C391" s="4" t="s">
        <v>29</v>
      </c>
      <c r="D391" s="6">
        <v>74200</v>
      </c>
    </row>
    <row r="392" spans="1:4" x14ac:dyDescent="0.2">
      <c r="A392" s="4" t="s">
        <v>17</v>
      </c>
      <c r="B392" s="4">
        <v>2012</v>
      </c>
      <c r="C392" s="4" t="s">
        <v>29</v>
      </c>
      <c r="D392" s="6">
        <v>24600</v>
      </c>
    </row>
    <row r="393" spans="1:4" x14ac:dyDescent="0.2">
      <c r="A393" s="4" t="s">
        <v>18</v>
      </c>
      <c r="B393" s="4">
        <v>2012</v>
      </c>
      <c r="C393" s="4" t="s">
        <v>29</v>
      </c>
      <c r="D393" s="6">
        <v>26600</v>
      </c>
    </row>
    <row r="394" spans="1:4" x14ac:dyDescent="0.2">
      <c r="A394" s="4" t="s">
        <v>19</v>
      </c>
      <c r="B394" s="4">
        <v>2012</v>
      </c>
      <c r="C394" s="4" t="s">
        <v>29</v>
      </c>
      <c r="D394" s="6">
        <v>223500</v>
      </c>
    </row>
    <row r="395" spans="1:4" x14ac:dyDescent="0.2">
      <c r="A395" s="4" t="s">
        <v>20</v>
      </c>
      <c r="B395" s="4">
        <v>2012</v>
      </c>
      <c r="C395" s="4" t="s">
        <v>29</v>
      </c>
      <c r="D395" s="6">
        <v>64000</v>
      </c>
    </row>
    <row r="396" spans="1:4" x14ac:dyDescent="0.2">
      <c r="A396" s="4" t="s">
        <v>21</v>
      </c>
      <c r="B396" s="4">
        <v>2012</v>
      </c>
      <c r="C396" s="4" t="s">
        <v>29</v>
      </c>
      <c r="D396" s="6">
        <v>249000</v>
      </c>
    </row>
    <row r="397" spans="1:4" x14ac:dyDescent="0.2">
      <c r="A397" s="4" t="s">
        <v>22</v>
      </c>
      <c r="B397" s="4">
        <v>2012</v>
      </c>
      <c r="C397" s="4" t="s">
        <v>29</v>
      </c>
      <c r="D397" s="6">
        <v>212800</v>
      </c>
    </row>
    <row r="398" spans="1:4" x14ac:dyDescent="0.2">
      <c r="A398" s="4" t="s">
        <v>23</v>
      </c>
      <c r="B398" s="4">
        <v>2012</v>
      </c>
      <c r="C398" s="4" t="s">
        <v>29</v>
      </c>
      <c r="D398" s="6">
        <v>38900</v>
      </c>
    </row>
    <row r="399" spans="1:4" x14ac:dyDescent="0.2">
      <c r="A399" s="4" t="s">
        <v>24</v>
      </c>
      <c r="B399" s="4">
        <v>2012</v>
      </c>
      <c r="C399" s="4" t="s">
        <v>29</v>
      </c>
      <c r="D399" s="6">
        <v>71500</v>
      </c>
    </row>
    <row r="400" spans="1:4" x14ac:dyDescent="0.2">
      <c r="A400" s="4" t="s">
        <v>25</v>
      </c>
      <c r="B400" s="4">
        <v>2012</v>
      </c>
      <c r="C400" s="4" t="s">
        <v>29</v>
      </c>
      <c r="D400" s="6">
        <v>340800</v>
      </c>
    </row>
    <row r="401" spans="1:4" x14ac:dyDescent="0.2">
      <c r="A401" s="4" t="s">
        <v>5</v>
      </c>
      <c r="B401" s="4">
        <v>2019</v>
      </c>
      <c r="C401" s="4" t="s">
        <v>29</v>
      </c>
      <c r="D401" s="6">
        <v>260100.00000000003</v>
      </c>
    </row>
    <row r="402" spans="1:4" x14ac:dyDescent="0.2">
      <c r="A402" s="4" t="s">
        <v>6</v>
      </c>
      <c r="B402" s="4">
        <v>2019</v>
      </c>
      <c r="C402" s="4" t="s">
        <v>29</v>
      </c>
      <c r="D402" s="6">
        <v>4900</v>
      </c>
    </row>
    <row r="403" spans="1:4" x14ac:dyDescent="0.2">
      <c r="A403" s="4" t="s">
        <v>7</v>
      </c>
      <c r="B403" s="4">
        <v>2019</v>
      </c>
      <c r="C403" s="4" t="s">
        <v>29</v>
      </c>
      <c r="D403" s="6">
        <v>83000</v>
      </c>
    </row>
    <row r="404" spans="1:4" x14ac:dyDescent="0.2">
      <c r="A404" s="4" t="s">
        <v>8</v>
      </c>
      <c r="B404" s="4">
        <v>2019</v>
      </c>
      <c r="C404" s="4" t="s">
        <v>29</v>
      </c>
      <c r="D404" s="6">
        <v>757000</v>
      </c>
    </row>
    <row r="405" spans="1:4" x14ac:dyDescent="0.2">
      <c r="A405" s="4" t="s">
        <v>9</v>
      </c>
      <c r="B405" s="4">
        <v>2019</v>
      </c>
      <c r="C405" s="4" t="s">
        <v>29</v>
      </c>
      <c r="D405" s="6">
        <v>58900.000000000007</v>
      </c>
    </row>
    <row r="406" spans="1:4" x14ac:dyDescent="0.2">
      <c r="A406" s="4" t="s">
        <v>10</v>
      </c>
      <c r="B406" s="4">
        <v>2019</v>
      </c>
      <c r="C406" s="4" t="s">
        <v>29</v>
      </c>
      <c r="D406" s="6">
        <v>9500</v>
      </c>
    </row>
    <row r="407" spans="1:4" x14ac:dyDescent="0.2">
      <c r="A407" s="4" t="s">
        <v>11</v>
      </c>
      <c r="B407" s="4">
        <v>2019</v>
      </c>
      <c r="C407" s="4" t="s">
        <v>29</v>
      </c>
      <c r="D407" s="6">
        <v>193100</v>
      </c>
    </row>
    <row r="408" spans="1:4" x14ac:dyDescent="0.2">
      <c r="A408" s="4" t="s">
        <v>12</v>
      </c>
      <c r="B408" s="4">
        <v>2019</v>
      </c>
      <c r="C408" s="4" t="s">
        <v>29</v>
      </c>
      <c r="D408" s="6">
        <v>147200</v>
      </c>
    </row>
    <row r="409" spans="1:4" x14ac:dyDescent="0.2">
      <c r="A409" s="4" t="s">
        <v>13</v>
      </c>
      <c r="B409" s="4">
        <v>2019</v>
      </c>
      <c r="C409" s="4" t="s">
        <v>29</v>
      </c>
      <c r="D409" s="6">
        <v>22100</v>
      </c>
    </row>
    <row r="410" spans="1:4" x14ac:dyDescent="0.2">
      <c r="A410" s="4" t="s">
        <v>14</v>
      </c>
      <c r="B410" s="4">
        <v>2019</v>
      </c>
      <c r="C410" s="4" t="s">
        <v>29</v>
      </c>
      <c r="D410" s="6">
        <v>61900</v>
      </c>
    </row>
    <row r="411" spans="1:4" x14ac:dyDescent="0.2">
      <c r="A411" s="4" t="s">
        <v>15</v>
      </c>
      <c r="B411" s="4">
        <v>2019</v>
      </c>
      <c r="C411" s="4" t="s">
        <v>29</v>
      </c>
      <c r="D411" s="6">
        <v>158100.00000000003</v>
      </c>
    </row>
    <row r="412" spans="1:4" x14ac:dyDescent="0.2">
      <c r="A412" s="4" t="s">
        <v>16</v>
      </c>
      <c r="B412" s="4">
        <v>2019</v>
      </c>
      <c r="C412" s="4" t="s">
        <v>29</v>
      </c>
      <c r="D412" s="6">
        <v>70000</v>
      </c>
    </row>
    <row r="413" spans="1:4" x14ac:dyDescent="0.2">
      <c r="A413" s="4" t="s">
        <v>17</v>
      </c>
      <c r="B413" s="4">
        <v>2019</v>
      </c>
      <c r="C413" s="4" t="s">
        <v>29</v>
      </c>
      <c r="D413" s="6">
        <v>24400.000000000004</v>
      </c>
    </row>
    <row r="414" spans="1:4" x14ac:dyDescent="0.2">
      <c r="A414" s="4" t="s">
        <v>18</v>
      </c>
      <c r="B414" s="4">
        <v>2019</v>
      </c>
      <c r="C414" s="4" t="s">
        <v>29</v>
      </c>
      <c r="D414" s="6">
        <v>31700.000000000004</v>
      </c>
    </row>
    <row r="415" spans="1:4" x14ac:dyDescent="0.2">
      <c r="A415" s="4" t="s">
        <v>19</v>
      </c>
      <c r="B415" s="4">
        <v>2019</v>
      </c>
      <c r="C415" s="4" t="s">
        <v>29</v>
      </c>
      <c r="D415" s="6">
        <v>273500</v>
      </c>
    </row>
    <row r="416" spans="1:4" x14ac:dyDescent="0.2">
      <c r="A416" s="4" t="s">
        <v>20</v>
      </c>
      <c r="B416" s="4">
        <v>2019</v>
      </c>
      <c r="C416" s="4" t="s">
        <v>29</v>
      </c>
      <c r="D416" s="6">
        <v>62100</v>
      </c>
    </row>
    <row r="417" spans="1:4" x14ac:dyDescent="0.2">
      <c r="A417" s="4" t="s">
        <v>21</v>
      </c>
      <c r="B417" s="4">
        <v>2019</v>
      </c>
      <c r="C417" s="4" t="s">
        <v>29</v>
      </c>
      <c r="D417" s="6">
        <v>252600</v>
      </c>
    </row>
    <row r="418" spans="1:4" x14ac:dyDescent="0.2">
      <c r="A418" s="4" t="s">
        <v>22</v>
      </c>
      <c r="B418" s="4">
        <v>2019</v>
      </c>
      <c r="C418" s="4" t="s">
        <v>29</v>
      </c>
      <c r="D418" s="6">
        <v>220200</v>
      </c>
    </row>
    <row r="419" spans="1:4" x14ac:dyDescent="0.2">
      <c r="A419" s="4" t="s">
        <v>23</v>
      </c>
      <c r="B419" s="4">
        <v>2019</v>
      </c>
      <c r="C419" s="4" t="s">
        <v>29</v>
      </c>
      <c r="D419" s="6">
        <v>41000</v>
      </c>
    </row>
    <row r="420" spans="1:4" x14ac:dyDescent="0.2">
      <c r="A420" s="4" t="s">
        <v>24</v>
      </c>
      <c r="B420" s="4">
        <v>2019</v>
      </c>
      <c r="C420" s="4" t="s">
        <v>29</v>
      </c>
      <c r="D420" s="6">
        <v>72700</v>
      </c>
    </row>
    <row r="421" spans="1:4" x14ac:dyDescent="0.2">
      <c r="A421" s="4" t="s">
        <v>25</v>
      </c>
      <c r="B421" s="4">
        <v>2019</v>
      </c>
      <c r="C421" s="4" t="s">
        <v>29</v>
      </c>
      <c r="D421" s="6">
        <v>401300</v>
      </c>
    </row>
    <row r="422" spans="1:4" x14ac:dyDescent="0.2">
      <c r="A422" s="4" t="s">
        <v>5</v>
      </c>
      <c r="B422" s="4">
        <v>1999</v>
      </c>
      <c r="C422" s="4" t="s">
        <v>30</v>
      </c>
      <c r="D422" s="6">
        <v>395600</v>
      </c>
    </row>
    <row r="423" spans="1:4" x14ac:dyDescent="0.2">
      <c r="A423" s="4" t="s">
        <v>6</v>
      </c>
      <c r="B423" s="4">
        <v>1999</v>
      </c>
      <c r="C423" s="4" t="s">
        <v>30</v>
      </c>
      <c r="D423" s="6">
        <v>17000</v>
      </c>
    </row>
    <row r="424" spans="1:4" x14ac:dyDescent="0.2">
      <c r="A424" s="4" t="s">
        <v>7</v>
      </c>
      <c r="B424" s="4">
        <v>1999</v>
      </c>
      <c r="C424" s="4" t="s">
        <v>30</v>
      </c>
      <c r="D424" s="6">
        <v>171400</v>
      </c>
    </row>
    <row r="425" spans="1:4" x14ac:dyDescent="0.2">
      <c r="A425" s="4" t="s">
        <v>8</v>
      </c>
      <c r="B425" s="4">
        <v>1999</v>
      </c>
      <c r="C425" s="4" t="s">
        <v>30</v>
      </c>
      <c r="D425" s="6">
        <v>778400</v>
      </c>
    </row>
    <row r="426" spans="1:4" x14ac:dyDescent="0.2">
      <c r="A426" s="4" t="s">
        <v>9</v>
      </c>
      <c r="B426" s="4">
        <v>1999</v>
      </c>
      <c r="C426" s="4" t="s">
        <v>30</v>
      </c>
      <c r="D426" s="6">
        <v>121700</v>
      </c>
    </row>
    <row r="427" spans="1:4" x14ac:dyDescent="0.2">
      <c r="A427" s="4" t="s">
        <v>10</v>
      </c>
      <c r="B427" s="4">
        <v>1999</v>
      </c>
      <c r="C427" s="4" t="s">
        <v>30</v>
      </c>
      <c r="D427" s="6">
        <v>32400</v>
      </c>
    </row>
    <row r="428" spans="1:4" x14ac:dyDescent="0.2">
      <c r="A428" s="4" t="s">
        <v>11</v>
      </c>
      <c r="B428" s="4">
        <v>1999</v>
      </c>
      <c r="C428" s="4" t="s">
        <v>30</v>
      </c>
      <c r="D428" s="6">
        <v>550900</v>
      </c>
    </row>
    <row r="429" spans="1:4" x14ac:dyDescent="0.2">
      <c r="A429" s="4" t="s">
        <v>12</v>
      </c>
      <c r="B429" s="4">
        <v>1999</v>
      </c>
      <c r="C429" s="4" t="s">
        <v>30</v>
      </c>
      <c r="D429" s="6">
        <v>381200</v>
      </c>
    </row>
    <row r="430" spans="1:4" x14ac:dyDescent="0.2">
      <c r="A430" s="4" t="s">
        <v>13</v>
      </c>
      <c r="B430" s="4">
        <v>1999</v>
      </c>
      <c r="C430" s="4" t="s">
        <v>30</v>
      </c>
      <c r="D430" s="6">
        <v>52000</v>
      </c>
    </row>
    <row r="431" spans="1:4" x14ac:dyDescent="0.2">
      <c r="A431" s="4" t="s">
        <v>14</v>
      </c>
      <c r="B431" s="4">
        <v>1999</v>
      </c>
      <c r="C431" s="4" t="s">
        <v>30</v>
      </c>
      <c r="D431" s="6">
        <v>197000</v>
      </c>
    </row>
    <row r="432" spans="1:4" x14ac:dyDescent="0.2">
      <c r="A432" s="4" t="s">
        <v>15</v>
      </c>
      <c r="B432" s="4">
        <v>1999</v>
      </c>
      <c r="C432" s="4" t="s">
        <v>30</v>
      </c>
      <c r="D432" s="6">
        <v>520299.99999999994</v>
      </c>
    </row>
    <row r="433" spans="1:4" x14ac:dyDescent="0.2">
      <c r="A433" s="4" t="s">
        <v>16</v>
      </c>
      <c r="B433" s="4">
        <v>1999</v>
      </c>
      <c r="C433" s="4" t="s">
        <v>30</v>
      </c>
      <c r="D433" s="6">
        <v>182500</v>
      </c>
    </row>
    <row r="434" spans="1:4" x14ac:dyDescent="0.2">
      <c r="A434" s="4" t="s">
        <v>17</v>
      </c>
      <c r="B434" s="4">
        <v>1999</v>
      </c>
      <c r="C434" s="4" t="s">
        <v>30</v>
      </c>
      <c r="D434" s="6">
        <v>57300</v>
      </c>
    </row>
    <row r="435" spans="1:4" x14ac:dyDescent="0.2">
      <c r="A435" s="4" t="s">
        <v>18</v>
      </c>
      <c r="B435" s="4">
        <v>1999</v>
      </c>
      <c r="C435" s="4" t="s">
        <v>30</v>
      </c>
      <c r="D435" s="6">
        <v>53400</v>
      </c>
    </row>
    <row r="436" spans="1:4" x14ac:dyDescent="0.2">
      <c r="A436" s="4" t="s">
        <v>19</v>
      </c>
      <c r="B436" s="4">
        <v>1999</v>
      </c>
      <c r="C436" s="4" t="s">
        <v>30</v>
      </c>
      <c r="D436" s="6">
        <v>388000</v>
      </c>
    </row>
    <row r="437" spans="1:4" x14ac:dyDescent="0.2">
      <c r="A437" s="4" t="s">
        <v>20</v>
      </c>
      <c r="B437" s="4">
        <v>1999</v>
      </c>
      <c r="C437" s="4" t="s">
        <v>30</v>
      </c>
      <c r="D437" s="6">
        <v>122900</v>
      </c>
    </row>
    <row r="438" spans="1:4" x14ac:dyDescent="0.2">
      <c r="A438" s="4" t="s">
        <v>21</v>
      </c>
      <c r="B438" s="4">
        <v>1999</v>
      </c>
      <c r="C438" s="4" t="s">
        <v>30</v>
      </c>
      <c r="D438" s="6">
        <v>370700.00000000006</v>
      </c>
    </row>
    <row r="439" spans="1:4" x14ac:dyDescent="0.2">
      <c r="A439" s="4" t="s">
        <v>22</v>
      </c>
      <c r="B439" s="4">
        <v>1999</v>
      </c>
      <c r="C439" s="4" t="s">
        <v>30</v>
      </c>
      <c r="D439" s="6">
        <v>330100</v>
      </c>
    </row>
    <row r="440" spans="1:4" x14ac:dyDescent="0.2">
      <c r="A440" s="4" t="s">
        <v>23</v>
      </c>
      <c r="B440" s="4">
        <v>1999</v>
      </c>
      <c r="C440" s="4" t="s">
        <v>30</v>
      </c>
      <c r="D440" s="6">
        <v>91900</v>
      </c>
    </row>
    <row r="441" spans="1:4" x14ac:dyDescent="0.2">
      <c r="A441" s="4" t="s">
        <v>24</v>
      </c>
      <c r="B441" s="4">
        <v>1999</v>
      </c>
      <c r="C441" s="4" t="s">
        <v>30</v>
      </c>
      <c r="D441" s="6">
        <v>134400.00000000009</v>
      </c>
    </row>
    <row r="442" spans="1:4" x14ac:dyDescent="0.2">
      <c r="A442" s="4" t="s">
        <v>25</v>
      </c>
      <c r="B442" s="4">
        <v>1999</v>
      </c>
      <c r="C442" s="4" t="s">
        <v>30</v>
      </c>
      <c r="D442" s="6">
        <v>659300</v>
      </c>
    </row>
    <row r="443" spans="1:4" x14ac:dyDescent="0.2">
      <c r="A443" s="4" t="s">
        <v>5</v>
      </c>
      <c r="B443" s="4">
        <v>2011</v>
      </c>
      <c r="C443" s="4" t="s">
        <v>30</v>
      </c>
      <c r="D443" s="6">
        <v>464299.99999999994</v>
      </c>
    </row>
    <row r="444" spans="1:4" x14ac:dyDescent="0.2">
      <c r="A444" s="4" t="s">
        <v>6</v>
      </c>
      <c r="B444" s="4">
        <v>2011</v>
      </c>
      <c r="C444" s="4" t="s">
        <v>30</v>
      </c>
      <c r="D444" s="6">
        <v>19700</v>
      </c>
    </row>
    <row r="445" spans="1:4" x14ac:dyDescent="0.2">
      <c r="A445" s="4" t="s">
        <v>7</v>
      </c>
      <c r="B445" s="4">
        <v>2011</v>
      </c>
      <c r="C445" s="4" t="s">
        <v>30</v>
      </c>
      <c r="D445" s="6">
        <v>185800</v>
      </c>
    </row>
    <row r="446" spans="1:4" x14ac:dyDescent="0.2">
      <c r="A446" s="4" t="s">
        <v>8</v>
      </c>
      <c r="B446" s="4">
        <v>2011</v>
      </c>
      <c r="C446" s="4" t="s">
        <v>30</v>
      </c>
      <c r="D446" s="6">
        <v>934000</v>
      </c>
    </row>
    <row r="447" spans="1:4" x14ac:dyDescent="0.2">
      <c r="A447" s="4" t="s">
        <v>9</v>
      </c>
      <c r="B447" s="4">
        <v>2011</v>
      </c>
      <c r="C447" s="4" t="s">
        <v>30</v>
      </c>
      <c r="D447" s="6">
        <v>138600</v>
      </c>
    </row>
    <row r="448" spans="1:4" x14ac:dyDescent="0.2">
      <c r="A448" s="4" t="s">
        <v>10</v>
      </c>
      <c r="B448" s="4">
        <v>2011</v>
      </c>
      <c r="C448" s="4" t="s">
        <v>30</v>
      </c>
      <c r="D448" s="6">
        <v>31000</v>
      </c>
    </row>
    <row r="449" spans="1:4" x14ac:dyDescent="0.2">
      <c r="A449" s="4" t="s">
        <v>11</v>
      </c>
      <c r="B449" s="4">
        <v>2011</v>
      </c>
      <c r="C449" s="4" t="s">
        <v>30</v>
      </c>
      <c r="D449" s="6">
        <v>493500</v>
      </c>
    </row>
    <row r="450" spans="1:4" x14ac:dyDescent="0.2">
      <c r="A450" s="4" t="s">
        <v>12</v>
      </c>
      <c r="B450" s="4">
        <v>2011</v>
      </c>
      <c r="C450" s="4" t="s">
        <v>30</v>
      </c>
      <c r="D450" s="6">
        <v>346599.99999999994</v>
      </c>
    </row>
    <row r="451" spans="1:4" x14ac:dyDescent="0.2">
      <c r="A451" s="4" t="s">
        <v>13</v>
      </c>
      <c r="B451" s="4">
        <v>2011</v>
      </c>
      <c r="C451" s="4" t="s">
        <v>30</v>
      </c>
      <c r="D451" s="6">
        <v>52900.000000000007</v>
      </c>
    </row>
    <row r="452" spans="1:4" x14ac:dyDescent="0.2">
      <c r="A452" s="4" t="s">
        <v>14</v>
      </c>
      <c r="B452" s="4">
        <v>2011</v>
      </c>
      <c r="C452" s="4" t="s">
        <v>30</v>
      </c>
      <c r="D452" s="6">
        <v>183400</v>
      </c>
    </row>
    <row r="453" spans="1:4" x14ac:dyDescent="0.2">
      <c r="A453" s="4" t="s">
        <v>15</v>
      </c>
      <c r="B453" s="4">
        <v>2011</v>
      </c>
      <c r="C453" s="4" t="s">
        <v>30</v>
      </c>
      <c r="D453" s="6">
        <v>528400</v>
      </c>
    </row>
    <row r="454" spans="1:4" x14ac:dyDescent="0.2">
      <c r="A454" s="4" t="s">
        <v>16</v>
      </c>
      <c r="B454" s="4">
        <v>2011</v>
      </c>
      <c r="C454" s="4" t="s">
        <v>30</v>
      </c>
      <c r="D454" s="6">
        <v>208200</v>
      </c>
    </row>
    <row r="455" spans="1:4" x14ac:dyDescent="0.2">
      <c r="A455" s="4" t="s">
        <v>17</v>
      </c>
      <c r="B455" s="4">
        <v>2011</v>
      </c>
      <c r="C455" s="4" t="s">
        <v>30</v>
      </c>
      <c r="D455" s="6">
        <v>67500</v>
      </c>
    </row>
    <row r="456" spans="1:4" x14ac:dyDescent="0.2">
      <c r="A456" s="4" t="s">
        <v>18</v>
      </c>
      <c r="B456" s="4">
        <v>2011</v>
      </c>
      <c r="C456" s="4" t="s">
        <v>30</v>
      </c>
      <c r="D456" s="6">
        <v>70800</v>
      </c>
    </row>
    <row r="457" spans="1:4" x14ac:dyDescent="0.2">
      <c r="A457" s="4" t="s">
        <v>19</v>
      </c>
      <c r="B457" s="4">
        <v>2011</v>
      </c>
      <c r="C457" s="4" t="s">
        <v>30</v>
      </c>
      <c r="D457" s="6">
        <v>471400</v>
      </c>
    </row>
    <row r="458" spans="1:4" x14ac:dyDescent="0.2">
      <c r="A458" s="4" t="s">
        <v>20</v>
      </c>
      <c r="B458" s="4">
        <v>2011</v>
      </c>
      <c r="C458" s="4" t="s">
        <v>30</v>
      </c>
      <c r="D458" s="6">
        <v>137000</v>
      </c>
    </row>
    <row r="459" spans="1:4" x14ac:dyDescent="0.2">
      <c r="A459" s="4" t="s">
        <v>21</v>
      </c>
      <c r="B459" s="4">
        <v>2011</v>
      </c>
      <c r="C459" s="4" t="s">
        <v>30</v>
      </c>
      <c r="D459" s="6">
        <v>453700.00000000006</v>
      </c>
    </row>
    <row r="460" spans="1:4" x14ac:dyDescent="0.2">
      <c r="A460" s="4" t="s">
        <v>22</v>
      </c>
      <c r="B460" s="4">
        <v>2011</v>
      </c>
      <c r="C460" s="4" t="s">
        <v>30</v>
      </c>
      <c r="D460" s="6">
        <v>420599.99999999994</v>
      </c>
    </row>
    <row r="461" spans="1:4" x14ac:dyDescent="0.2">
      <c r="A461" s="4" t="s">
        <v>23</v>
      </c>
      <c r="B461" s="4">
        <v>2011</v>
      </c>
      <c r="C461" s="4" t="s">
        <v>30</v>
      </c>
      <c r="D461" s="6">
        <v>97000</v>
      </c>
    </row>
    <row r="462" spans="1:4" x14ac:dyDescent="0.2">
      <c r="A462" s="4" t="s">
        <v>24</v>
      </c>
      <c r="B462" s="4">
        <v>2011</v>
      </c>
      <c r="C462" s="4" t="s">
        <v>30</v>
      </c>
      <c r="D462" s="6">
        <v>158700</v>
      </c>
    </row>
    <row r="463" spans="1:4" x14ac:dyDescent="0.2">
      <c r="A463" s="4" t="s">
        <v>25</v>
      </c>
      <c r="B463" s="4">
        <v>2011</v>
      </c>
      <c r="C463" s="4" t="s">
        <v>30</v>
      </c>
      <c r="D463" s="6">
        <v>741000</v>
      </c>
    </row>
    <row r="464" spans="1:4" x14ac:dyDescent="0.2">
      <c r="A464" s="4" t="s">
        <v>5</v>
      </c>
      <c r="B464" s="4">
        <v>2012</v>
      </c>
      <c r="C464" s="4" t="s">
        <v>30</v>
      </c>
      <c r="D464" s="6">
        <v>462600</v>
      </c>
    </row>
    <row r="465" spans="1:4" x14ac:dyDescent="0.2">
      <c r="A465" s="4" t="s">
        <v>6</v>
      </c>
      <c r="B465" s="4">
        <v>2012</v>
      </c>
      <c r="C465" s="4" t="s">
        <v>30</v>
      </c>
      <c r="D465" s="6">
        <v>19000</v>
      </c>
    </row>
    <row r="466" spans="1:4" x14ac:dyDescent="0.2">
      <c r="A466" s="4" t="s">
        <v>7</v>
      </c>
      <c r="B466" s="4">
        <v>2012</v>
      </c>
      <c r="C466" s="4" t="s">
        <v>30</v>
      </c>
      <c r="D466" s="6">
        <v>191200</v>
      </c>
    </row>
    <row r="467" spans="1:4" x14ac:dyDescent="0.2">
      <c r="A467" s="4" t="s">
        <v>8</v>
      </c>
      <c r="B467" s="4">
        <v>2012</v>
      </c>
      <c r="C467" s="4" t="s">
        <v>30</v>
      </c>
      <c r="D467" s="6">
        <v>936500</v>
      </c>
    </row>
    <row r="468" spans="1:4" x14ac:dyDescent="0.2">
      <c r="A468" s="4" t="s">
        <v>9</v>
      </c>
      <c r="B468" s="4">
        <v>2012</v>
      </c>
      <c r="C468" s="4" t="s">
        <v>30</v>
      </c>
      <c r="D468" s="6">
        <v>134500</v>
      </c>
    </row>
    <row r="469" spans="1:4" x14ac:dyDescent="0.2">
      <c r="A469" s="4" t="s">
        <v>10</v>
      </c>
      <c r="B469" s="4">
        <v>2012</v>
      </c>
      <c r="C469" s="4" t="s">
        <v>30</v>
      </c>
      <c r="D469" s="6">
        <v>31100</v>
      </c>
    </row>
    <row r="470" spans="1:4" x14ac:dyDescent="0.2">
      <c r="A470" s="4" t="s">
        <v>11</v>
      </c>
      <c r="B470" s="4">
        <v>2012</v>
      </c>
      <c r="C470" s="4" t="s">
        <v>30</v>
      </c>
      <c r="D470" s="6">
        <v>498100</v>
      </c>
    </row>
    <row r="471" spans="1:4" x14ac:dyDescent="0.2">
      <c r="A471" s="4" t="s">
        <v>12</v>
      </c>
      <c r="B471" s="4">
        <v>2012</v>
      </c>
      <c r="C471" s="4" t="s">
        <v>30</v>
      </c>
      <c r="D471" s="6">
        <v>349900</v>
      </c>
    </row>
    <row r="472" spans="1:4" x14ac:dyDescent="0.2">
      <c r="A472" s="4" t="s">
        <v>13</v>
      </c>
      <c r="B472" s="4">
        <v>2012</v>
      </c>
      <c r="C472" s="4" t="s">
        <v>30</v>
      </c>
      <c r="D472" s="6">
        <v>53400</v>
      </c>
    </row>
    <row r="473" spans="1:4" x14ac:dyDescent="0.2">
      <c r="A473" s="4" t="s">
        <v>14</v>
      </c>
      <c r="B473" s="4">
        <v>2012</v>
      </c>
      <c r="C473" s="4" t="s">
        <v>30</v>
      </c>
      <c r="D473" s="6">
        <v>174000</v>
      </c>
    </row>
    <row r="474" spans="1:4" x14ac:dyDescent="0.2">
      <c r="A474" s="4" t="s">
        <v>15</v>
      </c>
      <c r="B474" s="4">
        <v>2012</v>
      </c>
      <c r="C474" s="4" t="s">
        <v>30</v>
      </c>
      <c r="D474" s="6">
        <v>518900</v>
      </c>
    </row>
    <row r="475" spans="1:4" x14ac:dyDescent="0.2">
      <c r="A475" s="4" t="s">
        <v>16</v>
      </c>
      <c r="B475" s="4">
        <v>2012</v>
      </c>
      <c r="C475" s="4" t="s">
        <v>30</v>
      </c>
      <c r="D475" s="6">
        <v>208000</v>
      </c>
    </row>
    <row r="476" spans="1:4" x14ac:dyDescent="0.2">
      <c r="A476" s="4" t="s">
        <v>17</v>
      </c>
      <c r="B476" s="4">
        <v>2012</v>
      </c>
      <c r="C476" s="4" t="s">
        <v>30</v>
      </c>
      <c r="D476" s="6">
        <v>69000</v>
      </c>
    </row>
    <row r="477" spans="1:4" x14ac:dyDescent="0.2">
      <c r="A477" s="4" t="s">
        <v>18</v>
      </c>
      <c r="B477" s="4">
        <v>2012</v>
      </c>
      <c r="C477" s="4" t="s">
        <v>30</v>
      </c>
      <c r="D477" s="6">
        <v>70900</v>
      </c>
    </row>
    <row r="478" spans="1:4" x14ac:dyDescent="0.2">
      <c r="A478" s="4" t="s">
        <v>19</v>
      </c>
      <c r="B478" s="4">
        <v>2012</v>
      </c>
      <c r="C478" s="4" t="s">
        <v>30</v>
      </c>
      <c r="D478" s="6">
        <v>469800</v>
      </c>
    </row>
    <row r="479" spans="1:4" x14ac:dyDescent="0.2">
      <c r="A479" s="4" t="s">
        <v>20</v>
      </c>
      <c r="B479" s="4">
        <v>2012</v>
      </c>
      <c r="C479" s="4" t="s">
        <v>30</v>
      </c>
      <c r="D479" s="6">
        <v>139100</v>
      </c>
    </row>
    <row r="480" spans="1:4" x14ac:dyDescent="0.2">
      <c r="A480" s="4" t="s">
        <v>21</v>
      </c>
      <c r="B480" s="4">
        <v>2012</v>
      </c>
      <c r="C480" s="4" t="s">
        <v>30</v>
      </c>
      <c r="D480" s="6">
        <v>466300</v>
      </c>
    </row>
    <row r="481" spans="1:4" x14ac:dyDescent="0.2">
      <c r="A481" s="4" t="s">
        <v>22</v>
      </c>
      <c r="B481" s="4">
        <v>2012</v>
      </c>
      <c r="C481" s="4" t="s">
        <v>30</v>
      </c>
      <c r="D481" s="6">
        <v>425599.99999999994</v>
      </c>
    </row>
    <row r="482" spans="1:4" x14ac:dyDescent="0.2">
      <c r="A482" s="4" t="s">
        <v>23</v>
      </c>
      <c r="B482" s="4">
        <v>2012</v>
      </c>
      <c r="C482" s="4" t="s">
        <v>30</v>
      </c>
      <c r="D482" s="6">
        <v>96600</v>
      </c>
    </row>
    <row r="483" spans="1:4" x14ac:dyDescent="0.2">
      <c r="A483" s="4" t="s">
        <v>24</v>
      </c>
      <c r="B483" s="4">
        <v>2012</v>
      </c>
      <c r="C483" s="4" t="s">
        <v>30</v>
      </c>
      <c r="D483" s="6">
        <v>159000</v>
      </c>
    </row>
    <row r="484" spans="1:4" x14ac:dyDescent="0.2">
      <c r="A484" s="4" t="s">
        <v>25</v>
      </c>
      <c r="B484" s="4">
        <v>2012</v>
      </c>
      <c r="C484" s="4" t="s">
        <v>30</v>
      </c>
      <c r="D484" s="6">
        <v>777300.00000000012</v>
      </c>
    </row>
    <row r="485" spans="1:4" x14ac:dyDescent="0.2">
      <c r="A485" s="4" t="s">
        <v>5</v>
      </c>
      <c r="B485" s="4">
        <v>2019</v>
      </c>
      <c r="C485" s="4" t="s">
        <v>30</v>
      </c>
      <c r="D485" s="6">
        <v>442400</v>
      </c>
    </row>
    <row r="486" spans="1:4" x14ac:dyDescent="0.2">
      <c r="A486" s="4" t="s">
        <v>6</v>
      </c>
      <c r="B486" s="4">
        <v>2019</v>
      </c>
      <c r="C486" s="4" t="s">
        <v>30</v>
      </c>
      <c r="D486" s="6">
        <v>18600</v>
      </c>
    </row>
    <row r="487" spans="1:4" x14ac:dyDescent="0.2">
      <c r="A487" s="4" t="s">
        <v>7</v>
      </c>
      <c r="B487" s="4">
        <v>2019</v>
      </c>
      <c r="C487" s="4" t="s">
        <v>30</v>
      </c>
      <c r="D487" s="6">
        <v>181600</v>
      </c>
    </row>
    <row r="488" spans="1:4" x14ac:dyDescent="0.2">
      <c r="A488" s="4" t="s">
        <v>8</v>
      </c>
      <c r="B488" s="4">
        <v>2019</v>
      </c>
      <c r="C488" s="4" t="s">
        <v>30</v>
      </c>
      <c r="D488" s="6">
        <v>1009500</v>
      </c>
    </row>
    <row r="489" spans="1:4" x14ac:dyDescent="0.2">
      <c r="A489" s="4" t="s">
        <v>9</v>
      </c>
      <c r="B489" s="4">
        <v>2019</v>
      </c>
      <c r="C489" s="4" t="s">
        <v>30</v>
      </c>
      <c r="D489" s="6">
        <v>126600</v>
      </c>
    </row>
    <row r="490" spans="1:4" x14ac:dyDescent="0.2">
      <c r="A490" s="4" t="s">
        <v>10</v>
      </c>
      <c r="B490" s="4">
        <v>2019</v>
      </c>
      <c r="C490" s="4" t="s">
        <v>30</v>
      </c>
      <c r="D490" s="6">
        <v>30900</v>
      </c>
    </row>
    <row r="491" spans="1:4" x14ac:dyDescent="0.2">
      <c r="A491" s="4" t="s">
        <v>11</v>
      </c>
      <c r="B491" s="4">
        <v>2019</v>
      </c>
      <c r="C491" s="4" t="s">
        <v>30</v>
      </c>
      <c r="D491" s="6">
        <v>488800</v>
      </c>
    </row>
    <row r="492" spans="1:4" x14ac:dyDescent="0.2">
      <c r="A492" s="4" t="s">
        <v>12</v>
      </c>
      <c r="B492" s="4">
        <v>2019</v>
      </c>
      <c r="C492" s="4" t="s">
        <v>30</v>
      </c>
      <c r="D492" s="6">
        <v>340900</v>
      </c>
    </row>
    <row r="493" spans="1:4" x14ac:dyDescent="0.2">
      <c r="A493" s="4" t="s">
        <v>13</v>
      </c>
      <c r="B493" s="4">
        <v>2019</v>
      </c>
      <c r="C493" s="4" t="s">
        <v>30</v>
      </c>
      <c r="D493" s="6">
        <v>52000</v>
      </c>
    </row>
    <row r="494" spans="1:4" x14ac:dyDescent="0.2">
      <c r="A494" s="4" t="s">
        <v>14</v>
      </c>
      <c r="B494" s="4">
        <v>2019</v>
      </c>
      <c r="C494" s="4" t="s">
        <v>30</v>
      </c>
      <c r="D494" s="6">
        <v>160300</v>
      </c>
    </row>
    <row r="495" spans="1:4" x14ac:dyDescent="0.2">
      <c r="A495" s="4" t="s">
        <v>15</v>
      </c>
      <c r="B495" s="4">
        <v>2019</v>
      </c>
      <c r="C495" s="4" t="s">
        <v>30</v>
      </c>
      <c r="D495" s="6">
        <v>452900</v>
      </c>
    </row>
    <row r="496" spans="1:4" x14ac:dyDescent="0.2">
      <c r="A496" s="4" t="s">
        <v>16</v>
      </c>
      <c r="B496" s="4">
        <v>2019</v>
      </c>
      <c r="C496" s="4" t="s">
        <v>30</v>
      </c>
      <c r="D496" s="6">
        <v>207799.99999999997</v>
      </c>
    </row>
    <row r="497" spans="1:4" x14ac:dyDescent="0.2">
      <c r="A497" s="4" t="s">
        <v>17</v>
      </c>
      <c r="B497" s="4">
        <v>2019</v>
      </c>
      <c r="C497" s="4" t="s">
        <v>30</v>
      </c>
      <c r="D497" s="6">
        <v>71700</v>
      </c>
    </row>
    <row r="498" spans="1:4" x14ac:dyDescent="0.2">
      <c r="A498" s="4" t="s">
        <v>18</v>
      </c>
      <c r="B498" s="4">
        <v>2019</v>
      </c>
      <c r="C498" s="4" t="s">
        <v>30</v>
      </c>
      <c r="D498" s="6">
        <v>73300</v>
      </c>
    </row>
    <row r="499" spans="1:4" x14ac:dyDescent="0.2">
      <c r="A499" s="4" t="s">
        <v>19</v>
      </c>
      <c r="B499" s="4">
        <v>2019</v>
      </c>
      <c r="C499" s="4" t="s">
        <v>30</v>
      </c>
      <c r="D499" s="6">
        <v>493900.00000000006</v>
      </c>
    </row>
    <row r="500" spans="1:4" x14ac:dyDescent="0.2">
      <c r="A500" s="4" t="s">
        <v>20</v>
      </c>
      <c r="B500" s="4">
        <v>2019</v>
      </c>
      <c r="C500" s="4" t="s">
        <v>30</v>
      </c>
      <c r="D500" s="6">
        <v>139400</v>
      </c>
    </row>
    <row r="501" spans="1:4" x14ac:dyDescent="0.2">
      <c r="A501" s="4" t="s">
        <v>21</v>
      </c>
      <c r="B501" s="4">
        <v>2019</v>
      </c>
      <c r="C501" s="4" t="s">
        <v>30</v>
      </c>
      <c r="D501" s="6">
        <v>488799.99999999994</v>
      </c>
    </row>
    <row r="502" spans="1:4" x14ac:dyDescent="0.2">
      <c r="A502" s="4" t="s">
        <v>22</v>
      </c>
      <c r="B502" s="4">
        <v>2019</v>
      </c>
      <c r="C502" s="4" t="s">
        <v>30</v>
      </c>
      <c r="D502" s="6">
        <v>425200.00000000006</v>
      </c>
    </row>
    <row r="503" spans="1:4" x14ac:dyDescent="0.2">
      <c r="A503" s="4" t="s">
        <v>23</v>
      </c>
      <c r="B503" s="4">
        <v>2019</v>
      </c>
      <c r="C503" s="4" t="s">
        <v>30</v>
      </c>
      <c r="D503" s="6">
        <v>104100.00000000001</v>
      </c>
    </row>
    <row r="504" spans="1:4" x14ac:dyDescent="0.2">
      <c r="A504" s="4" t="s">
        <v>24</v>
      </c>
      <c r="B504" s="4">
        <v>2019</v>
      </c>
      <c r="C504" s="4" t="s">
        <v>30</v>
      </c>
      <c r="D504" s="6">
        <v>153500</v>
      </c>
    </row>
    <row r="505" spans="1:4" x14ac:dyDescent="0.2">
      <c r="A505" s="4" t="s">
        <v>25</v>
      </c>
      <c r="B505" s="4">
        <v>2019</v>
      </c>
      <c r="C505" s="4" t="s">
        <v>30</v>
      </c>
      <c r="D505" s="6">
        <v>783200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B1DA-C4F5-3C46-A6BB-3DFEEB1FAC69}">
  <dimension ref="A1:C25"/>
  <sheetViews>
    <sheetView workbookViewId="0">
      <selection activeCell="H23" sqref="H23"/>
    </sheetView>
  </sheetViews>
  <sheetFormatPr baseColWidth="10" defaultRowHeight="16" x14ac:dyDescent="0.2"/>
  <cols>
    <col min="3" max="3" width="16.83203125" style="3" bestFit="1" customWidth="1"/>
  </cols>
  <sheetData>
    <row r="1" spans="1:3" x14ac:dyDescent="0.2">
      <c r="A1" s="5" t="s">
        <v>1</v>
      </c>
      <c r="B1" s="5" t="s">
        <v>2</v>
      </c>
      <c r="C1" s="10" t="s">
        <v>39</v>
      </c>
    </row>
    <row r="2" spans="1:3" x14ac:dyDescent="0.2">
      <c r="A2" s="4">
        <v>1999</v>
      </c>
      <c r="B2" s="4" t="s">
        <v>4</v>
      </c>
      <c r="C2" s="11">
        <v>202007036</v>
      </c>
    </row>
    <row r="3" spans="1:3" x14ac:dyDescent="0.2">
      <c r="A3" s="4">
        <v>1999</v>
      </c>
      <c r="B3" s="4" t="s">
        <v>26</v>
      </c>
      <c r="C3" s="11">
        <v>5088277490</v>
      </c>
    </row>
    <row r="4" spans="1:3" x14ac:dyDescent="0.2">
      <c r="A4" s="4">
        <v>1999</v>
      </c>
      <c r="B4" s="4" t="s">
        <v>27</v>
      </c>
      <c r="C4" s="11">
        <v>0</v>
      </c>
    </row>
    <row r="5" spans="1:3" x14ac:dyDescent="0.2">
      <c r="A5" s="4">
        <v>1999</v>
      </c>
      <c r="B5" s="4" t="s">
        <v>28</v>
      </c>
      <c r="C5" s="11">
        <v>0</v>
      </c>
    </row>
    <row r="6" spans="1:3" x14ac:dyDescent="0.2">
      <c r="A6" s="4">
        <v>1999</v>
      </c>
      <c r="B6" s="4" t="s">
        <v>29</v>
      </c>
      <c r="C6" s="11">
        <v>12765</v>
      </c>
    </row>
    <row r="7" spans="1:3" x14ac:dyDescent="0.2">
      <c r="A7" s="4">
        <v>1999</v>
      </c>
      <c r="B7" s="4" t="s">
        <v>30</v>
      </c>
      <c r="C7" s="11">
        <v>26168263</v>
      </c>
    </row>
    <row r="8" spans="1:3" x14ac:dyDescent="0.2">
      <c r="A8" s="4">
        <v>2011</v>
      </c>
      <c r="B8" s="4" t="s">
        <v>4</v>
      </c>
      <c r="C8" s="11">
        <v>386066150</v>
      </c>
    </row>
    <row r="9" spans="1:3" x14ac:dyDescent="0.2">
      <c r="A9" s="4">
        <v>2011</v>
      </c>
      <c r="B9" s="4" t="s">
        <v>26</v>
      </c>
      <c r="C9" s="11">
        <v>40664269329</v>
      </c>
    </row>
    <row r="10" spans="1:3" x14ac:dyDescent="0.2">
      <c r="A10" s="4">
        <v>2011</v>
      </c>
      <c r="B10" s="4" t="s">
        <v>27</v>
      </c>
      <c r="C10" s="11">
        <v>0</v>
      </c>
    </row>
    <row r="11" spans="1:3" x14ac:dyDescent="0.2">
      <c r="A11" s="4">
        <v>2011</v>
      </c>
      <c r="B11" s="4" t="s">
        <v>28</v>
      </c>
      <c r="C11" s="11">
        <v>0</v>
      </c>
    </row>
    <row r="12" spans="1:3" x14ac:dyDescent="0.2">
      <c r="A12" s="4">
        <v>2011</v>
      </c>
      <c r="B12" s="4" t="s">
        <v>29</v>
      </c>
      <c r="C12" s="11">
        <v>3893</v>
      </c>
    </row>
    <row r="13" spans="1:3" x14ac:dyDescent="0.2">
      <c r="A13" s="4">
        <v>2011</v>
      </c>
      <c r="B13" s="4" t="s">
        <v>30</v>
      </c>
      <c r="C13" s="11">
        <v>74449387</v>
      </c>
    </row>
    <row r="14" spans="1:3" x14ac:dyDescent="0.2">
      <c r="A14" s="4">
        <v>2012</v>
      </c>
      <c r="B14" s="4" t="s">
        <v>4</v>
      </c>
      <c r="C14" s="11">
        <v>171416323</v>
      </c>
    </row>
    <row r="15" spans="1:3" x14ac:dyDescent="0.2">
      <c r="A15" s="4">
        <v>2012</v>
      </c>
      <c r="B15" s="4" t="s">
        <v>26</v>
      </c>
      <c r="C15" s="11">
        <v>53252887159</v>
      </c>
    </row>
    <row r="16" spans="1:3" x14ac:dyDescent="0.2">
      <c r="A16" s="4">
        <v>2012</v>
      </c>
      <c r="B16" s="4" t="s">
        <v>27</v>
      </c>
      <c r="C16" s="11">
        <v>0</v>
      </c>
    </row>
    <row r="17" spans="1:3" x14ac:dyDescent="0.2">
      <c r="A17" s="4">
        <v>2012</v>
      </c>
      <c r="B17" s="4" t="s">
        <v>28</v>
      </c>
      <c r="C17" s="11">
        <v>0</v>
      </c>
    </row>
    <row r="18" spans="1:3" x14ac:dyDescent="0.2">
      <c r="A18" s="4">
        <v>2012</v>
      </c>
      <c r="B18" s="4" t="s">
        <v>29</v>
      </c>
      <c r="C18" s="11">
        <v>353055</v>
      </c>
    </row>
    <row r="19" spans="1:3" x14ac:dyDescent="0.2">
      <c r="A19" s="4">
        <v>2012</v>
      </c>
      <c r="B19" s="4" t="s">
        <v>30</v>
      </c>
      <c r="C19" s="11">
        <v>10839454</v>
      </c>
    </row>
    <row r="20" spans="1:3" x14ac:dyDescent="0.2">
      <c r="A20" s="4">
        <v>2019</v>
      </c>
      <c r="B20" s="4" t="s">
        <v>4</v>
      </c>
      <c r="C20" s="11">
        <v>343802930.00699997</v>
      </c>
    </row>
    <row r="21" spans="1:3" x14ac:dyDescent="0.2">
      <c r="A21" s="4">
        <v>2019</v>
      </c>
      <c r="B21" s="4" t="s">
        <v>26</v>
      </c>
      <c r="C21" s="11">
        <v>35040506039.989006</v>
      </c>
    </row>
    <row r="22" spans="1:3" x14ac:dyDescent="0.2">
      <c r="A22" s="4">
        <v>2019</v>
      </c>
      <c r="B22" s="4" t="s">
        <v>27</v>
      </c>
      <c r="C22" s="11">
        <v>0</v>
      </c>
    </row>
    <row r="23" spans="1:3" x14ac:dyDescent="0.2">
      <c r="A23" s="4">
        <v>2019</v>
      </c>
      <c r="B23" s="4" t="s">
        <v>28</v>
      </c>
      <c r="C23" s="11">
        <v>0</v>
      </c>
    </row>
    <row r="24" spans="1:3" x14ac:dyDescent="0.2">
      <c r="A24" s="4">
        <v>2019</v>
      </c>
      <c r="B24" s="4" t="s">
        <v>29</v>
      </c>
      <c r="C24" s="11">
        <v>48224.546000000002</v>
      </c>
    </row>
    <row r="25" spans="1:3" x14ac:dyDescent="0.2">
      <c r="A25" s="4">
        <v>2019</v>
      </c>
      <c r="B25" s="4" t="s">
        <v>30</v>
      </c>
      <c r="C25" s="11">
        <v>4753334.9400000004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72F8-2892-7A47-98CA-CE357686A290}">
  <dimension ref="A1:C25"/>
  <sheetViews>
    <sheetView workbookViewId="0">
      <selection activeCell="G9" sqref="G9"/>
    </sheetView>
  </sheetViews>
  <sheetFormatPr baseColWidth="10" defaultRowHeight="16" x14ac:dyDescent="0.2"/>
  <sheetData>
    <row r="1" spans="1:3" x14ac:dyDescent="0.2">
      <c r="A1" s="5" t="s">
        <v>1</v>
      </c>
      <c r="B1" s="5" t="s">
        <v>2</v>
      </c>
      <c r="C1" s="5" t="s">
        <v>31</v>
      </c>
    </row>
    <row r="2" spans="1:3" x14ac:dyDescent="0.2">
      <c r="A2" s="4">
        <v>1999</v>
      </c>
      <c r="B2" s="4" t="s">
        <v>4</v>
      </c>
      <c r="C2" s="6">
        <f>SUM(employment!D2:D22)</f>
        <v>1053900</v>
      </c>
    </row>
    <row r="3" spans="1:3" x14ac:dyDescent="0.2">
      <c r="A3" s="4">
        <v>1999</v>
      </c>
      <c r="B3" s="4" t="s">
        <v>26</v>
      </c>
      <c r="C3" s="6">
        <f>SUM(employment!D86:D106)</f>
        <v>5066000</v>
      </c>
    </row>
    <row r="4" spans="1:3" x14ac:dyDescent="0.2">
      <c r="A4" s="4">
        <v>1999</v>
      </c>
      <c r="B4" s="4" t="s">
        <v>27</v>
      </c>
      <c r="C4" s="6">
        <f>SUM(employment!D170:D190)</f>
        <v>1550400</v>
      </c>
    </row>
    <row r="5" spans="1:3" x14ac:dyDescent="0.2">
      <c r="A5" s="4">
        <v>1999</v>
      </c>
      <c r="B5" s="4" t="s">
        <v>28</v>
      </c>
      <c r="C5" s="6">
        <f>SUM(employment!D254:D274)</f>
        <v>5016100</v>
      </c>
    </row>
    <row r="6" spans="1:3" x14ac:dyDescent="0.2">
      <c r="A6" s="4">
        <v>1999</v>
      </c>
      <c r="B6" s="4" t="s">
        <v>29</v>
      </c>
      <c r="C6" s="6">
        <f>SUM(employment!D338:D358)</f>
        <v>1996600</v>
      </c>
    </row>
    <row r="7" spans="1:3" x14ac:dyDescent="0.2">
      <c r="A7" s="4">
        <v>1999</v>
      </c>
      <c r="B7" s="4" t="s">
        <v>30</v>
      </c>
      <c r="C7" s="6">
        <f>SUM(employment!D422:D442)</f>
        <v>5608400</v>
      </c>
    </row>
    <row r="8" spans="1:3" x14ac:dyDescent="0.2">
      <c r="A8" s="4">
        <v>2011</v>
      </c>
      <c r="B8" s="4" t="s">
        <v>4</v>
      </c>
      <c r="C8" s="6">
        <f>SUM(employment!D23:D43)</f>
        <v>781200</v>
      </c>
    </row>
    <row r="9" spans="1:3" x14ac:dyDescent="0.2">
      <c r="A9" s="4">
        <v>2011</v>
      </c>
      <c r="B9" s="4" t="s">
        <v>26</v>
      </c>
      <c r="C9" s="6">
        <f>SUM(employment!D107:D127)</f>
        <v>4554600</v>
      </c>
    </row>
    <row r="10" spans="1:3" x14ac:dyDescent="0.2">
      <c r="A10" s="4">
        <v>2011</v>
      </c>
      <c r="B10" s="4" t="s">
        <v>27</v>
      </c>
      <c r="C10" s="6">
        <f>SUM(employment!D191:D211)</f>
        <v>1767600</v>
      </c>
    </row>
    <row r="11" spans="1:3" x14ac:dyDescent="0.2">
      <c r="A11" s="4">
        <v>2011</v>
      </c>
      <c r="B11" s="4" t="s">
        <v>28</v>
      </c>
      <c r="C11" s="6">
        <f>SUM(employment!D254:D274)</f>
        <v>5016100</v>
      </c>
    </row>
    <row r="12" spans="1:3" x14ac:dyDescent="0.2">
      <c r="A12" s="4">
        <v>2011</v>
      </c>
      <c r="B12" s="4" t="s">
        <v>29</v>
      </c>
      <c r="C12" s="6">
        <f>SUM(employment!D359:D379)</f>
        <v>2956200</v>
      </c>
    </row>
    <row r="13" spans="1:3" x14ac:dyDescent="0.2">
      <c r="A13" s="4">
        <v>2011</v>
      </c>
      <c r="B13" s="4" t="s">
        <v>30</v>
      </c>
      <c r="C13" s="6">
        <f>SUM(employment!D443:D463)</f>
        <v>6204100</v>
      </c>
    </row>
    <row r="14" spans="1:3" x14ac:dyDescent="0.2">
      <c r="A14" s="4">
        <v>2012</v>
      </c>
      <c r="B14" s="4" t="s">
        <v>4</v>
      </c>
      <c r="C14" s="6">
        <f>SUM(employment!D44:D64)</f>
        <v>778700</v>
      </c>
    </row>
    <row r="15" spans="1:3" x14ac:dyDescent="0.2">
      <c r="A15" s="4">
        <v>2012</v>
      </c>
      <c r="B15" s="4" t="s">
        <v>26</v>
      </c>
      <c r="C15" s="6">
        <f>SUM(employment!D128:D148)</f>
        <v>4473300</v>
      </c>
    </row>
    <row r="16" spans="1:3" x14ac:dyDescent="0.2">
      <c r="A16" s="4">
        <v>2012</v>
      </c>
      <c r="B16" s="4" t="s">
        <v>27</v>
      </c>
      <c r="C16" s="6">
        <f>SUM(employment!D212:D232)</f>
        <v>1673500</v>
      </c>
    </row>
    <row r="17" spans="1:3" x14ac:dyDescent="0.2">
      <c r="A17" s="4">
        <v>2012</v>
      </c>
      <c r="B17" s="4" t="s">
        <v>28</v>
      </c>
      <c r="C17" s="6">
        <f>SUM(employment!D296:D316)</f>
        <v>6057500</v>
      </c>
    </row>
    <row r="18" spans="1:3" x14ac:dyDescent="0.2">
      <c r="A18" s="4">
        <v>2012</v>
      </c>
      <c r="B18" s="4" t="s">
        <v>29</v>
      </c>
      <c r="C18" s="6">
        <f>SUM(employment!D380:D400)</f>
        <v>2907100</v>
      </c>
    </row>
    <row r="19" spans="1:3" x14ac:dyDescent="0.2">
      <c r="A19" s="4">
        <v>2012</v>
      </c>
      <c r="B19" s="4" t="s">
        <v>30</v>
      </c>
      <c r="C19" s="6">
        <f>SUM(employment!D464:D484)</f>
        <v>6250800</v>
      </c>
    </row>
    <row r="20" spans="1:3" x14ac:dyDescent="0.2">
      <c r="A20" s="4">
        <v>2019</v>
      </c>
      <c r="B20" s="4" t="s">
        <v>4</v>
      </c>
      <c r="C20" s="6">
        <f>SUM(employment!D65:D85)</f>
        <v>832000</v>
      </c>
    </row>
    <row r="21" spans="1:3" x14ac:dyDescent="0.2">
      <c r="A21" s="4">
        <v>2019</v>
      </c>
      <c r="B21" s="4" t="s">
        <v>26</v>
      </c>
      <c r="C21" s="6">
        <f>SUM(employment!D149:D169)</f>
        <v>4586400</v>
      </c>
    </row>
    <row r="22" spans="1:3" x14ac:dyDescent="0.2">
      <c r="A22" s="4">
        <v>2019</v>
      </c>
      <c r="B22" s="4" t="s">
        <v>27</v>
      </c>
      <c r="C22" s="6">
        <f>SUM(employment!D233:D253)</f>
        <v>1295700</v>
      </c>
    </row>
    <row r="23" spans="1:3" x14ac:dyDescent="0.2">
      <c r="A23" s="4">
        <v>2019</v>
      </c>
      <c r="B23" s="4" t="s">
        <v>28</v>
      </c>
      <c r="C23" s="6">
        <f>SUM(employment!D317:D337)</f>
        <v>6291100</v>
      </c>
    </row>
    <row r="24" spans="1:3" x14ac:dyDescent="0.2">
      <c r="A24" s="4">
        <v>2019</v>
      </c>
      <c r="B24" s="4" t="s">
        <v>29</v>
      </c>
      <c r="C24" s="6">
        <f>SUM(employment!D401:D421)</f>
        <v>3205300</v>
      </c>
    </row>
    <row r="25" spans="1:3" x14ac:dyDescent="0.2">
      <c r="A25" s="4">
        <v>2019</v>
      </c>
      <c r="B25" s="4" t="s">
        <v>30</v>
      </c>
      <c r="C25" s="6">
        <f>SUM(employment!D485:D505)</f>
        <v>6245400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B875-8FD0-0E4D-AC2D-07795905D00A}">
  <dimension ref="A1:C13"/>
  <sheetViews>
    <sheetView workbookViewId="0">
      <selection activeCell="F15" sqref="F15"/>
    </sheetView>
  </sheetViews>
  <sheetFormatPr baseColWidth="10" defaultRowHeight="16" x14ac:dyDescent="0.2"/>
  <cols>
    <col min="3" max="3" width="17.5" style="2" bestFit="1" customWidth="1"/>
  </cols>
  <sheetData>
    <row r="1" spans="1:3" x14ac:dyDescent="0.2">
      <c r="A1" s="8" t="s">
        <v>32</v>
      </c>
      <c r="B1" s="8" t="s">
        <v>2</v>
      </c>
      <c r="C1" s="10" t="s">
        <v>36</v>
      </c>
    </row>
    <row r="2" spans="1:3" x14ac:dyDescent="0.2">
      <c r="A2" s="12" t="s">
        <v>33</v>
      </c>
      <c r="B2" s="12" t="s">
        <v>4</v>
      </c>
      <c r="C2" s="11">
        <f>import!C8-import!C2</f>
        <v>184059114</v>
      </c>
    </row>
    <row r="3" spans="1:3" x14ac:dyDescent="0.2">
      <c r="A3" s="12" t="s">
        <v>33</v>
      </c>
      <c r="B3" s="12" t="s">
        <v>26</v>
      </c>
      <c r="C3" s="11">
        <f>import!C9-import!C3</f>
        <v>35575991839</v>
      </c>
    </row>
    <row r="4" spans="1:3" x14ac:dyDescent="0.2">
      <c r="A4" s="12" t="s">
        <v>33</v>
      </c>
      <c r="B4" s="12" t="s">
        <v>27</v>
      </c>
      <c r="C4" s="11">
        <f>import!C10-import!C4</f>
        <v>0</v>
      </c>
    </row>
    <row r="5" spans="1:3" x14ac:dyDescent="0.2">
      <c r="A5" s="12" t="s">
        <v>33</v>
      </c>
      <c r="B5" s="12" t="s">
        <v>28</v>
      </c>
      <c r="C5" s="11">
        <f>import!C11-import!C5</f>
        <v>0</v>
      </c>
    </row>
    <row r="6" spans="1:3" x14ac:dyDescent="0.2">
      <c r="A6" s="12" t="s">
        <v>33</v>
      </c>
      <c r="B6" s="12" t="s">
        <v>29</v>
      </c>
      <c r="C6" s="11">
        <f>import!C12-import!C6</f>
        <v>-8872</v>
      </c>
    </row>
    <row r="7" spans="1:3" x14ac:dyDescent="0.2">
      <c r="A7" s="12" t="s">
        <v>33</v>
      </c>
      <c r="B7" s="12" t="s">
        <v>30</v>
      </c>
      <c r="C7" s="11">
        <f>import!C13-import!C7</f>
        <v>48281124</v>
      </c>
    </row>
    <row r="8" spans="1:3" x14ac:dyDescent="0.2">
      <c r="A8" s="12" t="s">
        <v>34</v>
      </c>
      <c r="B8" s="12" t="s">
        <v>4</v>
      </c>
      <c r="C8" s="11">
        <f>import!C20-import!C14</f>
        <v>172386607.00699997</v>
      </c>
    </row>
    <row r="9" spans="1:3" x14ac:dyDescent="0.2">
      <c r="A9" s="12" t="s">
        <v>34</v>
      </c>
      <c r="B9" s="12" t="s">
        <v>26</v>
      </c>
      <c r="C9" s="11">
        <f>import!C21-import!C15</f>
        <v>-18212381119.010994</v>
      </c>
    </row>
    <row r="10" spans="1:3" x14ac:dyDescent="0.2">
      <c r="A10" s="12" t="s">
        <v>34</v>
      </c>
      <c r="B10" s="12" t="s">
        <v>27</v>
      </c>
      <c r="C10" s="11">
        <f>import!C22-import!C16</f>
        <v>0</v>
      </c>
    </row>
    <row r="11" spans="1:3" x14ac:dyDescent="0.2">
      <c r="A11" s="12" t="s">
        <v>34</v>
      </c>
      <c r="B11" s="12" t="s">
        <v>28</v>
      </c>
      <c r="C11" s="11">
        <f>import!C23-import!C17</f>
        <v>0</v>
      </c>
    </row>
    <row r="12" spans="1:3" x14ac:dyDescent="0.2">
      <c r="A12" s="12" t="s">
        <v>34</v>
      </c>
      <c r="B12" s="12" t="s">
        <v>29</v>
      </c>
      <c r="C12" s="11">
        <f>import!C24-import!C18</f>
        <v>-304830.45400000003</v>
      </c>
    </row>
    <row r="13" spans="1:3" x14ac:dyDescent="0.2">
      <c r="A13" s="12" t="s">
        <v>34</v>
      </c>
      <c r="B13" s="12" t="s">
        <v>30</v>
      </c>
      <c r="C13" s="11">
        <f>import!C25-import!C19</f>
        <v>-6086119.0599999996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632D-D0D1-A545-A84C-96C4A3907A55}">
  <dimension ref="A1:G13"/>
  <sheetViews>
    <sheetView workbookViewId="0">
      <selection activeCell="H11" sqref="H11"/>
    </sheetView>
  </sheetViews>
  <sheetFormatPr baseColWidth="10" defaultRowHeight="16" x14ac:dyDescent="0.2"/>
  <cols>
    <col min="1" max="3" width="10.83203125" style="1"/>
    <col min="4" max="4" width="18.5" style="1" bestFit="1" customWidth="1"/>
    <col min="5" max="5" width="14" style="1" bestFit="1" customWidth="1"/>
  </cols>
  <sheetData>
    <row r="1" spans="1:7" s="7" customFormat="1" ht="15" customHeight="1" x14ac:dyDescent="0.2">
      <c r="A1" s="5" t="s">
        <v>32</v>
      </c>
      <c r="B1" s="5" t="s">
        <v>2</v>
      </c>
      <c r="C1" s="5" t="s">
        <v>35</v>
      </c>
      <c r="D1" s="14" t="s">
        <v>36</v>
      </c>
      <c r="E1" s="5" t="s">
        <v>37</v>
      </c>
    </row>
    <row r="2" spans="1:7" x14ac:dyDescent="0.2">
      <c r="A2" s="4" t="s">
        <v>33</v>
      </c>
      <c r="B2" s="4" t="s">
        <v>4</v>
      </c>
      <c r="C2" s="6">
        <f>L_i!C2</f>
        <v>1053900</v>
      </c>
      <c r="D2" s="18">
        <f>delta_M!C2</f>
        <v>184059114</v>
      </c>
      <c r="E2" s="18">
        <f>D2/C2</f>
        <v>174.64571021918587</v>
      </c>
    </row>
    <row r="3" spans="1:7" x14ac:dyDescent="0.2">
      <c r="A3" s="4" t="s">
        <v>33</v>
      </c>
      <c r="B3" s="4" t="s">
        <v>26</v>
      </c>
      <c r="C3" s="6">
        <f>L_i!C3</f>
        <v>5066000</v>
      </c>
      <c r="D3" s="18">
        <f>delta_M!C3</f>
        <v>35575991839</v>
      </c>
      <c r="E3" s="18">
        <f t="shared" ref="E3:E13" si="0">D3/C3</f>
        <v>7022.5013499802608</v>
      </c>
    </row>
    <row r="4" spans="1:7" x14ac:dyDescent="0.2">
      <c r="A4" s="4" t="s">
        <v>33</v>
      </c>
      <c r="B4" s="4" t="s">
        <v>27</v>
      </c>
      <c r="C4" s="6">
        <f>L_i!C4</f>
        <v>1550400</v>
      </c>
      <c r="D4" s="18">
        <f>delta_M!C4</f>
        <v>0</v>
      </c>
      <c r="E4" s="18">
        <f t="shared" si="0"/>
        <v>0</v>
      </c>
    </row>
    <row r="5" spans="1:7" x14ac:dyDescent="0.2">
      <c r="A5" s="4" t="s">
        <v>33</v>
      </c>
      <c r="B5" s="4" t="s">
        <v>28</v>
      </c>
      <c r="C5" s="6">
        <f>L_i!C5</f>
        <v>5016100</v>
      </c>
      <c r="D5" s="18">
        <f>delta_M!C5</f>
        <v>0</v>
      </c>
      <c r="E5" s="18">
        <f t="shared" si="0"/>
        <v>0</v>
      </c>
    </row>
    <row r="6" spans="1:7" x14ac:dyDescent="0.2">
      <c r="A6" s="4" t="s">
        <v>33</v>
      </c>
      <c r="B6" s="4" t="s">
        <v>29</v>
      </c>
      <c r="C6" s="6">
        <f>L_i!C6</f>
        <v>1996600</v>
      </c>
      <c r="D6" s="18">
        <f>delta_M!C6</f>
        <v>-8872</v>
      </c>
      <c r="E6" s="18">
        <f t="shared" si="0"/>
        <v>-4.4435540418711807E-3</v>
      </c>
    </row>
    <row r="7" spans="1:7" x14ac:dyDescent="0.2">
      <c r="A7" s="4" t="s">
        <v>33</v>
      </c>
      <c r="B7" s="4" t="s">
        <v>30</v>
      </c>
      <c r="C7" s="6">
        <f>L_i!C7</f>
        <v>5608400</v>
      </c>
      <c r="D7" s="18">
        <f>delta_M!C7</f>
        <v>48281124</v>
      </c>
      <c r="E7" s="18">
        <f t="shared" si="0"/>
        <v>8.6087162113971907</v>
      </c>
      <c r="G7" s="7"/>
    </row>
    <row r="8" spans="1:7" x14ac:dyDescent="0.2">
      <c r="A8" s="4" t="s">
        <v>34</v>
      </c>
      <c r="B8" s="4" t="s">
        <v>4</v>
      </c>
      <c r="C8" s="6">
        <f>L_i!C14</f>
        <v>778700</v>
      </c>
      <c r="D8" s="18">
        <f>delta_M!C8</f>
        <v>172386607.00699997</v>
      </c>
      <c r="E8" s="18">
        <f t="shared" si="0"/>
        <v>221.37743290997813</v>
      </c>
    </row>
    <row r="9" spans="1:7" x14ac:dyDescent="0.2">
      <c r="A9" s="4" t="s">
        <v>34</v>
      </c>
      <c r="B9" s="4" t="s">
        <v>26</v>
      </c>
      <c r="C9" s="6">
        <f>L_i!C15</f>
        <v>4473300</v>
      </c>
      <c r="D9" s="18">
        <f>delta_M!C9</f>
        <v>-18212381119.010994</v>
      </c>
      <c r="E9" s="18">
        <f t="shared" si="0"/>
        <v>-4071.3524956991469</v>
      </c>
    </row>
    <row r="10" spans="1:7" x14ac:dyDescent="0.2">
      <c r="A10" s="4" t="s">
        <v>34</v>
      </c>
      <c r="B10" s="4" t="s">
        <v>27</v>
      </c>
      <c r="C10" s="6">
        <f>L_i!C16</f>
        <v>1673500</v>
      </c>
      <c r="D10" s="18">
        <f>delta_M!C10</f>
        <v>0</v>
      </c>
      <c r="E10" s="18">
        <f t="shared" si="0"/>
        <v>0</v>
      </c>
    </row>
    <row r="11" spans="1:7" x14ac:dyDescent="0.2">
      <c r="A11" s="4" t="s">
        <v>34</v>
      </c>
      <c r="B11" s="4" t="s">
        <v>28</v>
      </c>
      <c r="C11" s="6">
        <f>L_i!C17</f>
        <v>6057500</v>
      </c>
      <c r="D11" s="18">
        <f>delta_M!C11</f>
        <v>0</v>
      </c>
      <c r="E11" s="18">
        <f t="shared" si="0"/>
        <v>0</v>
      </c>
    </row>
    <row r="12" spans="1:7" x14ac:dyDescent="0.2">
      <c r="A12" s="4" t="s">
        <v>34</v>
      </c>
      <c r="B12" s="4" t="s">
        <v>29</v>
      </c>
      <c r="C12" s="6">
        <f>L_i!C18</f>
        <v>2907100</v>
      </c>
      <c r="D12" s="18">
        <f>delta_M!C12</f>
        <v>-304830.45400000003</v>
      </c>
      <c r="E12" s="18">
        <f t="shared" si="0"/>
        <v>-0.10485723022943828</v>
      </c>
    </row>
    <row r="13" spans="1:7" x14ac:dyDescent="0.2">
      <c r="A13" s="4" t="s">
        <v>34</v>
      </c>
      <c r="B13" s="4" t="s">
        <v>30</v>
      </c>
      <c r="C13" s="6">
        <f>L_i!C19</f>
        <v>6250800</v>
      </c>
      <c r="D13" s="18">
        <f>delta_M!C13</f>
        <v>-6086119.0599999996</v>
      </c>
      <c r="E13" s="18">
        <f t="shared" si="0"/>
        <v>-0.97365442183400519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C9E9-3C55-664F-AA32-8A8AA83F5540}">
  <dimension ref="A1:R23"/>
  <sheetViews>
    <sheetView workbookViewId="0">
      <selection activeCell="L31" sqref="L31"/>
    </sheetView>
  </sheetViews>
  <sheetFormatPr baseColWidth="10" defaultRowHeight="16" x14ac:dyDescent="0.2"/>
  <cols>
    <col min="1" max="1" width="32.1640625" bestFit="1" customWidth="1"/>
    <col min="11" max="11" width="32.1640625" bestFit="1" customWidth="1"/>
  </cols>
  <sheetData>
    <row r="1" spans="1:18" x14ac:dyDescent="0.2">
      <c r="A1" s="19">
        <v>1999</v>
      </c>
      <c r="B1" s="19"/>
      <c r="C1" s="19"/>
      <c r="D1" s="19"/>
      <c r="E1" s="19"/>
      <c r="F1" s="19"/>
      <c r="G1" s="19"/>
      <c r="H1" s="19"/>
      <c r="K1" s="19">
        <v>2012</v>
      </c>
      <c r="L1" s="19"/>
      <c r="M1" s="19"/>
      <c r="N1" s="19"/>
      <c r="O1" s="19"/>
      <c r="P1" s="19"/>
      <c r="Q1" s="19"/>
      <c r="R1" s="19"/>
    </row>
    <row r="2" spans="1:18" x14ac:dyDescent="0.2">
      <c r="A2" s="8"/>
      <c r="B2" s="8" t="s">
        <v>4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38</v>
      </c>
      <c r="K2" s="5"/>
      <c r="L2" s="5" t="s">
        <v>4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30</v>
      </c>
      <c r="R2" s="5" t="s">
        <v>40</v>
      </c>
    </row>
    <row r="3" spans="1:18" x14ac:dyDescent="0.2">
      <c r="A3" s="8" t="s">
        <v>5</v>
      </c>
      <c r="B3" s="6">
        <f>employment!D2</f>
        <v>57900</v>
      </c>
      <c r="C3" s="6">
        <f>employment!D87</f>
        <v>6400</v>
      </c>
      <c r="D3" s="6">
        <f>employment!D170</f>
        <v>104300</v>
      </c>
      <c r="E3" s="6">
        <f>employment!D254</f>
        <v>395000</v>
      </c>
      <c r="F3" s="6">
        <f>employment!D338</f>
        <v>166200</v>
      </c>
      <c r="G3" s="6">
        <f>employment!D422</f>
        <v>395600</v>
      </c>
      <c r="H3" s="6">
        <f>SUM(B3:G3)</f>
        <v>1125400</v>
      </c>
      <c r="K3" s="5" t="s">
        <v>5</v>
      </c>
      <c r="L3" s="6">
        <f>employment!D44</f>
        <v>49100</v>
      </c>
      <c r="M3" s="6">
        <f>employment!D128</f>
        <v>455000</v>
      </c>
      <c r="N3" s="6">
        <f>employment!D212</f>
        <v>139400</v>
      </c>
      <c r="O3" s="6">
        <f>employment!D296</f>
        <v>443900.00000000006</v>
      </c>
      <c r="P3" s="6">
        <f>employment!D380</f>
        <v>230500</v>
      </c>
      <c r="Q3" s="6">
        <f>employment!D464</f>
        <v>462600</v>
      </c>
      <c r="R3" s="6">
        <f>SUM(L3:Q3)</f>
        <v>1780500</v>
      </c>
    </row>
    <row r="4" spans="1:18" x14ac:dyDescent="0.2">
      <c r="A4" s="8" t="s">
        <v>6</v>
      </c>
      <c r="B4" s="6">
        <f>employment!D3</f>
        <v>2799.9999999999973</v>
      </c>
      <c r="C4" s="6">
        <f>employment!D88</f>
        <v>92500</v>
      </c>
      <c r="D4" s="6">
        <f>employment!D171</f>
        <v>5600</v>
      </c>
      <c r="E4" s="6">
        <f>employment!D255</f>
        <v>15400</v>
      </c>
      <c r="F4" s="6">
        <f>employment!D339</f>
        <v>3900</v>
      </c>
      <c r="G4" s="6">
        <f>employment!D423</f>
        <v>17000</v>
      </c>
      <c r="H4" s="6">
        <f t="shared" ref="H4:H23" si="0">SUM(B4:G4)</f>
        <v>137200</v>
      </c>
      <c r="K4" s="5" t="s">
        <v>6</v>
      </c>
      <c r="L4" s="6">
        <f>employment!D45</f>
        <v>2100</v>
      </c>
      <c r="M4" s="6">
        <f>employment!D129</f>
        <v>5800</v>
      </c>
      <c r="N4" s="6">
        <f>employment!D213</f>
        <v>6300</v>
      </c>
      <c r="O4" s="6">
        <f>employment!D297</f>
        <v>14000</v>
      </c>
      <c r="P4" s="6">
        <f>employment!D381</f>
        <v>4900</v>
      </c>
      <c r="Q4" s="6">
        <f>employment!D465</f>
        <v>19000</v>
      </c>
      <c r="R4" s="6">
        <f t="shared" ref="R4:R23" si="1">SUM(L4:Q4)</f>
        <v>52100</v>
      </c>
    </row>
    <row r="5" spans="1:18" x14ac:dyDescent="0.2">
      <c r="A5" s="8" t="s">
        <v>7</v>
      </c>
      <c r="B5" s="6">
        <f>employment!D4</f>
        <v>19900</v>
      </c>
      <c r="C5" s="6">
        <f>employment!D89</f>
        <v>1268400</v>
      </c>
      <c r="D5" s="6">
        <f>employment!D172</f>
        <v>42700</v>
      </c>
      <c r="E5" s="6">
        <f>employment!D256</f>
        <v>182600</v>
      </c>
      <c r="F5" s="6">
        <f>employment!D340</f>
        <v>73800</v>
      </c>
      <c r="G5" s="6">
        <f>employment!D424</f>
        <v>171400</v>
      </c>
      <c r="H5" s="6">
        <f t="shared" si="0"/>
        <v>1758800</v>
      </c>
      <c r="K5" s="5" t="s">
        <v>7</v>
      </c>
      <c r="L5" s="6">
        <f>employment!D46</f>
        <v>12600</v>
      </c>
      <c r="M5" s="6">
        <f>employment!D130</f>
        <v>72500</v>
      </c>
      <c r="N5" s="6">
        <f>employment!D214</f>
        <v>41600</v>
      </c>
      <c r="O5" s="6">
        <f>employment!D298</f>
        <v>199900</v>
      </c>
      <c r="P5" s="6">
        <f>employment!D382</f>
        <v>83200</v>
      </c>
      <c r="Q5" s="6">
        <f>employment!D466</f>
        <v>191200</v>
      </c>
      <c r="R5" s="6">
        <f t="shared" si="1"/>
        <v>601000</v>
      </c>
    </row>
    <row r="6" spans="1:18" x14ac:dyDescent="0.2">
      <c r="A6" s="8" t="s">
        <v>8</v>
      </c>
      <c r="B6" s="6">
        <f>employment!D5</f>
        <v>73300</v>
      </c>
      <c r="C6" s="6">
        <f>employment!D90</f>
        <v>111500</v>
      </c>
      <c r="D6" s="6">
        <f>employment!D173</f>
        <v>291000</v>
      </c>
      <c r="E6" s="6">
        <f>employment!D257</f>
        <v>877600</v>
      </c>
      <c r="F6" s="6">
        <f>employment!D341</f>
        <v>486200</v>
      </c>
      <c r="G6" s="6">
        <f>employment!D425</f>
        <v>778400</v>
      </c>
      <c r="H6" s="6">
        <f t="shared" si="0"/>
        <v>2618000</v>
      </c>
      <c r="K6" s="5" t="s">
        <v>8</v>
      </c>
      <c r="L6" s="6">
        <f>employment!D47</f>
        <v>51400</v>
      </c>
      <c r="M6" s="6">
        <f>employment!D131</f>
        <v>1101200</v>
      </c>
      <c r="N6" s="6">
        <f>employment!D215</f>
        <v>307600</v>
      </c>
      <c r="O6" s="6">
        <f>employment!D299</f>
        <v>1095300</v>
      </c>
      <c r="P6" s="6">
        <f>employment!D383</f>
        <v>615700</v>
      </c>
      <c r="Q6" s="6">
        <f>employment!D467</f>
        <v>936500</v>
      </c>
      <c r="R6" s="6">
        <f t="shared" si="1"/>
        <v>4107700</v>
      </c>
    </row>
    <row r="7" spans="1:18" x14ac:dyDescent="0.2">
      <c r="A7" s="8" t="s">
        <v>9</v>
      </c>
      <c r="B7" s="6">
        <f>employment!D6</f>
        <v>26400</v>
      </c>
      <c r="C7" s="6">
        <f>employment!D91</f>
        <v>19300</v>
      </c>
      <c r="D7" s="6">
        <f>employment!D174</f>
        <v>37200</v>
      </c>
      <c r="E7" s="6">
        <f>employment!D258</f>
        <v>98000</v>
      </c>
      <c r="F7" s="6">
        <f>employment!D342</f>
        <v>34800</v>
      </c>
      <c r="G7" s="6">
        <f>employment!D426</f>
        <v>121700</v>
      </c>
      <c r="H7" s="6">
        <f t="shared" si="0"/>
        <v>337400</v>
      </c>
      <c r="K7" s="5" t="s">
        <v>9</v>
      </c>
      <c r="L7" s="6">
        <f>employment!D48</f>
        <v>11900</v>
      </c>
      <c r="M7" s="6">
        <f>employment!D132</f>
        <v>110400</v>
      </c>
      <c r="N7" s="6">
        <f>employment!D216</f>
        <v>48700</v>
      </c>
      <c r="O7" s="6">
        <f>employment!D300</f>
        <v>131600</v>
      </c>
      <c r="P7" s="6">
        <f>employment!D384</f>
        <v>54700</v>
      </c>
      <c r="Q7" s="6">
        <f>employment!D468</f>
        <v>134500</v>
      </c>
      <c r="R7" s="6">
        <f t="shared" si="1"/>
        <v>491800</v>
      </c>
    </row>
    <row r="8" spans="1:18" x14ac:dyDescent="0.2">
      <c r="A8" s="8" t="s">
        <v>10</v>
      </c>
      <c r="B8" s="6">
        <f>employment!D7</f>
        <v>12600</v>
      </c>
      <c r="C8" s="6">
        <f>employment!D92</f>
        <v>247400</v>
      </c>
      <c r="D8" s="6">
        <f>employment!D175</f>
        <v>11300</v>
      </c>
      <c r="E8" s="6">
        <f>employment!D259</f>
        <v>20500</v>
      </c>
      <c r="F8" s="6">
        <f>employment!D343</f>
        <v>7400</v>
      </c>
      <c r="G8" s="6">
        <f>employment!D427</f>
        <v>32400</v>
      </c>
      <c r="H8" s="6">
        <f t="shared" si="0"/>
        <v>331600</v>
      </c>
      <c r="K8" s="5" t="s">
        <v>10</v>
      </c>
      <c r="L8" s="6">
        <f>employment!D49</f>
        <v>6700</v>
      </c>
      <c r="M8" s="6">
        <f>employment!D133</f>
        <v>18600</v>
      </c>
      <c r="N8" s="6">
        <f>employment!D217</f>
        <v>10500</v>
      </c>
      <c r="O8" s="6">
        <f>employment!D301</f>
        <v>24400</v>
      </c>
      <c r="P8" s="6">
        <f>employment!D385</f>
        <v>10900</v>
      </c>
      <c r="Q8" s="6">
        <f>employment!D469</f>
        <v>31100</v>
      </c>
      <c r="R8" s="6">
        <f t="shared" si="1"/>
        <v>102200</v>
      </c>
    </row>
    <row r="9" spans="1:18" x14ac:dyDescent="0.2">
      <c r="A9" s="8" t="s">
        <v>11</v>
      </c>
      <c r="B9" s="6">
        <f>employment!D8</f>
        <v>114800</v>
      </c>
      <c r="C9" s="6">
        <f>employment!D93</f>
        <v>200700</v>
      </c>
      <c r="D9" s="6">
        <f>employment!D176</f>
        <v>132100</v>
      </c>
      <c r="E9" s="6">
        <f>employment!D260</f>
        <v>379600</v>
      </c>
      <c r="F9" s="6">
        <f>employment!D344</f>
        <v>116400</v>
      </c>
      <c r="G9" s="6">
        <f>employment!D428</f>
        <v>550900</v>
      </c>
      <c r="H9" s="6">
        <f t="shared" si="0"/>
        <v>1494500</v>
      </c>
      <c r="K9" s="5" t="s">
        <v>11</v>
      </c>
      <c r="L9" s="6">
        <f>employment!D50</f>
        <v>61200</v>
      </c>
      <c r="M9" s="6">
        <f>employment!D134</f>
        <v>218800</v>
      </c>
      <c r="N9" s="6">
        <f>employment!D218</f>
        <v>119700</v>
      </c>
      <c r="O9" s="6">
        <f>employment!D302</f>
        <v>465800</v>
      </c>
      <c r="P9" s="6">
        <f>employment!D386</f>
        <v>201899.99999999997</v>
      </c>
      <c r="Q9" s="6">
        <f>employment!D470</f>
        <v>498100</v>
      </c>
      <c r="R9" s="6">
        <f t="shared" si="1"/>
        <v>1565500</v>
      </c>
    </row>
    <row r="10" spans="1:18" x14ac:dyDescent="0.2">
      <c r="A10" s="8" t="s">
        <v>12</v>
      </c>
      <c r="B10" s="6">
        <f>employment!D9</f>
        <v>133300</v>
      </c>
      <c r="C10" s="6">
        <f>employment!D94</f>
        <v>34300</v>
      </c>
      <c r="D10" s="6">
        <f>employment!D177</f>
        <v>109300</v>
      </c>
      <c r="E10" s="6">
        <f>employment!D261</f>
        <v>263800</v>
      </c>
      <c r="F10" s="6">
        <f>employment!D345</f>
        <v>69300</v>
      </c>
      <c r="G10" s="6">
        <f>employment!D429</f>
        <v>381200</v>
      </c>
      <c r="H10" s="6">
        <f t="shared" si="0"/>
        <v>991200</v>
      </c>
      <c r="K10" s="5" t="s">
        <v>12</v>
      </c>
      <c r="L10" s="6">
        <f>employment!D51</f>
        <v>106000</v>
      </c>
      <c r="M10" s="6">
        <f>employment!D135</f>
        <v>191600</v>
      </c>
      <c r="N10" s="6">
        <f>employment!D219</f>
        <v>101200</v>
      </c>
      <c r="O10" s="6">
        <f>employment!D303</f>
        <v>326000</v>
      </c>
      <c r="P10" s="6">
        <f>employment!D387</f>
        <v>143300</v>
      </c>
      <c r="Q10" s="6">
        <f>employment!D471</f>
        <v>349900</v>
      </c>
      <c r="R10" s="6">
        <f t="shared" si="1"/>
        <v>1218000</v>
      </c>
    </row>
    <row r="11" spans="1:18" x14ac:dyDescent="0.2">
      <c r="A11" s="8" t="s">
        <v>13</v>
      </c>
      <c r="B11" s="6">
        <f>employment!D10</f>
        <v>21500</v>
      </c>
      <c r="C11" s="6">
        <f>employment!D95</f>
        <v>39200</v>
      </c>
      <c r="D11" s="6">
        <f>employment!D178</f>
        <v>21600</v>
      </c>
      <c r="E11" s="6">
        <f>employment!D262</f>
        <v>36100</v>
      </c>
      <c r="F11" s="6">
        <f>employment!D346</f>
        <v>8100</v>
      </c>
      <c r="G11" s="6">
        <f>employment!D430</f>
        <v>52000</v>
      </c>
      <c r="H11" s="6">
        <f t="shared" si="0"/>
        <v>178500</v>
      </c>
      <c r="K11" s="5" t="s">
        <v>13</v>
      </c>
      <c r="L11" s="6">
        <f>employment!D52</f>
        <v>13800</v>
      </c>
      <c r="M11" s="6">
        <f>employment!D136</f>
        <v>31500</v>
      </c>
      <c r="N11" s="6">
        <f>employment!D220</f>
        <v>18000</v>
      </c>
      <c r="O11" s="6">
        <f>employment!D304</f>
        <v>43600</v>
      </c>
      <c r="P11" s="6">
        <f>employment!D388</f>
        <v>18599.999999999996</v>
      </c>
      <c r="Q11" s="6">
        <f>employment!D472</f>
        <v>53400</v>
      </c>
      <c r="R11" s="6">
        <f t="shared" si="1"/>
        <v>178900</v>
      </c>
    </row>
    <row r="12" spans="1:18" x14ac:dyDescent="0.2">
      <c r="A12" s="8" t="s">
        <v>14</v>
      </c>
      <c r="B12" s="6">
        <f>employment!D11</f>
        <v>63500</v>
      </c>
      <c r="C12" s="6">
        <f>employment!D96</f>
        <v>125400</v>
      </c>
      <c r="D12" s="6">
        <f>employment!D179</f>
        <v>58000</v>
      </c>
      <c r="E12" s="6">
        <f>employment!D263</f>
        <v>127800</v>
      </c>
      <c r="F12" s="6">
        <f>employment!D347</f>
        <v>34900</v>
      </c>
      <c r="G12" s="6">
        <f>employment!D431</f>
        <v>197000</v>
      </c>
      <c r="H12" s="6">
        <f t="shared" si="0"/>
        <v>606600</v>
      </c>
      <c r="K12" s="5" t="s">
        <v>14</v>
      </c>
      <c r="L12" s="6">
        <f>employment!D53</f>
        <v>56600</v>
      </c>
      <c r="M12" s="6">
        <f>employment!D137</f>
        <v>48000</v>
      </c>
      <c r="N12" s="6">
        <f>employment!D221</f>
        <v>43700</v>
      </c>
      <c r="O12" s="6">
        <f>employment!D305</f>
        <v>156800</v>
      </c>
      <c r="P12" s="6">
        <f>employment!D389</f>
        <v>63800</v>
      </c>
      <c r="Q12" s="6">
        <f>employment!D473</f>
        <v>174000</v>
      </c>
      <c r="R12" s="6">
        <f t="shared" si="1"/>
        <v>542900</v>
      </c>
    </row>
    <row r="13" spans="1:18" x14ac:dyDescent="0.2">
      <c r="A13" s="8" t="s">
        <v>15</v>
      </c>
      <c r="B13" s="6">
        <f>employment!D12</f>
        <v>118200</v>
      </c>
      <c r="C13" s="6">
        <f>employment!D97</f>
        <v>59400</v>
      </c>
      <c r="D13" s="6">
        <f>employment!D180</f>
        <v>125100</v>
      </c>
      <c r="E13" s="6">
        <f>employment!D264</f>
        <v>317000</v>
      </c>
      <c r="F13" s="6">
        <f>employment!D348</f>
        <v>95400</v>
      </c>
      <c r="G13" s="6">
        <f>employment!D432</f>
        <v>520299.99999999994</v>
      </c>
      <c r="H13" s="6">
        <f t="shared" si="0"/>
        <v>1235400</v>
      </c>
      <c r="K13" s="5" t="s">
        <v>15</v>
      </c>
      <c r="L13" s="6">
        <f>employment!D54</f>
        <v>113000</v>
      </c>
      <c r="M13" s="6">
        <f>employment!D138</f>
        <v>126400</v>
      </c>
      <c r="N13" s="6">
        <f>employment!D222</f>
        <v>101200</v>
      </c>
      <c r="O13" s="6">
        <f>employment!D306</f>
        <v>368800</v>
      </c>
      <c r="P13" s="6">
        <f>employment!D390</f>
        <v>153700</v>
      </c>
      <c r="Q13" s="6">
        <f>employment!D474</f>
        <v>518900</v>
      </c>
      <c r="R13" s="6">
        <f t="shared" si="1"/>
        <v>1382000</v>
      </c>
    </row>
    <row r="14" spans="1:18" x14ac:dyDescent="0.2">
      <c r="A14" s="8" t="s">
        <v>16</v>
      </c>
      <c r="B14" s="6">
        <f>employment!D13</f>
        <v>39500</v>
      </c>
      <c r="C14" s="6">
        <f>employment!D98</f>
        <v>34800</v>
      </c>
      <c r="D14" s="6">
        <f>employment!D181</f>
        <v>56100</v>
      </c>
      <c r="E14" s="6">
        <f>employment!D265</f>
        <v>136000</v>
      </c>
      <c r="F14" s="6">
        <f>employment!D349</f>
        <v>33100</v>
      </c>
      <c r="G14" s="6">
        <f>employment!D433</f>
        <v>182500</v>
      </c>
      <c r="H14" s="6">
        <f t="shared" si="0"/>
        <v>482000</v>
      </c>
      <c r="K14" s="5" t="s">
        <v>16</v>
      </c>
      <c r="L14" s="6">
        <f>employment!D55</f>
        <v>32100</v>
      </c>
      <c r="M14" s="6">
        <f>employment!D139</f>
        <v>52900</v>
      </c>
      <c r="N14" s="6">
        <f>employment!D223</f>
        <v>46400</v>
      </c>
      <c r="O14" s="6">
        <f>employment!D307</f>
        <v>164100</v>
      </c>
      <c r="P14" s="6">
        <f>employment!D391</f>
        <v>74200</v>
      </c>
      <c r="Q14" s="6">
        <f>employment!D475</f>
        <v>208000</v>
      </c>
      <c r="R14" s="6">
        <f t="shared" si="1"/>
        <v>577700</v>
      </c>
    </row>
    <row r="15" spans="1:18" x14ac:dyDescent="0.2">
      <c r="A15" s="8" t="s">
        <v>17</v>
      </c>
      <c r="B15" s="6">
        <f>employment!D14</f>
        <v>21800</v>
      </c>
      <c r="C15" s="6">
        <f>employment!D99</f>
        <v>36100</v>
      </c>
      <c r="D15" s="6">
        <f>employment!D182</f>
        <v>16600</v>
      </c>
      <c r="E15" s="6">
        <f>employment!D266</f>
        <v>59000</v>
      </c>
      <c r="F15" s="6">
        <f>employment!D350</f>
        <v>14200</v>
      </c>
      <c r="G15" s="6">
        <f>employment!D434</f>
        <v>57300</v>
      </c>
      <c r="H15" s="6">
        <f t="shared" si="0"/>
        <v>205000</v>
      </c>
      <c r="K15" s="5" t="s">
        <v>17</v>
      </c>
      <c r="L15" s="6">
        <f>employment!D56</f>
        <v>14200</v>
      </c>
      <c r="M15" s="6">
        <f>employment!D140</f>
        <v>31900</v>
      </c>
      <c r="N15" s="6">
        <f>employment!D224</f>
        <v>20900</v>
      </c>
      <c r="O15" s="6">
        <f>employment!D308</f>
        <v>75500</v>
      </c>
      <c r="P15" s="6">
        <f>employment!D392</f>
        <v>24600</v>
      </c>
      <c r="Q15" s="6">
        <f>employment!D476</f>
        <v>69000</v>
      </c>
      <c r="R15" s="6">
        <f t="shared" si="1"/>
        <v>236100</v>
      </c>
    </row>
    <row r="16" spans="1:18" x14ac:dyDescent="0.2">
      <c r="A16" s="8" t="s">
        <v>18</v>
      </c>
      <c r="B16" s="6">
        <f>employment!D15</f>
        <v>9900</v>
      </c>
      <c r="C16" s="6">
        <f>employment!D100</f>
        <v>681100</v>
      </c>
      <c r="D16" s="6">
        <f>employment!D183</f>
        <v>19600</v>
      </c>
      <c r="E16" s="6">
        <f>employment!D267</f>
        <v>53900</v>
      </c>
      <c r="F16" s="6">
        <f>employment!D351</f>
        <v>16100.000000000002</v>
      </c>
      <c r="G16" s="6">
        <f>employment!D435</f>
        <v>53400</v>
      </c>
      <c r="H16" s="6">
        <f t="shared" si="0"/>
        <v>834000</v>
      </c>
      <c r="K16" s="5" t="s">
        <v>18</v>
      </c>
      <c r="L16" s="6">
        <f>employment!D57</f>
        <v>8100</v>
      </c>
      <c r="M16" s="6">
        <f>employment!D141</f>
        <v>40900</v>
      </c>
      <c r="N16" s="6">
        <f>employment!D225</f>
        <v>19000</v>
      </c>
      <c r="O16" s="6">
        <f>employment!D309</f>
        <v>56600</v>
      </c>
      <c r="P16" s="6">
        <f>employment!D393</f>
        <v>26600</v>
      </c>
      <c r="Q16" s="6">
        <f>employment!D477</f>
        <v>70900</v>
      </c>
      <c r="R16" s="6">
        <f t="shared" si="1"/>
        <v>222100</v>
      </c>
    </row>
    <row r="17" spans="1:18" x14ac:dyDescent="0.2">
      <c r="A17" s="8" t="s">
        <v>19</v>
      </c>
      <c r="B17" s="6">
        <f>employment!D16</f>
        <v>80600</v>
      </c>
      <c r="C17" s="6">
        <f>employment!D101</f>
        <v>124800</v>
      </c>
      <c r="D17" s="6">
        <f>employment!D184</f>
        <v>122800</v>
      </c>
      <c r="E17" s="6">
        <f>employment!D268</f>
        <v>418400</v>
      </c>
      <c r="F17" s="6">
        <f>employment!D352</f>
        <v>161400</v>
      </c>
      <c r="G17" s="6">
        <f>employment!D436</f>
        <v>388000</v>
      </c>
      <c r="H17" s="6">
        <f t="shared" si="0"/>
        <v>1296000</v>
      </c>
      <c r="K17" s="5" t="s">
        <v>19</v>
      </c>
      <c r="L17" s="6">
        <f>employment!D58</f>
        <v>70600</v>
      </c>
      <c r="M17" s="6">
        <f>employment!D142</f>
        <v>582100</v>
      </c>
      <c r="N17" s="6">
        <f>employment!D226</f>
        <v>158800</v>
      </c>
      <c r="O17" s="6">
        <f>employment!D310</f>
        <v>559000</v>
      </c>
      <c r="P17" s="6">
        <f>employment!D394</f>
        <v>223500</v>
      </c>
      <c r="Q17" s="6">
        <f>employment!D478</f>
        <v>469800</v>
      </c>
      <c r="R17" s="6">
        <f t="shared" si="1"/>
        <v>2063800</v>
      </c>
    </row>
    <row r="18" spans="1:18" x14ac:dyDescent="0.2">
      <c r="A18" s="8" t="s">
        <v>20</v>
      </c>
      <c r="B18" s="6">
        <f>employment!D17</f>
        <v>21600</v>
      </c>
      <c r="C18" s="6">
        <f>employment!D102</f>
        <v>520100.00000000023</v>
      </c>
      <c r="D18" s="6">
        <f>employment!D185</f>
        <v>31300</v>
      </c>
      <c r="E18" s="6">
        <f>employment!D269</f>
        <v>123200</v>
      </c>
      <c r="F18" s="6">
        <f>employment!D353</f>
        <v>41400</v>
      </c>
      <c r="G18" s="6">
        <f>employment!D437</f>
        <v>122900</v>
      </c>
      <c r="H18" s="6">
        <f t="shared" si="0"/>
        <v>860500.00000000023</v>
      </c>
      <c r="K18" s="5" t="s">
        <v>20</v>
      </c>
      <c r="L18" s="6">
        <f>employment!D59</f>
        <v>9500</v>
      </c>
      <c r="M18" s="6">
        <f>employment!D143</f>
        <v>130500</v>
      </c>
      <c r="N18" s="6">
        <f>employment!D227</f>
        <v>30900</v>
      </c>
      <c r="O18" s="6">
        <f>employment!D311</f>
        <v>117200</v>
      </c>
      <c r="P18" s="6">
        <f>employment!D395</f>
        <v>64000</v>
      </c>
      <c r="Q18" s="6">
        <f>employment!D479</f>
        <v>139100</v>
      </c>
      <c r="R18" s="6">
        <f t="shared" si="1"/>
        <v>491200</v>
      </c>
    </row>
    <row r="19" spans="1:18" x14ac:dyDescent="0.2">
      <c r="A19" s="8" t="s">
        <v>21</v>
      </c>
      <c r="B19" s="6">
        <f>employment!D18</f>
        <v>105400</v>
      </c>
      <c r="C19" s="6">
        <f>employment!D103</f>
        <v>383800</v>
      </c>
      <c r="D19" s="6">
        <f>employment!D186</f>
        <v>101899.99999999999</v>
      </c>
      <c r="E19" s="6">
        <f>employment!D270</f>
        <v>425300</v>
      </c>
      <c r="F19" s="6">
        <f>employment!D354</f>
        <v>163099.99999999997</v>
      </c>
      <c r="G19" s="6">
        <f>employment!D438</f>
        <v>370700.00000000006</v>
      </c>
      <c r="H19" s="6">
        <f t="shared" si="0"/>
        <v>1550200</v>
      </c>
      <c r="K19" s="5" t="s">
        <v>21</v>
      </c>
      <c r="L19" s="6">
        <f>employment!D60</f>
        <v>62100</v>
      </c>
      <c r="M19" s="6">
        <f>employment!D144</f>
        <v>498100</v>
      </c>
      <c r="N19" s="6">
        <f>employment!D228</f>
        <v>118000</v>
      </c>
      <c r="O19" s="6">
        <f>employment!D312</f>
        <v>490900</v>
      </c>
      <c r="P19" s="6">
        <f>employment!D396</f>
        <v>249000</v>
      </c>
      <c r="Q19" s="6">
        <f>employment!D480</f>
        <v>466300</v>
      </c>
      <c r="R19" s="6">
        <f t="shared" si="1"/>
        <v>1884400</v>
      </c>
    </row>
    <row r="20" spans="1:18" x14ac:dyDescent="0.2">
      <c r="A20" s="8" t="s">
        <v>22</v>
      </c>
      <c r="B20" s="6">
        <f>employment!D19</f>
        <v>42800</v>
      </c>
      <c r="C20" s="6">
        <f>employment!D104</f>
        <v>76300</v>
      </c>
      <c r="D20" s="6">
        <f>employment!D187</f>
        <v>81800</v>
      </c>
      <c r="E20" s="6">
        <f>employment!D271</f>
        <v>369800</v>
      </c>
      <c r="F20" s="6">
        <f>employment!D355</f>
        <v>128199.99999999999</v>
      </c>
      <c r="G20" s="6">
        <f>employment!D439</f>
        <v>330100</v>
      </c>
      <c r="H20" s="6">
        <f t="shared" si="0"/>
        <v>1029000</v>
      </c>
      <c r="K20" s="5" t="s">
        <v>22</v>
      </c>
      <c r="L20" s="6">
        <f>employment!D61</f>
        <v>40900</v>
      </c>
      <c r="M20" s="6">
        <f>employment!D145</f>
        <v>280200</v>
      </c>
      <c r="N20" s="6">
        <f>employment!D229</f>
        <v>115800</v>
      </c>
      <c r="O20" s="6">
        <f>employment!D313</f>
        <v>426600</v>
      </c>
      <c r="P20" s="6">
        <f>employment!D397</f>
        <v>212800</v>
      </c>
      <c r="Q20" s="6">
        <f>employment!D481</f>
        <v>425599.99999999994</v>
      </c>
      <c r="R20" s="6">
        <f t="shared" si="1"/>
        <v>1501900</v>
      </c>
    </row>
    <row r="21" spans="1:18" x14ac:dyDescent="0.2">
      <c r="A21" s="8" t="s">
        <v>23</v>
      </c>
      <c r="B21" s="6">
        <f>employment!D20</f>
        <v>13900</v>
      </c>
      <c r="C21" s="6">
        <f>employment!D105</f>
        <v>197799.99999999994</v>
      </c>
      <c r="D21" s="6">
        <f>employment!D188</f>
        <v>22900</v>
      </c>
      <c r="E21" s="6">
        <f>employment!D272</f>
        <v>80500</v>
      </c>
      <c r="F21" s="6">
        <f>employment!D356</f>
        <v>24600</v>
      </c>
      <c r="G21" s="6">
        <f>employment!D440</f>
        <v>91900</v>
      </c>
      <c r="H21" s="6">
        <f t="shared" si="0"/>
        <v>431599.99999999994</v>
      </c>
      <c r="K21" s="5" t="s">
        <v>23</v>
      </c>
      <c r="L21" s="6">
        <f>employment!D62</f>
        <v>9500</v>
      </c>
      <c r="M21" s="6">
        <f>employment!D146</f>
        <v>74500</v>
      </c>
      <c r="N21" s="6">
        <f>employment!D230</f>
        <v>29500</v>
      </c>
      <c r="O21" s="6">
        <f>employment!D314</f>
        <v>95500</v>
      </c>
      <c r="P21" s="6">
        <f>employment!D398</f>
        <v>38900</v>
      </c>
      <c r="Q21" s="6">
        <f>employment!D482</f>
        <v>96600</v>
      </c>
      <c r="R21" s="6">
        <f t="shared" si="1"/>
        <v>344500</v>
      </c>
    </row>
    <row r="22" spans="1:18" x14ac:dyDescent="0.2">
      <c r="A22" s="8" t="s">
        <v>24</v>
      </c>
      <c r="B22" s="6">
        <f>employment!D21</f>
        <v>21800.000000000004</v>
      </c>
      <c r="C22" s="6">
        <f>employment!D106</f>
        <v>231500</v>
      </c>
      <c r="D22" s="6">
        <f>employment!D189</f>
        <v>40099.999999999964</v>
      </c>
      <c r="E22" s="6">
        <f>employment!D273</f>
        <v>126300.00000000013</v>
      </c>
      <c r="F22" s="6">
        <f>employment!D357</f>
        <v>49699.999999999985</v>
      </c>
      <c r="G22" s="6">
        <f>employment!D441</f>
        <v>134400.00000000009</v>
      </c>
      <c r="H22" s="6">
        <f t="shared" si="0"/>
        <v>603800.00000000012</v>
      </c>
      <c r="K22" s="5" t="s">
        <v>24</v>
      </c>
      <c r="L22" s="6">
        <f>employment!D63</f>
        <v>12900</v>
      </c>
      <c r="M22" s="6">
        <f>employment!D147</f>
        <v>181600</v>
      </c>
      <c r="N22" s="6">
        <f>employment!D231</f>
        <v>38900</v>
      </c>
      <c r="O22" s="6">
        <f>employment!D315</f>
        <v>153100</v>
      </c>
      <c r="P22" s="6">
        <f>employment!D399</f>
        <v>71500</v>
      </c>
      <c r="Q22" s="6">
        <f>employment!D483</f>
        <v>159000</v>
      </c>
      <c r="R22" s="6">
        <f t="shared" si="1"/>
        <v>617000</v>
      </c>
    </row>
    <row r="23" spans="1:18" x14ac:dyDescent="0.2">
      <c r="A23" s="8" t="s">
        <v>25</v>
      </c>
      <c r="B23" s="6">
        <f>employment!D22</f>
        <v>52400</v>
      </c>
      <c r="C23" s="6">
        <f>employment!D107</f>
        <v>475000</v>
      </c>
      <c r="D23" s="6">
        <f>employment!D190</f>
        <v>119100</v>
      </c>
      <c r="E23" s="6">
        <f>employment!D274</f>
        <v>510300</v>
      </c>
      <c r="F23" s="6">
        <f>employment!D358</f>
        <v>268400</v>
      </c>
      <c r="G23" s="6">
        <f>employment!D442</f>
        <v>659300</v>
      </c>
      <c r="H23" s="6">
        <f t="shared" si="0"/>
        <v>2084500</v>
      </c>
      <c r="K23" s="5" t="s">
        <v>25</v>
      </c>
      <c r="L23" s="6">
        <f>employment!D64</f>
        <v>34400</v>
      </c>
      <c r="M23" s="6">
        <f>employment!D148</f>
        <v>220800</v>
      </c>
      <c r="N23" s="6">
        <f>employment!D232</f>
        <v>157400</v>
      </c>
      <c r="O23" s="6">
        <f>employment!D316</f>
        <v>648900.00000000012</v>
      </c>
      <c r="P23" s="6">
        <f>employment!D400</f>
        <v>340800</v>
      </c>
      <c r="Q23" s="6">
        <f>employment!D484</f>
        <v>777300.00000000012</v>
      </c>
      <c r="R23" s="6">
        <f t="shared" si="1"/>
        <v>2179600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9531-5238-C845-82EF-DD0B9B04A4B0}">
  <dimension ref="A1:P23"/>
  <sheetViews>
    <sheetView workbookViewId="0">
      <selection activeCell="G30" sqref="G30"/>
    </sheetView>
  </sheetViews>
  <sheetFormatPr baseColWidth="10" defaultRowHeight="16" x14ac:dyDescent="0.2"/>
  <cols>
    <col min="1" max="1" width="32.1640625" bestFit="1" customWidth="1"/>
    <col min="10" max="10" width="32.1640625" bestFit="1" customWidth="1"/>
  </cols>
  <sheetData>
    <row r="1" spans="1:16" x14ac:dyDescent="0.2">
      <c r="A1" s="19">
        <v>1999</v>
      </c>
      <c r="B1" s="19"/>
      <c r="C1" s="19"/>
      <c r="D1" s="19"/>
      <c r="E1" s="19"/>
      <c r="F1" s="19"/>
      <c r="G1" s="19"/>
      <c r="J1" s="19">
        <v>2012</v>
      </c>
      <c r="K1" s="19"/>
      <c r="L1" s="19"/>
      <c r="M1" s="19"/>
      <c r="N1" s="19"/>
      <c r="O1" s="19"/>
      <c r="P1" s="19"/>
    </row>
    <row r="2" spans="1:16" x14ac:dyDescent="0.2">
      <c r="A2" s="8"/>
      <c r="B2" s="8" t="s">
        <v>4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J2" s="8"/>
      <c r="K2" s="8" t="s">
        <v>4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30</v>
      </c>
    </row>
    <row r="3" spans="1:16" x14ac:dyDescent="0.2">
      <c r="A3" s="5" t="s">
        <v>5</v>
      </c>
      <c r="B3" s="17">
        <f>L_r!B3/L_r!$H3</f>
        <v>5.1448373911498133E-2</v>
      </c>
      <c r="C3" s="17">
        <f>L_r!C3/L_r!$H3</f>
        <v>5.6868668917718149E-3</v>
      </c>
      <c r="D3" s="17">
        <f>L_r!D3/L_r!$H3</f>
        <v>9.2678158876843789E-2</v>
      </c>
      <c r="E3" s="17">
        <f>L_r!E3/L_r!$H3</f>
        <v>0.35098631597654167</v>
      </c>
      <c r="F3" s="17">
        <f>L_r!F3/L_r!$H3</f>
        <v>0.14768082459569931</v>
      </c>
      <c r="G3" s="17">
        <f>L_r!G3/L_r!$H3</f>
        <v>0.35151945974764526</v>
      </c>
      <c r="J3" s="8" t="s">
        <v>5</v>
      </c>
      <c r="K3" s="16">
        <f>L_r!L3/L_r!$R3</f>
        <v>2.7576523448469531E-2</v>
      </c>
      <c r="L3" s="16">
        <f>L_r!M3/L_r!$R3</f>
        <v>0.25554619488907609</v>
      </c>
      <c r="M3" s="16">
        <f>L_r!N3/L_r!$R3</f>
        <v>7.8292614434147714E-2</v>
      </c>
      <c r="N3" s="16">
        <f>L_r!O3/L_r!$R3</f>
        <v>0.24931199101376023</v>
      </c>
      <c r="O3" s="16">
        <f>L_r!P3/L_r!$R3</f>
        <v>0.12945801741083965</v>
      </c>
      <c r="P3" s="16">
        <f>L_r!Q3/L_r!$R3</f>
        <v>0.2598146588037068</v>
      </c>
    </row>
    <row r="4" spans="1:16" x14ac:dyDescent="0.2">
      <c r="A4" s="5" t="s">
        <v>6</v>
      </c>
      <c r="B4" s="17">
        <f>L_r!B4/L_r!$H4</f>
        <v>2.0408163265306103E-2</v>
      </c>
      <c r="C4" s="17">
        <f>L_r!C4/L_r!$H4</f>
        <v>0.67419825072886297</v>
      </c>
      <c r="D4" s="17">
        <f>L_r!D4/L_r!$H4</f>
        <v>4.0816326530612242E-2</v>
      </c>
      <c r="E4" s="17">
        <f>L_r!E4/L_r!$H4</f>
        <v>0.11224489795918367</v>
      </c>
      <c r="F4" s="17">
        <f>L_r!F4/L_r!$H4</f>
        <v>2.8425655976676383E-2</v>
      </c>
      <c r="G4" s="17">
        <f>L_r!G4/L_r!$H4</f>
        <v>0.12390670553935861</v>
      </c>
      <c r="J4" s="8" t="s">
        <v>6</v>
      </c>
      <c r="K4" s="16">
        <f>L_r!L4/L_r!$R4</f>
        <v>4.0307101727447218E-2</v>
      </c>
      <c r="L4" s="16">
        <f>L_r!M4/L_r!$R4</f>
        <v>0.11132437619961612</v>
      </c>
      <c r="M4" s="16">
        <f>L_r!N4/L_r!$R4</f>
        <v>0.12092130518234165</v>
      </c>
      <c r="N4" s="16">
        <f>L_r!O4/L_r!$R4</f>
        <v>0.2687140115163148</v>
      </c>
      <c r="O4" s="16">
        <f>L_r!P4/L_r!$R4</f>
        <v>9.4049904030710174E-2</v>
      </c>
      <c r="P4" s="16">
        <f>L_r!Q4/L_r!$R4</f>
        <v>0.36468330134357008</v>
      </c>
    </row>
    <row r="5" spans="1:16" x14ac:dyDescent="0.2">
      <c r="A5" s="5" t="s">
        <v>7</v>
      </c>
      <c r="B5" s="17">
        <f>L_r!B5/L_r!$H5</f>
        <v>1.1314532635888105E-2</v>
      </c>
      <c r="C5" s="17">
        <f>L_r!C5/L_r!$H5</f>
        <v>0.72117352740504892</v>
      </c>
      <c r="D5" s="17">
        <f>L_r!D5/L_r!$H5</f>
        <v>2.4277916761428247E-2</v>
      </c>
      <c r="E5" s="17">
        <f>L_r!E5/L_r!$H5</f>
        <v>0.1038207869001592</v>
      </c>
      <c r="F5" s="17">
        <f>L_r!F5/L_r!$H5</f>
        <v>4.1960427564248351E-2</v>
      </c>
      <c r="G5" s="17">
        <f>L_r!G5/L_r!$H5</f>
        <v>9.7452808733227203E-2</v>
      </c>
      <c r="J5" s="8" t="s">
        <v>7</v>
      </c>
      <c r="K5" s="16">
        <f>L_r!L5/L_r!$R5</f>
        <v>2.0965058236272878E-2</v>
      </c>
      <c r="L5" s="16">
        <f>L_r!M5/L_r!$R5</f>
        <v>0.12063227953410982</v>
      </c>
      <c r="M5" s="16">
        <f>L_r!N5/L_r!$R5</f>
        <v>6.921797004991681E-2</v>
      </c>
      <c r="N5" s="16">
        <f>L_r!O5/L_r!$R5</f>
        <v>0.33261231281198006</v>
      </c>
      <c r="O5" s="16">
        <f>L_r!P5/L_r!$R5</f>
        <v>0.13843594009983362</v>
      </c>
      <c r="P5" s="16">
        <f>L_r!Q5/L_r!$R5</f>
        <v>0.31813643926788687</v>
      </c>
    </row>
    <row r="6" spans="1:16" x14ac:dyDescent="0.2">
      <c r="A6" s="5" t="s">
        <v>8</v>
      </c>
      <c r="B6" s="17">
        <f>L_r!B6/L_r!$H6</f>
        <v>2.7998472116119173E-2</v>
      </c>
      <c r="C6" s="17">
        <f>L_r!C6/L_r!$H6</f>
        <v>4.2589763177998473E-2</v>
      </c>
      <c r="D6" s="17">
        <f>L_r!D6/L_r!$H6</f>
        <v>0.11115355233002291</v>
      </c>
      <c r="E6" s="17">
        <f>L_r!E6/L_r!$H6</f>
        <v>0.33521772345301759</v>
      </c>
      <c r="F6" s="17">
        <f>L_r!F6/L_r!$H6</f>
        <v>0.18571428571428572</v>
      </c>
      <c r="G6" s="17">
        <f>L_r!G6/L_r!$H6</f>
        <v>0.29732620320855613</v>
      </c>
      <c r="J6" s="8" t="s">
        <v>8</v>
      </c>
      <c r="K6" s="16">
        <f>L_r!L6/L_r!$R6</f>
        <v>1.2513085181488423E-2</v>
      </c>
      <c r="L6" s="16">
        <f>L_r!M6/L_r!$R6</f>
        <v>0.26808189497772478</v>
      </c>
      <c r="M6" s="16">
        <f>L_r!N6/L_r!$R6</f>
        <v>7.4883754899335395E-2</v>
      </c>
      <c r="N6" s="16">
        <f>L_r!O6/L_r!$R6</f>
        <v>0.26664556807946055</v>
      </c>
      <c r="O6" s="16">
        <f>L_r!P6/L_r!$R6</f>
        <v>0.14988923241716776</v>
      </c>
      <c r="P6" s="16">
        <f>L_r!Q6/L_r!$R6</f>
        <v>0.22798646444482315</v>
      </c>
    </row>
    <row r="7" spans="1:16" x14ac:dyDescent="0.2">
      <c r="A7" s="5" t="s">
        <v>9</v>
      </c>
      <c r="B7" s="17">
        <f>L_r!B7/L_r!$H7</f>
        <v>7.8245406046235921E-2</v>
      </c>
      <c r="C7" s="17">
        <f>L_r!C7/L_r!$H7</f>
        <v>5.7202133965619441E-2</v>
      </c>
      <c r="D7" s="17">
        <f>L_r!D7/L_r!$H7</f>
        <v>0.11025489033787789</v>
      </c>
      <c r="E7" s="17">
        <f>L_r!E7/L_r!$H7</f>
        <v>0.29045643153526973</v>
      </c>
      <c r="F7" s="17">
        <f>L_r!F7/L_r!$H7</f>
        <v>0.10314167160640189</v>
      </c>
      <c r="G7" s="17">
        <f>L_r!G7/L_r!$H7</f>
        <v>0.36069946650859513</v>
      </c>
      <c r="J7" s="8" t="s">
        <v>9</v>
      </c>
      <c r="K7" s="16">
        <f>L_r!L7/L_r!$R7</f>
        <v>2.4196827978853194E-2</v>
      </c>
      <c r="L7" s="16">
        <f>L_r!M7/L_r!$R7</f>
        <v>0.22448149654331029</v>
      </c>
      <c r="M7" s="16">
        <f>L_r!N7/L_r!$R7</f>
        <v>9.9023993493289955E-2</v>
      </c>
      <c r="N7" s="16">
        <f>L_r!O7/L_r!$R7</f>
        <v>0.26758845058967062</v>
      </c>
      <c r="O7" s="16">
        <f>L_r!P7/L_r!$R7</f>
        <v>0.11122407482716551</v>
      </c>
      <c r="P7" s="16">
        <f>L_r!Q7/L_r!$R7</f>
        <v>0.27348515656771044</v>
      </c>
    </row>
    <row r="8" spans="1:16" x14ac:dyDescent="0.2">
      <c r="A8" s="5" t="s">
        <v>10</v>
      </c>
      <c r="B8" s="17">
        <f>L_r!B8/L_r!$H8</f>
        <v>3.7997587454764774E-2</v>
      </c>
      <c r="C8" s="17">
        <f>L_r!C8/L_r!$H8</f>
        <v>0.74607961399276235</v>
      </c>
      <c r="D8" s="17">
        <f>L_r!D8/L_r!$H8</f>
        <v>3.4077201447527142E-2</v>
      </c>
      <c r="E8" s="17">
        <f>L_r!E8/L_r!$H8</f>
        <v>6.1821471652593489E-2</v>
      </c>
      <c r="F8" s="17">
        <f>L_r!F8/L_r!$H8</f>
        <v>2.2316043425814235E-2</v>
      </c>
      <c r="G8" s="17">
        <f>L_r!G8/L_r!$H8</f>
        <v>9.7708082026537996E-2</v>
      </c>
      <c r="J8" s="8" t="s">
        <v>10</v>
      </c>
      <c r="K8" s="16">
        <f>L_r!L8/L_r!$R8</f>
        <v>6.5557729941291581E-2</v>
      </c>
      <c r="L8" s="16">
        <f>L_r!M8/L_r!$R8</f>
        <v>0.18199608610567514</v>
      </c>
      <c r="M8" s="16">
        <f>L_r!N8/L_r!$R8</f>
        <v>0.10273972602739725</v>
      </c>
      <c r="N8" s="16">
        <f>L_r!O8/L_r!$R8</f>
        <v>0.23874755381604695</v>
      </c>
      <c r="O8" s="16">
        <f>L_r!P8/L_r!$R8</f>
        <v>0.10665362035225048</v>
      </c>
      <c r="P8" s="16">
        <f>L_r!Q8/L_r!$R8</f>
        <v>0.30430528375733856</v>
      </c>
    </row>
    <row r="9" spans="1:16" x14ac:dyDescent="0.2">
      <c r="A9" s="5" t="s">
        <v>11</v>
      </c>
      <c r="B9" s="17">
        <f>L_r!B9/L_r!$H9</f>
        <v>7.6814988290398123E-2</v>
      </c>
      <c r="C9" s="17">
        <f>L_r!C9/L_r!$H9</f>
        <v>0.13429240548678487</v>
      </c>
      <c r="D9" s="17">
        <f>L_r!D9/L_r!$H9</f>
        <v>8.8390766142522587E-2</v>
      </c>
      <c r="E9" s="17">
        <f>L_r!E9/L_r!$H9</f>
        <v>0.25399799263967882</v>
      </c>
      <c r="F9" s="17">
        <f>L_r!F9/L_r!$H9</f>
        <v>7.7885580461692874E-2</v>
      </c>
      <c r="G9" s="17">
        <f>L_r!G9/L_r!$H9</f>
        <v>0.36861826697892269</v>
      </c>
      <c r="J9" s="8" t="s">
        <v>11</v>
      </c>
      <c r="K9" s="16">
        <f>L_r!L9/L_r!$R9</f>
        <v>3.9092941552219741E-2</v>
      </c>
      <c r="L9" s="16">
        <f>L_r!M9/L_r!$R9</f>
        <v>0.13976365378473332</v>
      </c>
      <c r="M9" s="16">
        <f>L_r!N9/L_r!$R9</f>
        <v>7.6461194506547425E-2</v>
      </c>
      <c r="N9" s="16">
        <f>L_r!O9/L_r!$R9</f>
        <v>0.29754072181411689</v>
      </c>
      <c r="O9" s="16">
        <f>L_r!P9/L_r!$R9</f>
        <v>0.12896838070903863</v>
      </c>
      <c r="P9" s="16">
        <f>L_r!Q9/L_r!$R9</f>
        <v>0.318173107633344</v>
      </c>
    </row>
    <row r="10" spans="1:16" x14ac:dyDescent="0.2">
      <c r="A10" s="5" t="s">
        <v>12</v>
      </c>
      <c r="B10" s="17">
        <f>L_r!B10/L_r!$H10</f>
        <v>0.13448345439870862</v>
      </c>
      <c r="C10" s="17">
        <f>L_r!C10/L_r!$H10</f>
        <v>3.46045197740113E-2</v>
      </c>
      <c r="D10" s="17">
        <f>L_r!D10/L_r!$H10</f>
        <v>0.11027037933817595</v>
      </c>
      <c r="E10" s="17">
        <f>L_r!E10/L_r!$H10</f>
        <v>0.26614205004035513</v>
      </c>
      <c r="F10" s="17">
        <f>L_r!F10/L_r!$H10</f>
        <v>6.991525423728813E-2</v>
      </c>
      <c r="G10" s="17">
        <f>L_r!G10/L_r!$H10</f>
        <v>0.38458434221146087</v>
      </c>
      <c r="J10" s="8" t="s">
        <v>12</v>
      </c>
      <c r="K10" s="16">
        <f>L_r!L10/L_r!$R10</f>
        <v>8.7027914614121515E-2</v>
      </c>
      <c r="L10" s="16">
        <f>L_r!M10/L_r!$R10</f>
        <v>0.15730706075533663</v>
      </c>
      <c r="M10" s="16">
        <f>L_r!N10/L_r!$R10</f>
        <v>8.3087027914614128E-2</v>
      </c>
      <c r="N10" s="16">
        <f>L_r!O10/L_r!$R10</f>
        <v>0.26765188834154352</v>
      </c>
      <c r="O10" s="16">
        <f>L_r!P10/L_r!$R10</f>
        <v>0.11765188834154351</v>
      </c>
      <c r="P10" s="16">
        <f>L_r!Q10/L_r!$R10</f>
        <v>0.2872742200328407</v>
      </c>
    </row>
    <row r="11" spans="1:16" x14ac:dyDescent="0.2">
      <c r="A11" s="5" t="s">
        <v>13</v>
      </c>
      <c r="B11" s="17">
        <f>L_r!B11/L_r!$H11</f>
        <v>0.12044817927170869</v>
      </c>
      <c r="C11" s="17">
        <f>L_r!C11/L_r!$H11</f>
        <v>0.2196078431372549</v>
      </c>
      <c r="D11" s="17">
        <f>L_r!D11/L_r!$H11</f>
        <v>0.12100840336134454</v>
      </c>
      <c r="E11" s="17">
        <f>L_r!E11/L_r!$H11</f>
        <v>0.20224089635854342</v>
      </c>
      <c r="F11" s="17">
        <f>L_r!F11/L_r!$H11</f>
        <v>4.53781512605042E-2</v>
      </c>
      <c r="G11" s="17">
        <f>L_r!G11/L_r!$H11</f>
        <v>0.29131652661064428</v>
      </c>
      <c r="J11" s="8" t="s">
        <v>13</v>
      </c>
      <c r="K11" s="16">
        <f>L_r!L11/L_r!$R11</f>
        <v>7.7138065958636107E-2</v>
      </c>
      <c r="L11" s="16">
        <f>L_r!M11/L_r!$R11</f>
        <v>0.17607602012297374</v>
      </c>
      <c r="M11" s="16">
        <f>L_r!N11/L_r!$R11</f>
        <v>0.10061486864169927</v>
      </c>
      <c r="N11" s="16">
        <f>L_r!O11/L_r!$R11</f>
        <v>0.2437115707098938</v>
      </c>
      <c r="O11" s="16">
        <f>L_r!P11/L_r!$R11</f>
        <v>0.10396869759642256</v>
      </c>
      <c r="P11" s="16">
        <f>L_r!Q11/L_r!$R11</f>
        <v>0.29849077697037452</v>
      </c>
    </row>
    <row r="12" spans="1:16" x14ac:dyDescent="0.2">
      <c r="A12" s="5" t="s">
        <v>14</v>
      </c>
      <c r="B12" s="17">
        <f>L_r!B12/L_r!$H12</f>
        <v>0.10468183316848005</v>
      </c>
      <c r="C12" s="17">
        <f>L_r!C12/L_r!$H12</f>
        <v>0.20672601384767555</v>
      </c>
      <c r="D12" s="17">
        <f>L_r!D12/L_r!$H12</f>
        <v>9.5614902736564464E-2</v>
      </c>
      <c r="E12" s="17">
        <f>L_r!E12/L_r!$H12</f>
        <v>0.21068249258160238</v>
      </c>
      <c r="F12" s="17">
        <f>L_r!F12/L_r!$H12</f>
        <v>5.7533794922518956E-2</v>
      </c>
      <c r="G12" s="17">
        <f>L_r!G12/L_r!$H12</f>
        <v>0.32476096274315858</v>
      </c>
      <c r="J12" s="8" t="s">
        <v>14</v>
      </c>
      <c r="K12" s="16">
        <f>L_r!L12/L_r!$R12</f>
        <v>0.10425492724258612</v>
      </c>
      <c r="L12" s="16">
        <f>L_r!M12/L_r!$R12</f>
        <v>8.84140725732179E-2</v>
      </c>
      <c r="M12" s="16">
        <f>L_r!N12/L_r!$R12</f>
        <v>8.0493645238533806E-2</v>
      </c>
      <c r="N12" s="16">
        <f>L_r!O12/L_r!$R12</f>
        <v>0.28881930373917847</v>
      </c>
      <c r="O12" s="16">
        <f>L_r!P12/L_r!$R12</f>
        <v>0.1175170381285688</v>
      </c>
      <c r="P12" s="16">
        <f>L_r!Q12/L_r!$R12</f>
        <v>0.3205010130779149</v>
      </c>
    </row>
    <row r="13" spans="1:16" x14ac:dyDescent="0.2">
      <c r="A13" s="5" t="s">
        <v>15</v>
      </c>
      <c r="B13" s="17">
        <f>L_r!B13/L_r!$H13</f>
        <v>9.5677513355998056E-2</v>
      </c>
      <c r="C13" s="17">
        <f>L_r!C13/L_r!$H13</f>
        <v>4.8081593006313747E-2</v>
      </c>
      <c r="D13" s="17">
        <f>L_r!D13/L_r!$H13</f>
        <v>0.10126274890723652</v>
      </c>
      <c r="E13" s="17">
        <f>L_r!E13/L_r!$H13</f>
        <v>0.25659705358588314</v>
      </c>
      <c r="F13" s="17">
        <f>L_r!F13/L_r!$H13</f>
        <v>7.7221952404079655E-2</v>
      </c>
      <c r="G13" s="17">
        <f>L_r!G13/L_r!$H13</f>
        <v>0.42115913874048888</v>
      </c>
      <c r="J13" s="8" t="s">
        <v>15</v>
      </c>
      <c r="K13" s="16">
        <f>L_r!L13/L_r!$R13</f>
        <v>8.1765557163531108E-2</v>
      </c>
      <c r="L13" s="16">
        <f>L_r!M13/L_r!$R13</f>
        <v>9.1461649782923302E-2</v>
      </c>
      <c r="M13" s="16">
        <f>L_r!N13/L_r!$R13</f>
        <v>7.3227206946454418E-2</v>
      </c>
      <c r="N13" s="16">
        <f>L_r!O13/L_r!$R13</f>
        <v>0.26685962373371924</v>
      </c>
      <c r="O13" s="16">
        <f>L_r!P13/L_r!$R13</f>
        <v>0.11121562952243126</v>
      </c>
      <c r="P13" s="16">
        <f>L_r!Q13/L_r!$R13</f>
        <v>0.37547033285094067</v>
      </c>
    </row>
    <row r="14" spans="1:16" x14ac:dyDescent="0.2">
      <c r="A14" s="5" t="s">
        <v>16</v>
      </c>
      <c r="B14" s="17">
        <f>L_r!B14/L_r!$H14</f>
        <v>8.1950207468879668E-2</v>
      </c>
      <c r="C14" s="17">
        <f>L_r!C14/L_r!$H14</f>
        <v>7.2199170124481321E-2</v>
      </c>
      <c r="D14" s="17">
        <f>L_r!D14/L_r!$H14</f>
        <v>0.11639004149377594</v>
      </c>
      <c r="E14" s="17">
        <f>L_r!E14/L_r!$H14</f>
        <v>0.28215767634854771</v>
      </c>
      <c r="F14" s="17">
        <f>L_r!F14/L_r!$H14</f>
        <v>6.8672199170124487E-2</v>
      </c>
      <c r="G14" s="17">
        <f>L_r!G14/L_r!$H14</f>
        <v>0.37863070539419086</v>
      </c>
      <c r="J14" s="8" t="s">
        <v>16</v>
      </c>
      <c r="K14" s="16">
        <f>L_r!L14/L_r!$R14</f>
        <v>5.5565172234723903E-2</v>
      </c>
      <c r="L14" s="16">
        <f>L_r!M14/L_r!$R14</f>
        <v>9.1570019041024756E-2</v>
      </c>
      <c r="M14" s="16">
        <f>L_r!N14/L_r!$R14</f>
        <v>8.0318504414055733E-2</v>
      </c>
      <c r="N14" s="16">
        <f>L_r!O14/L_r!$R14</f>
        <v>0.28405746927471004</v>
      </c>
      <c r="O14" s="16">
        <f>L_r!P14/L_r!$R14</f>
        <v>0.12844036697247707</v>
      </c>
      <c r="P14" s="16">
        <f>L_r!Q14/L_r!$R14</f>
        <v>0.3600484680630085</v>
      </c>
    </row>
    <row r="15" spans="1:16" x14ac:dyDescent="0.2">
      <c r="A15" s="5" t="s">
        <v>17</v>
      </c>
      <c r="B15" s="17">
        <f>L_r!B15/L_r!$H15</f>
        <v>0.10634146341463414</v>
      </c>
      <c r="C15" s="17">
        <f>L_r!C15/L_r!$H15</f>
        <v>0.17609756097560975</v>
      </c>
      <c r="D15" s="17">
        <f>L_r!D15/L_r!$H15</f>
        <v>8.0975609756097564E-2</v>
      </c>
      <c r="E15" s="17">
        <f>L_r!E15/L_r!$H15</f>
        <v>0.28780487804878047</v>
      </c>
      <c r="F15" s="17">
        <f>L_r!F15/L_r!$H15</f>
        <v>6.9268292682926835E-2</v>
      </c>
      <c r="G15" s="17">
        <f>L_r!G15/L_r!$H15</f>
        <v>0.27951219512195125</v>
      </c>
      <c r="J15" s="8" t="s">
        <v>17</v>
      </c>
      <c r="K15" s="16">
        <f>L_r!L15/L_r!$R15</f>
        <v>6.0144006776789494E-2</v>
      </c>
      <c r="L15" s="16">
        <f>L_r!M15/L_r!$R15</f>
        <v>0.13511224057602711</v>
      </c>
      <c r="M15" s="16">
        <f>L_r!N15/L_r!$R15</f>
        <v>8.8521812791190174E-2</v>
      </c>
      <c r="N15" s="16">
        <f>L_r!O15/L_r!$R15</f>
        <v>0.31977975434138078</v>
      </c>
      <c r="O15" s="16">
        <f>L_r!P15/L_r!$R15</f>
        <v>0.10419313850063533</v>
      </c>
      <c r="P15" s="16">
        <f>L_r!Q15/L_r!$R15</f>
        <v>0.29224904701397714</v>
      </c>
    </row>
    <row r="16" spans="1:16" x14ac:dyDescent="0.2">
      <c r="A16" s="5" t="s">
        <v>18</v>
      </c>
      <c r="B16" s="17">
        <f>L_r!B16/L_r!$H16</f>
        <v>1.1870503597122302E-2</v>
      </c>
      <c r="C16" s="17">
        <f>L_r!C16/L_r!$H16</f>
        <v>0.81666666666666665</v>
      </c>
      <c r="D16" s="17">
        <f>L_r!D16/L_r!$H16</f>
        <v>2.3501199040767386E-2</v>
      </c>
      <c r="E16" s="17">
        <f>L_r!E16/L_r!$H16</f>
        <v>6.4628297362110315E-2</v>
      </c>
      <c r="F16" s="17">
        <f>L_r!F16/L_r!$H16</f>
        <v>1.9304556354916069E-2</v>
      </c>
      <c r="G16" s="17">
        <f>L_r!G16/L_r!$H16</f>
        <v>6.4028776978417259E-2</v>
      </c>
      <c r="J16" s="8" t="s">
        <v>18</v>
      </c>
      <c r="K16" s="16">
        <f>L_r!L16/L_r!$R16</f>
        <v>3.6470058532192706E-2</v>
      </c>
      <c r="L16" s="16">
        <f>L_r!M16/L_r!$R16</f>
        <v>0.18415128320576318</v>
      </c>
      <c r="M16" s="16">
        <f>L_r!N16/L_r!$R16</f>
        <v>8.5547050877982894E-2</v>
      </c>
      <c r="N16" s="16">
        <f>L_r!O16/L_r!$R16</f>
        <v>0.25484016208914906</v>
      </c>
      <c r="O16" s="16">
        <f>L_r!P16/L_r!$R16</f>
        <v>0.11976587122917605</v>
      </c>
      <c r="P16" s="16">
        <f>L_r!Q16/L_r!$R16</f>
        <v>0.31922557406573615</v>
      </c>
    </row>
    <row r="17" spans="1:16" x14ac:dyDescent="0.2">
      <c r="A17" s="5" t="s">
        <v>19</v>
      </c>
      <c r="B17" s="17">
        <f>L_r!B17/L_r!$H17</f>
        <v>6.2191358024691355E-2</v>
      </c>
      <c r="C17" s="17">
        <f>L_r!C17/L_r!$H17</f>
        <v>9.6296296296296297E-2</v>
      </c>
      <c r="D17" s="17">
        <f>L_r!D17/L_r!$H17</f>
        <v>9.475308641975308E-2</v>
      </c>
      <c r="E17" s="17">
        <f>L_r!E17/L_r!$H17</f>
        <v>0.32283950617283952</v>
      </c>
      <c r="F17" s="17">
        <f>L_r!F17/L_r!$H17</f>
        <v>0.12453703703703704</v>
      </c>
      <c r="G17" s="17">
        <f>L_r!G17/L_r!$H17</f>
        <v>0.29938271604938271</v>
      </c>
      <c r="J17" s="8" t="s">
        <v>19</v>
      </c>
      <c r="K17" s="16">
        <f>L_r!L17/L_r!$R17</f>
        <v>3.4208741157088864E-2</v>
      </c>
      <c r="L17" s="16">
        <f>L_r!M17/L_r!$R17</f>
        <v>0.28205252446942536</v>
      </c>
      <c r="M17" s="16">
        <f>L_r!N17/L_r!$R17</f>
        <v>7.6945440449655969E-2</v>
      </c>
      <c r="N17" s="16">
        <f>L_r!O17/L_r!$R17</f>
        <v>0.27085957941661015</v>
      </c>
      <c r="O17" s="16">
        <f>L_r!P17/L_r!$R17</f>
        <v>0.10829537745905611</v>
      </c>
      <c r="P17" s="16">
        <f>L_r!Q17/L_r!$R17</f>
        <v>0.22763833704816358</v>
      </c>
    </row>
    <row r="18" spans="1:16" x14ac:dyDescent="0.2">
      <c r="A18" s="5" t="s">
        <v>20</v>
      </c>
      <c r="B18" s="17">
        <f>L_r!B18/L_r!$H18</f>
        <v>2.5101685066821609E-2</v>
      </c>
      <c r="C18" s="17">
        <f>L_r!C18/L_r!$H18</f>
        <v>0.60441603718768167</v>
      </c>
      <c r="D18" s="17">
        <f>L_r!D18/L_r!$H18</f>
        <v>3.6374201045903533E-2</v>
      </c>
      <c r="E18" s="17">
        <f>L_r!E18/L_r!$H18</f>
        <v>0.14317257408483436</v>
      </c>
      <c r="F18" s="17">
        <f>L_r!F18/L_r!$H18</f>
        <v>4.8111563044741415E-2</v>
      </c>
      <c r="G18" s="17">
        <f>L_r!G18/L_r!$H18</f>
        <v>0.14282393957001741</v>
      </c>
      <c r="J18" s="8" t="s">
        <v>20</v>
      </c>
      <c r="K18" s="16">
        <f>L_r!L18/L_r!$R18</f>
        <v>1.9340390879478829E-2</v>
      </c>
      <c r="L18" s="16">
        <f>L_r!M18/L_r!$R18</f>
        <v>0.26567589576547229</v>
      </c>
      <c r="M18" s="16">
        <f>L_r!N18/L_r!$R18</f>
        <v>6.2907166123778502E-2</v>
      </c>
      <c r="N18" s="16">
        <f>L_r!O18/L_r!$R18</f>
        <v>0.23859934853420195</v>
      </c>
      <c r="O18" s="16">
        <f>L_r!P18/L_r!$R18</f>
        <v>0.13029315960912052</v>
      </c>
      <c r="P18" s="16">
        <f>L_r!Q18/L_r!$R18</f>
        <v>0.28318403908794787</v>
      </c>
    </row>
    <row r="19" spans="1:16" x14ac:dyDescent="0.2">
      <c r="A19" s="5" t="s">
        <v>21</v>
      </c>
      <c r="B19" s="17">
        <f>L_r!B19/L_r!$H19</f>
        <v>6.7991226938459548E-2</v>
      </c>
      <c r="C19" s="17">
        <f>L_r!C19/L_r!$H19</f>
        <v>0.24758095729583279</v>
      </c>
      <c r="D19" s="17">
        <f>L_r!D19/L_r!$H19</f>
        <v>6.5733453747903486E-2</v>
      </c>
      <c r="E19" s="17">
        <f>L_r!E19/L_r!$H19</f>
        <v>0.27435169655528319</v>
      </c>
      <c r="F19" s="17">
        <f>L_r!F19/L_r!$H19</f>
        <v>0.10521223067991226</v>
      </c>
      <c r="G19" s="17">
        <f>L_r!G19/L_r!$H19</f>
        <v>0.23913043478260873</v>
      </c>
      <c r="J19" s="8" t="s">
        <v>21</v>
      </c>
      <c r="K19" s="16">
        <f>L_r!L19/L_r!$R19</f>
        <v>3.2954786669496923E-2</v>
      </c>
      <c r="L19" s="16">
        <f>L_r!M19/L_r!$R19</f>
        <v>0.26432816811717258</v>
      </c>
      <c r="M19" s="16">
        <f>L_r!N19/L_r!$R19</f>
        <v>6.2619401400976438E-2</v>
      </c>
      <c r="N19" s="16">
        <f>L_r!O19/L_r!$R19</f>
        <v>0.26050732328592657</v>
      </c>
      <c r="O19" s="16">
        <f>L_r!P19/L_r!$R19</f>
        <v>0.13213755041392486</v>
      </c>
      <c r="P19" s="16">
        <f>L_r!Q19/L_r!$R19</f>
        <v>0.24745277011250266</v>
      </c>
    </row>
    <row r="20" spans="1:16" x14ac:dyDescent="0.2">
      <c r="A20" s="5" t="s">
        <v>22</v>
      </c>
      <c r="B20" s="17">
        <f>L_r!B20/L_r!$H20</f>
        <v>4.1593780369290574E-2</v>
      </c>
      <c r="C20" s="17">
        <f>L_r!C20/L_r!$H20</f>
        <v>7.4149659863945575E-2</v>
      </c>
      <c r="D20" s="17">
        <f>L_r!D20/L_r!$H20</f>
        <v>7.9494655004859083E-2</v>
      </c>
      <c r="E20" s="17">
        <f>L_r!E20/L_r!$H20</f>
        <v>0.35937803692905734</v>
      </c>
      <c r="F20" s="17">
        <f>L_r!F20/L_r!$H20</f>
        <v>0.12458697764820212</v>
      </c>
      <c r="G20" s="17">
        <f>L_r!G20/L_r!$H20</f>
        <v>0.3207968901846453</v>
      </c>
      <c r="J20" s="8" t="s">
        <v>22</v>
      </c>
      <c r="K20" s="16">
        <f>L_r!L20/L_r!$R20</f>
        <v>2.7232172581396898E-2</v>
      </c>
      <c r="L20" s="16">
        <f>L_r!M20/L_r!$R20</f>
        <v>0.18656368599773621</v>
      </c>
      <c r="M20" s="16">
        <f>L_r!N20/L_r!$R20</f>
        <v>7.7102337039749655E-2</v>
      </c>
      <c r="N20" s="16">
        <f>L_r!O20/L_r!$R20</f>
        <v>0.28404021572674615</v>
      </c>
      <c r="O20" s="16">
        <f>L_r!P20/L_r!$R20</f>
        <v>0.1416871962181237</v>
      </c>
      <c r="P20" s="16">
        <f>L_r!Q20/L_r!$R20</f>
        <v>0.2833743924362474</v>
      </c>
    </row>
    <row r="21" spans="1:16" x14ac:dyDescent="0.2">
      <c r="A21" s="5" t="s">
        <v>23</v>
      </c>
      <c r="B21" s="17">
        <f>L_r!B21/L_r!$H21</f>
        <v>3.2205746061167752E-2</v>
      </c>
      <c r="C21" s="17">
        <f>L_r!C21/L_r!$H21</f>
        <v>0.45829471733086186</v>
      </c>
      <c r="D21" s="17">
        <f>L_r!D21/L_r!$H21</f>
        <v>5.3058387395736803E-2</v>
      </c>
      <c r="E21" s="17">
        <f>L_r!E21/L_r!$H21</f>
        <v>0.18651529193697872</v>
      </c>
      <c r="F21" s="17">
        <f>L_r!F21/L_r!$H21</f>
        <v>5.6997219647822069E-2</v>
      </c>
      <c r="G21" s="17">
        <f>L_r!G21/L_r!$H21</f>
        <v>0.21292863762743283</v>
      </c>
      <c r="J21" s="8" t="s">
        <v>23</v>
      </c>
      <c r="K21" s="16">
        <f>L_r!L21/L_r!$R21</f>
        <v>2.7576197387518143E-2</v>
      </c>
      <c r="L21" s="16">
        <f>L_r!M21/L_r!$R21</f>
        <v>0.21625544267053701</v>
      </c>
      <c r="M21" s="16">
        <f>L_r!N21/L_r!$R21</f>
        <v>8.5631349782293184E-2</v>
      </c>
      <c r="N21" s="16">
        <f>L_r!O21/L_r!$R21</f>
        <v>0.27721335268505082</v>
      </c>
      <c r="O21" s="16">
        <f>L_r!P21/L_r!$R21</f>
        <v>0.11291727140783744</v>
      </c>
      <c r="P21" s="16">
        <f>L_r!Q21/L_r!$R21</f>
        <v>0.28040638606676344</v>
      </c>
    </row>
    <row r="22" spans="1:16" x14ac:dyDescent="0.2">
      <c r="A22" s="5" t="s">
        <v>24</v>
      </c>
      <c r="B22" s="17">
        <f>L_r!B22/L_r!$H22</f>
        <v>3.6104670420669095E-2</v>
      </c>
      <c r="C22" s="17">
        <f>L_r!C22/L_r!$H22</f>
        <v>0.38340510102683001</v>
      </c>
      <c r="D22" s="17">
        <f>L_r!D22/L_r!$H22</f>
        <v>6.6412719443524268E-2</v>
      </c>
      <c r="E22" s="17">
        <f>L_r!E22/L_r!$H22</f>
        <v>0.20917522358396837</v>
      </c>
      <c r="F22" s="17">
        <f>L_r!F22/L_r!$H22</f>
        <v>8.231202384895657E-2</v>
      </c>
      <c r="G22" s="17">
        <f>L_r!G22/L_r!$H22</f>
        <v>0.22259026167605178</v>
      </c>
      <c r="J22" s="8" t="s">
        <v>24</v>
      </c>
      <c r="K22" s="16">
        <f>L_r!L22/L_r!$R22</f>
        <v>2.0907617504051863E-2</v>
      </c>
      <c r="L22" s="16">
        <f>L_r!M22/L_r!$R22</f>
        <v>0.29432739059967583</v>
      </c>
      <c r="M22" s="16">
        <f>L_r!N22/L_r!$R22</f>
        <v>6.3047001620745544E-2</v>
      </c>
      <c r="N22" s="16">
        <f>L_r!O22/L_r!$R22</f>
        <v>0.24813614262560779</v>
      </c>
      <c r="O22" s="16">
        <f>L_r!P22/L_r!$R22</f>
        <v>0.11588330632090761</v>
      </c>
      <c r="P22" s="16">
        <f>L_r!Q22/L_r!$R22</f>
        <v>0.25769854132901132</v>
      </c>
    </row>
    <row r="23" spans="1:16" x14ac:dyDescent="0.2">
      <c r="A23" s="5" t="s">
        <v>25</v>
      </c>
      <c r="B23" s="17">
        <f>L_r!B23/L_r!$H23</f>
        <v>2.5137922763252579E-2</v>
      </c>
      <c r="C23" s="17">
        <f>L_r!C23/L_r!$H23</f>
        <v>0.22787239146078198</v>
      </c>
      <c r="D23" s="17">
        <f>L_r!D23/L_r!$H23</f>
        <v>5.71360038378508E-2</v>
      </c>
      <c r="E23" s="17">
        <f>L_r!E23/L_r!$H23</f>
        <v>0.2448069081314464</v>
      </c>
      <c r="F23" s="17">
        <f>L_r!F23/L_r!$H23</f>
        <v>0.12875989445910291</v>
      </c>
      <c r="G23" s="17">
        <f>L_r!G23/L_r!$H23</f>
        <v>0.31628687934756539</v>
      </c>
      <c r="J23" s="8" t="s">
        <v>25</v>
      </c>
      <c r="K23" s="16">
        <f>L_r!L23/L_r!$R23</f>
        <v>1.5782712424298035E-2</v>
      </c>
      <c r="L23" s="16">
        <f>L_r!M23/L_r!$R23</f>
        <v>0.10130299137456414</v>
      </c>
      <c r="M23" s="16">
        <f>L_r!N23/L_r!$R23</f>
        <v>7.2215085336759036E-2</v>
      </c>
      <c r="N23" s="16">
        <f>L_r!O23/L_r!$R23</f>
        <v>0.29771517709671502</v>
      </c>
      <c r="O23" s="16">
        <f>L_r!P23/L_r!$R23</f>
        <v>0.15635896494769683</v>
      </c>
      <c r="P23" s="16">
        <f>L_r!Q23/L_r!$R23</f>
        <v>0.35662506881996703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8FA2-57CC-6B45-A1F7-C0EB2C87CC91}">
  <dimension ref="A1:R23"/>
  <sheetViews>
    <sheetView workbookViewId="0">
      <selection activeCell="I27" sqref="I27"/>
    </sheetView>
  </sheetViews>
  <sheetFormatPr baseColWidth="10" defaultRowHeight="16" x14ac:dyDescent="0.2"/>
  <cols>
    <col min="1" max="1" width="32.1640625" bestFit="1" customWidth="1"/>
    <col min="2" max="2" width="11" bestFit="1" customWidth="1"/>
    <col min="3" max="3" width="11.6640625" bestFit="1" customWidth="1"/>
    <col min="4" max="7" width="11" bestFit="1" customWidth="1"/>
    <col min="8" max="8" width="14.83203125" bestFit="1" customWidth="1"/>
    <col min="11" max="11" width="32.1640625" bestFit="1" customWidth="1"/>
    <col min="12" max="12" width="11" bestFit="1" customWidth="1"/>
    <col min="13" max="13" width="13.33203125" bestFit="1" customWidth="1"/>
    <col min="14" max="17" width="11" bestFit="1" customWidth="1"/>
    <col min="18" max="18" width="14.83203125" bestFit="1" customWidth="1"/>
  </cols>
  <sheetData>
    <row r="1" spans="1:18" x14ac:dyDescent="0.2">
      <c r="A1" s="19" t="s">
        <v>49</v>
      </c>
      <c r="B1" s="19"/>
      <c r="C1" s="19"/>
      <c r="D1" s="19"/>
      <c r="E1" s="19"/>
      <c r="F1" s="19"/>
      <c r="G1" s="19"/>
      <c r="H1" s="19"/>
      <c r="K1" s="19" t="s">
        <v>50</v>
      </c>
      <c r="L1" s="19"/>
      <c r="M1" s="19"/>
      <c r="N1" s="19"/>
      <c r="O1" s="19"/>
      <c r="P1" s="19"/>
      <c r="Q1" s="19"/>
      <c r="R1" s="19"/>
    </row>
    <row r="2" spans="1:18" s="7" customFormat="1" x14ac:dyDescent="0.2">
      <c r="A2" s="8"/>
      <c r="B2" s="5" t="s">
        <v>4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51</v>
      </c>
      <c r="K2" s="8"/>
      <c r="L2" s="5" t="s">
        <v>4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30</v>
      </c>
      <c r="R2" s="5" t="s">
        <v>52</v>
      </c>
    </row>
    <row r="3" spans="1:18" x14ac:dyDescent="0.2">
      <c r="A3" s="5" t="s">
        <v>5</v>
      </c>
      <c r="B3" s="6">
        <f>s_ri!B3*shock_i!$E$2</f>
        <v>8.9852378013958258</v>
      </c>
      <c r="C3" s="6">
        <f>s_ri!C3*shock_i!$E$3</f>
        <v>39.936030424625621</v>
      </c>
      <c r="D3" s="6">
        <f>s_ri!D3*shock_i!$E$4</f>
        <v>0</v>
      </c>
      <c r="E3" s="6">
        <f>s_ri!E3*shock_i!$E$5</f>
        <v>0</v>
      </c>
      <c r="F3" s="6">
        <f>s_ri!F3*shock_i!$E$6</f>
        <v>-6.5622772503908856E-4</v>
      </c>
      <c r="G3" s="6">
        <f>s_ri!G3*shock_i!$E$7</f>
        <v>3.0261312717511362</v>
      </c>
      <c r="H3" s="6">
        <f>SUM(B3:G3)/1000</f>
        <v>5.1946743270047543E-2</v>
      </c>
      <c r="K3" s="8" t="s">
        <v>5</v>
      </c>
      <c r="L3" s="6">
        <f>s_ri!K3*shock_i!$E$8</f>
        <v>6.1048199696040024</v>
      </c>
      <c r="M3" s="6">
        <f>s_ri!L3*shock_i!$E$9</f>
        <v>-1040.4186383280605</v>
      </c>
      <c r="N3" s="6">
        <f>s_ri!M3*shock_i!$E$10</f>
        <v>0</v>
      </c>
      <c r="O3" s="6">
        <f>s_ri!N3*shock_i!$E$11</f>
        <v>0</v>
      </c>
      <c r="P3" s="6">
        <f>s_ri!O3*shock_i!$E$12</f>
        <v>-1.3574609136695042E-2</v>
      </c>
      <c r="Q3" s="6">
        <f>s_ri!P3*shock_i!$E$13</f>
        <v>-0.25296969140152248</v>
      </c>
      <c r="R3" s="6">
        <f>SUM(L3:Q3)/1000</f>
        <v>-1.0345803626589947</v>
      </c>
    </row>
    <row r="4" spans="1:18" x14ac:dyDescent="0.2">
      <c r="A4" s="5" t="s">
        <v>6</v>
      </c>
      <c r="B4" s="6">
        <f>s_ri!B4*shock_i!$E$2</f>
        <v>3.5641981677384837</v>
      </c>
      <c r="C4" s="6">
        <f>s_ri!C4*shock_i!$E$3</f>
        <v>4734.5581258977709</v>
      </c>
      <c r="D4" s="6">
        <f>s_ri!D4*shock_i!$E$4</f>
        <v>0</v>
      </c>
      <c r="E4" s="6">
        <f>s_ri!E4*shock_i!$E$5</f>
        <v>0</v>
      </c>
      <c r="F4" s="6">
        <f>s_ri!F4*shock_i!$E$6</f>
        <v>-1.2631093850800002E-4</v>
      </c>
      <c r="G4" s="6">
        <f>s_ri!G4*shock_i!$E$7</f>
        <v>1.0666776646774945</v>
      </c>
      <c r="H4" s="6">
        <f t="shared" ref="H4:H23" si="0">SUM(B4:G4)/1000</f>
        <v>4.7391888754192477</v>
      </c>
      <c r="K4" s="8" t="s">
        <v>6</v>
      </c>
      <c r="L4" s="6">
        <f>s_ri!K4*shock_i!$E$8</f>
        <v>8.9230827084636104</v>
      </c>
      <c r="M4" s="6">
        <f>s_ri!L4*shock_i!$E$9</f>
        <v>-453.24077687245779</v>
      </c>
      <c r="N4" s="6">
        <f>s_ri!M4*shock_i!$E$10</f>
        <v>0</v>
      </c>
      <c r="O4" s="6">
        <f>s_ri!N4*shock_i!$E$11</f>
        <v>0</v>
      </c>
      <c r="P4" s="6">
        <f>s_ri!O4*shock_i!$E$12</f>
        <v>-9.8618124400047524E-3</v>
      </c>
      <c r="Q4" s="6">
        <f>s_ri!P4*shock_i!$E$13</f>
        <v>-0.35507550892219003</v>
      </c>
      <c r="R4" s="6">
        <f t="shared" ref="R4:R23" si="1">SUM(L4:Q4)/1000</f>
        <v>-0.44468263148535642</v>
      </c>
    </row>
    <row r="5" spans="1:18" x14ac:dyDescent="0.2">
      <c r="A5" s="5" t="s">
        <v>7</v>
      </c>
      <c r="B5" s="6">
        <f>s_ri!B5*shock_i!$E$2</f>
        <v>1.9760345879928352</v>
      </c>
      <c r="C5" s="6">
        <f>s_ri!C5*shock_i!$E$3</f>
        <v>5064.4420697719825</v>
      </c>
      <c r="D5" s="6">
        <f>s_ri!D5*shock_i!$E$4</f>
        <v>0</v>
      </c>
      <c r="E5" s="6">
        <f>s_ri!E5*shock_i!$E$5</f>
        <v>0</v>
      </c>
      <c r="F5" s="6">
        <f>s_ri!F5*shock_i!$E$6</f>
        <v>-1.8645342750175866E-4</v>
      </c>
      <c r="G5" s="6">
        <f>s_ri!G5*shock_i!$E$7</f>
        <v>0.83894357438792277</v>
      </c>
      <c r="H5" s="6">
        <f t="shared" si="0"/>
        <v>5.067256861480935</v>
      </c>
      <c r="K5" s="8" t="s">
        <v>7</v>
      </c>
      <c r="L5" s="6">
        <f>s_ri!K5*shock_i!$E$8</f>
        <v>4.6411907731542836</v>
      </c>
      <c r="M5" s="6">
        <f>s_ri!L5*shock_i!$E$9</f>
        <v>-491.13653234307515</v>
      </c>
      <c r="N5" s="6">
        <f>s_ri!M5*shock_i!$E$10</f>
        <v>0</v>
      </c>
      <c r="O5" s="6">
        <f>s_ri!N5*shock_i!$E$11</f>
        <v>0</v>
      </c>
      <c r="P5" s="6">
        <f>s_ri!O5*shock_i!$E$12</f>
        <v>-1.4516009243076982E-2</v>
      </c>
      <c r="Q5" s="6">
        <f>s_ri!P5*shock_i!$E$13</f>
        <v>-0.3097549508397035</v>
      </c>
      <c r="R5" s="6">
        <f t="shared" si="1"/>
        <v>-0.48681961253000366</v>
      </c>
    </row>
    <row r="6" spans="1:18" x14ac:dyDescent="0.2">
      <c r="A6" s="5" t="s">
        <v>8</v>
      </c>
      <c r="B6" s="6">
        <f>s_ri!B6*shock_i!$E$2</f>
        <v>4.889813047771705</v>
      </c>
      <c r="C6" s="6">
        <f>s_ri!C6*shock_i!$E$3</f>
        <v>299.08666941283388</v>
      </c>
      <c r="D6" s="6">
        <f>s_ri!D6*shock_i!$E$4</f>
        <v>0</v>
      </c>
      <c r="E6" s="6">
        <f>s_ri!E6*shock_i!$E$5</f>
        <v>0</v>
      </c>
      <c r="F6" s="6">
        <f>s_ri!F6*shock_i!$E$6</f>
        <v>-8.2523146491893359E-4</v>
      </c>
      <c r="G6" s="6">
        <f>s_ri!G6*shock_i!$E$7</f>
        <v>2.5595969056346726</v>
      </c>
      <c r="H6" s="6">
        <f t="shared" si="0"/>
        <v>0.30653525413477534</v>
      </c>
      <c r="K6" s="8" t="s">
        <v>8</v>
      </c>
      <c r="L6" s="6">
        <f>s_ri!K6*shock_i!$E$8</f>
        <v>2.7701146752617949</v>
      </c>
      <c r="M6" s="6">
        <f>s_ri!L6*shock_i!$E$9</f>
        <v>-1091.4558921693163</v>
      </c>
      <c r="N6" s="6">
        <f>s_ri!M6*shock_i!$E$10</f>
        <v>0</v>
      </c>
      <c r="O6" s="6">
        <f>s_ri!N6*shock_i!$E$11</f>
        <v>0</v>
      </c>
      <c r="P6" s="6">
        <f>s_ri!O6*shock_i!$E$12</f>
        <v>-1.5716969752480745E-2</v>
      </c>
      <c r="Q6" s="6">
        <f>s_ri!P6*shock_i!$E$13</f>
        <v>-0.22198002922500326</v>
      </c>
      <c r="R6" s="6">
        <f t="shared" si="1"/>
        <v>-1.0889234744930321</v>
      </c>
    </row>
    <row r="7" spans="1:18" x14ac:dyDescent="0.2">
      <c r="A7" s="5" t="s">
        <v>9</v>
      </c>
      <c r="B7" s="6">
        <f>s_ri!B7*shock_i!$E$2</f>
        <v>13.665224510333452</v>
      </c>
      <c r="C7" s="6">
        <f>s_ri!C7*shock_i!$E$3</f>
        <v>401.70206299531424</v>
      </c>
      <c r="D7" s="6">
        <f>s_ri!D7*shock_i!$E$4</f>
        <v>0</v>
      </c>
      <c r="E7" s="6">
        <f>s_ri!E7*shock_i!$E$5</f>
        <v>0</v>
      </c>
      <c r="F7" s="6">
        <f>s_ri!F7*shock_i!$E$6</f>
        <v>-4.5831559175197711E-4</v>
      </c>
      <c r="G7" s="6">
        <f>s_ri!G7*shock_i!$E$7</f>
        <v>3.1051593447748611</v>
      </c>
      <c r="H7" s="6">
        <f t="shared" si="0"/>
        <v>0.41847198853483081</v>
      </c>
      <c r="K7" s="8" t="s">
        <v>9</v>
      </c>
      <c r="L7" s="6">
        <f>s_ri!K7*shock_i!$E$8</f>
        <v>5.3566316625228545</v>
      </c>
      <c r="M7" s="6">
        <f>s_ri!L7*shock_i!$E$9</f>
        <v>-913.9433011898858</v>
      </c>
      <c r="N7" s="6">
        <f>s_ri!M7*shock_i!$E$10</f>
        <v>0</v>
      </c>
      <c r="O7" s="6">
        <f>s_ri!N7*shock_i!$E$11</f>
        <v>0</v>
      </c>
      <c r="P7" s="6">
        <f>s_ri!O7*shock_i!$E$12</f>
        <v>-1.1662648421208364E-2</v>
      </c>
      <c r="Q7" s="6">
        <f>s_ri!P7*shock_i!$E$13</f>
        <v>-0.26628003199811651</v>
      </c>
      <c r="R7" s="6">
        <f t="shared" si="1"/>
        <v>-0.90886461220778225</v>
      </c>
    </row>
    <row r="8" spans="1:18" x14ac:dyDescent="0.2">
      <c r="A8" s="5" t="s">
        <v>10</v>
      </c>
      <c r="B8" s="6">
        <f>s_ri!B8*shock_i!$E$2</f>
        <v>6.6361156476530212</v>
      </c>
      <c r="C8" s="6">
        <f>s_ri!C8*shock_i!$E$3</f>
        <v>5239.3450964569256</v>
      </c>
      <c r="D8" s="6">
        <f>s_ri!D8*shock_i!$E$4</f>
        <v>0</v>
      </c>
      <c r="E8" s="6">
        <f>s_ri!E8*shock_i!$E$5</f>
        <v>0</v>
      </c>
      <c r="F8" s="6">
        <f>s_ri!F8*shock_i!$E$6</f>
        <v>-9.9162544963349631E-5</v>
      </c>
      <c r="G8" s="6">
        <f>s_ri!G8*shock_i!$E$7</f>
        <v>0.8411411497263841</v>
      </c>
      <c r="H8" s="6">
        <f t="shared" si="0"/>
        <v>5.2468222540917608</v>
      </c>
      <c r="K8" s="8" t="s">
        <v>10</v>
      </c>
      <c r="L8" s="6">
        <f>s_ri!K8*shock_i!$E$8</f>
        <v>14.513001961808742</v>
      </c>
      <c r="M8" s="6">
        <f>s_ri!L8*shock_i!$E$9</f>
        <v>-740.97021937381726</v>
      </c>
      <c r="N8" s="6">
        <f>s_ri!M8*shock_i!$E$10</f>
        <v>0</v>
      </c>
      <c r="O8" s="6">
        <f>s_ri!N8*shock_i!$E$11</f>
        <v>0</v>
      </c>
      <c r="P8" s="6">
        <f>s_ri!O8*shock_i!$E$12</f>
        <v>-1.1183403224079033E-2</v>
      </c>
      <c r="Q8" s="6">
        <f>s_ri!P8*shock_i!$E$13</f>
        <v>-0.29628818511778438</v>
      </c>
      <c r="R8" s="6">
        <f t="shared" si="1"/>
        <v>-0.72676468900035041</v>
      </c>
    </row>
    <row r="9" spans="1:18" x14ac:dyDescent="0.2">
      <c r="A9" s="5" t="s">
        <v>11</v>
      </c>
      <c r="B9" s="6">
        <f>s_ri!B9*shock_i!$E$2</f>
        <v>13.415408185455027</v>
      </c>
      <c r="C9" s="6">
        <f>s_ri!C9*shock_i!$E$3</f>
        <v>943.06859882304332</v>
      </c>
      <c r="D9" s="6">
        <f>s_ri!D9*shock_i!$E$4</f>
        <v>0</v>
      </c>
      <c r="E9" s="6">
        <f>s_ri!E9*shock_i!$E$5</f>
        <v>0</v>
      </c>
      <c r="F9" s="6">
        <f>s_ri!F9*shock_i!$E$6</f>
        <v>-3.4608878586403843E-4</v>
      </c>
      <c r="G9" s="6">
        <f>s_ri!G9*shock_i!$E$7</f>
        <v>3.1733300507585893</v>
      </c>
      <c r="H9" s="6">
        <f t="shared" si="0"/>
        <v>0.95965699097047119</v>
      </c>
      <c r="K9" s="8" t="s">
        <v>11</v>
      </c>
      <c r="L9" s="6">
        <f>s_ri!K9*shock_i!$E$8</f>
        <v>8.6542950457302226</v>
      </c>
      <c r="M9" s="6">
        <f>s_ri!L9*shock_i!$E$9</f>
        <v>-569.02710064450548</v>
      </c>
      <c r="N9" s="6">
        <f>s_ri!M9*shock_i!$E$10</f>
        <v>0</v>
      </c>
      <c r="O9" s="6">
        <f>s_ri!N9*shock_i!$E$11</f>
        <v>0</v>
      </c>
      <c r="P9" s="6">
        <f>s_ri!O9*shock_i!$E$12</f>
        <v>-1.352326718832551E-2</v>
      </c>
      <c r="Q9" s="6">
        <f>s_ri!P9*shock_i!$E$13</f>
        <v>-0.30979065315587223</v>
      </c>
      <c r="R9" s="6">
        <f t="shared" si="1"/>
        <v>-0.56069611951911957</v>
      </c>
    </row>
    <row r="10" spans="1:18" x14ac:dyDescent="0.2">
      <c r="A10" s="5" t="s">
        <v>12</v>
      </c>
      <c r="B10" s="6">
        <f>s_ri!B10*shock_i!$E$2</f>
        <v>23.486958406191963</v>
      </c>
      <c r="C10" s="6">
        <f>s_ri!C10*shock_i!$E$3</f>
        <v>243.01028682841297</v>
      </c>
      <c r="D10" s="6">
        <f>s_ri!D10*shock_i!$E$4</f>
        <v>0</v>
      </c>
      <c r="E10" s="6">
        <f>s_ri!E10*shock_i!$E$5</f>
        <v>0</v>
      </c>
      <c r="F10" s="6">
        <f>s_ri!F10*shock_i!$E$6</f>
        <v>-3.1067221055455286E-4</v>
      </c>
      <c r="G10" s="6">
        <f>s_ri!G10*shock_i!$E$7</f>
        <v>3.310777461445328</v>
      </c>
      <c r="H10" s="6">
        <f t="shared" si="0"/>
        <v>0.26980771202383969</v>
      </c>
      <c r="K10" s="8" t="s">
        <v>12</v>
      </c>
      <c r="L10" s="6">
        <f>s_ri!K10*shock_i!$E$8</f>
        <v>19.266016328782989</v>
      </c>
      <c r="M10" s="6">
        <f>s_ri!L10*shock_i!$E$9</f>
        <v>-640.45249439733709</v>
      </c>
      <c r="N10" s="6">
        <f>s_ri!M10*shock_i!$E$10</f>
        <v>0</v>
      </c>
      <c r="O10" s="6">
        <f>s_ri!N10*shock_i!$E$11</f>
        <v>0</v>
      </c>
      <c r="P10" s="6">
        <f>s_ri!O10*shock_i!$E$12</f>
        <v>-1.2336651142757393E-2</v>
      </c>
      <c r="Q10" s="6">
        <f>s_ri!P10*shock_i!$E$13</f>
        <v>-0.27970581461389032</v>
      </c>
      <c r="R10" s="6">
        <f t="shared" si="1"/>
        <v>-0.62147852053431074</v>
      </c>
    </row>
    <row r="11" spans="1:18" x14ac:dyDescent="0.2">
      <c r="A11" s="5" t="s">
        <v>13</v>
      </c>
      <c r="B11" s="6">
        <f>s_ri!B11*shock_i!$E$2</f>
        <v>21.035757813515385</v>
      </c>
      <c r="C11" s="6">
        <f>s_ri!C11*shock_i!$E$3</f>
        <v>1542.1963748976259</v>
      </c>
      <c r="D11" s="6">
        <f>s_ri!D11*shock_i!$E$4</f>
        <v>0</v>
      </c>
      <c r="E11" s="6">
        <f>s_ri!E11*shock_i!$E$5</f>
        <v>0</v>
      </c>
      <c r="F11" s="6">
        <f>s_ri!F11*shock_i!$E$6</f>
        <v>-2.0164026744625525E-4</v>
      </c>
      <c r="G11" s="6">
        <f>s_ri!G11*shock_i!$E$7</f>
        <v>2.5078613052809744</v>
      </c>
      <c r="H11" s="6">
        <f t="shared" si="0"/>
        <v>1.5657397923761549</v>
      </c>
      <c r="K11" s="8" t="s">
        <v>13</v>
      </c>
      <c r="L11" s="6">
        <f>s_ri!K11*shock_i!$E$8</f>
        <v>17.076627021563432</v>
      </c>
      <c r="M11" s="6">
        <f>s_ri!L11*shock_i!$E$9</f>
        <v>-716.86754396044239</v>
      </c>
      <c r="N11" s="6">
        <f>s_ri!M11*shock_i!$E$10</f>
        <v>0</v>
      </c>
      <c r="O11" s="6">
        <f>s_ri!N11*shock_i!$E$11</f>
        <v>0</v>
      </c>
      <c r="P11" s="6">
        <f>s_ri!O11*shock_i!$E$12</f>
        <v>-1.0901869660522928E-2</v>
      </c>
      <c r="Q11" s="6">
        <f>s_ri!P11*shock_i!$E$13</f>
        <v>-0.29062686487387301</v>
      </c>
      <c r="R11" s="6">
        <f t="shared" si="1"/>
        <v>-0.70009244567341333</v>
      </c>
    </row>
    <row r="12" spans="1:18" x14ac:dyDescent="0.2">
      <c r="A12" s="5" t="s">
        <v>14</v>
      </c>
      <c r="B12" s="6">
        <f>s_ri!B12*shock_i!$E$2</f>
        <v>18.282233100755526</v>
      </c>
      <c r="C12" s="6">
        <f>s_ri!C12*shock_i!$E$3</f>
        <v>1451.7337113213396</v>
      </c>
      <c r="D12" s="6">
        <f>s_ri!D12*shock_i!$E$4</f>
        <v>0</v>
      </c>
      <c r="E12" s="6">
        <f>s_ri!E12*shock_i!$E$5</f>
        <v>0</v>
      </c>
      <c r="F12" s="6">
        <f>s_ri!F12*shock_i!$E$6</f>
        <v>-2.5565452697214671E-4</v>
      </c>
      <c r="G12" s="6">
        <f>s_ri!G12*shock_i!$E$7</f>
        <v>2.7957749647959882</v>
      </c>
      <c r="H12" s="6">
        <f t="shared" si="0"/>
        <v>1.4728114637323642</v>
      </c>
      <c r="K12" s="8" t="s">
        <v>14</v>
      </c>
      <c r="L12" s="6">
        <f>s_ri!K12*shock_i!$E$8</f>
        <v>23.079688161180258</v>
      </c>
      <c r="M12" s="6">
        <f>s_ri!L12*shock_i!$E$9</f>
        <v>-359.96485502589621</v>
      </c>
      <c r="N12" s="6">
        <f>s_ri!M12*shock_i!$E$10</f>
        <v>0</v>
      </c>
      <c r="O12" s="6">
        <f>s_ri!N12*shock_i!$E$11</f>
        <v>0</v>
      </c>
      <c r="P12" s="6">
        <f>s_ri!O12*shock_i!$E$12</f>
        <v>-1.2322511122929015E-2</v>
      </c>
      <c r="Q12" s="6">
        <f>s_ri!P12*shock_i!$E$13</f>
        <v>-0.31205722858559015</v>
      </c>
      <c r="R12" s="6">
        <f t="shared" si="1"/>
        <v>-0.33720954660442454</v>
      </c>
    </row>
    <row r="13" spans="1:18" x14ac:dyDescent="0.2">
      <c r="A13" s="5" t="s">
        <v>15</v>
      </c>
      <c r="B13" s="6">
        <f>s_ri!B13*shock_i!$E$2</f>
        <v>16.709667272063921</v>
      </c>
      <c r="C13" s="6">
        <f>s_ri!C13*shock_i!$E$3</f>
        <v>337.65305179603973</v>
      </c>
      <c r="D13" s="6">
        <f>s_ri!D13*shock_i!$E$4</f>
        <v>0</v>
      </c>
      <c r="E13" s="6">
        <f>s_ri!E13*shock_i!$E$5</f>
        <v>0</v>
      </c>
      <c r="F13" s="6">
        <f>s_ri!F13*shock_i!$E$6</f>
        <v>-3.4313991872633211E-4</v>
      </c>
      <c r="G13" s="6">
        <f>s_ri!G13*shock_i!$E$7</f>
        <v>3.625639505253325</v>
      </c>
      <c r="H13" s="6">
        <f t="shared" si="0"/>
        <v>0.35798801543343833</v>
      </c>
      <c r="K13" s="8" t="s">
        <v>15</v>
      </c>
      <c r="L13" s="6">
        <f>s_ri!K13*shock_i!$E$8</f>
        <v>18.10104914531659</v>
      </c>
      <c r="M13" s="6">
        <f>s_ri!L13*shock_i!$E$9</f>
        <v>-372.37261610446609</v>
      </c>
      <c r="N13" s="6">
        <f>s_ri!M13*shock_i!$E$10</f>
        <v>0</v>
      </c>
      <c r="O13" s="6">
        <f>s_ri!N13*shock_i!$E$11</f>
        <v>0</v>
      </c>
      <c r="P13" s="6">
        <f>s_ri!O13*shock_i!$E$12</f>
        <v>-1.1661762869945488E-2</v>
      </c>
      <c r="Q13" s="6">
        <f>s_ri!P13*shock_i!$E$13</f>
        <v>-0.36557834984780413</v>
      </c>
      <c r="R13" s="6">
        <f t="shared" si="1"/>
        <v>-0.35464880707186724</v>
      </c>
    </row>
    <row r="14" spans="1:18" x14ac:dyDescent="0.2">
      <c r="A14" s="5" t="s">
        <v>16</v>
      </c>
      <c r="B14" s="6">
        <f>s_ri!B14*shock_i!$E$2</f>
        <v>14.31225218601212</v>
      </c>
      <c r="C14" s="6">
        <f>s_ri!C14*shock_i!$E$3</f>
        <v>507.01876966662456</v>
      </c>
      <c r="D14" s="6">
        <f>s_ri!D14*shock_i!$E$4</f>
        <v>0</v>
      </c>
      <c r="E14" s="6">
        <f>s_ri!E14*shock_i!$E$5</f>
        <v>0</v>
      </c>
      <c r="F14" s="6">
        <f>s_ri!F14*shock_i!$E$6</f>
        <v>-3.0514862818658943E-4</v>
      </c>
      <c r="G14" s="6">
        <f>s_ri!G14*shock_i!$E$7</f>
        <v>3.2595242916597247</v>
      </c>
      <c r="H14" s="6">
        <f t="shared" si="0"/>
        <v>0.52459024099566831</v>
      </c>
      <c r="K14" s="8" t="s">
        <v>16</v>
      </c>
      <c r="L14" s="6">
        <f>s_ri!K14*shock_i!$E$8</f>
        <v>12.300875188523969</v>
      </c>
      <c r="M14" s="6">
        <f>s_ri!L14*shock_i!$E$9</f>
        <v>-372.81382555389456</v>
      </c>
      <c r="N14" s="6">
        <f>s_ri!M14*shock_i!$E$10</f>
        <v>0</v>
      </c>
      <c r="O14" s="6">
        <f>s_ri!N14*shock_i!$E$11</f>
        <v>0</v>
      </c>
      <c r="P14" s="6">
        <f>s_ri!O14*shock_i!$E$12</f>
        <v>-1.3467901130386569E-2</v>
      </c>
      <c r="Q14" s="6">
        <f>s_ri!P14*shock_i!$E$13</f>
        <v>-0.35056278300410781</v>
      </c>
      <c r="R14" s="6">
        <f t="shared" si="1"/>
        <v>-0.36087698104950516</v>
      </c>
    </row>
    <row r="15" spans="1:18" x14ac:dyDescent="0.2">
      <c r="A15" s="5" t="s">
        <v>17</v>
      </c>
      <c r="B15" s="6">
        <f>s_ri!B15*shock_i!$E$2</f>
        <v>18.572080403796352</v>
      </c>
      <c r="C15" s="6">
        <f>s_ri!C15*shock_i!$E$3</f>
        <v>1236.6453596794506</v>
      </c>
      <c r="D15" s="6">
        <f>s_ri!D15*shock_i!$E$4</f>
        <v>0</v>
      </c>
      <c r="E15" s="6">
        <f>s_ri!E15*shock_i!$E$5</f>
        <v>0</v>
      </c>
      <c r="F15" s="6">
        <f>s_ri!F15*shock_i!$E$6</f>
        <v>-3.0779740192473547E-4</v>
      </c>
      <c r="G15" s="6">
        <f>s_ri!G15*shock_i!$E$7</f>
        <v>2.4062411654295564</v>
      </c>
      <c r="H15" s="6">
        <f t="shared" si="0"/>
        <v>1.2576233734512745</v>
      </c>
      <c r="K15" s="8" t="s">
        <v>17</v>
      </c>
      <c r="L15" s="6">
        <f>s_ri!K15*shock_i!$E$8</f>
        <v>13.314525825165985</v>
      </c>
      <c r="M15" s="6">
        <f>s_ri!L15*shock_i!$E$9</f>
        <v>-550.08955786871149</v>
      </c>
      <c r="N15" s="6">
        <f>s_ri!M15*shock_i!$E$10</f>
        <v>0</v>
      </c>
      <c r="O15" s="6">
        <f>s_ri!N15*shock_i!$E$11</f>
        <v>0</v>
      </c>
      <c r="P15" s="6">
        <f>s_ri!O15*shock_i!$E$12</f>
        <v>-1.0925403912088868E-2</v>
      </c>
      <c r="Q15" s="6">
        <f>s_ri!P15*shock_i!$E$13</f>
        <v>-0.28454957690193289</v>
      </c>
      <c r="R15" s="6">
        <f t="shared" si="1"/>
        <v>-0.53707050702435943</v>
      </c>
    </row>
    <row r="16" spans="1:18" x14ac:dyDescent="0.2">
      <c r="A16" s="5" t="s">
        <v>18</v>
      </c>
      <c r="B16" s="6">
        <f>s_ri!B16*shock_i!$E$2</f>
        <v>2.0731325313788251</v>
      </c>
      <c r="C16" s="6">
        <f>s_ri!C16*shock_i!$E$3</f>
        <v>5735.0427691505465</v>
      </c>
      <c r="D16" s="6">
        <f>s_ri!D16*shock_i!$E$4</f>
        <v>0</v>
      </c>
      <c r="E16" s="6">
        <f>s_ri!E16*shock_i!$E$5</f>
        <v>0</v>
      </c>
      <c r="F16" s="6">
        <f>s_ri!F16*shock_i!$E$6</f>
        <v>-8.5780839417417285E-5</v>
      </c>
      <c r="G16" s="6">
        <f>s_ri!G16*shock_i!$E$7</f>
        <v>0.55120557037003592</v>
      </c>
      <c r="H16" s="6">
        <f t="shared" si="0"/>
        <v>5.7376670214714567</v>
      </c>
      <c r="K16" s="8" t="s">
        <v>18</v>
      </c>
      <c r="L16" s="6">
        <f>s_ri!K16*shock_i!$E$8</f>
        <v>8.073647935933467</v>
      </c>
      <c r="M16" s="6">
        <f>s_ri!L16*shock_i!$E$9</f>
        <v>-749.74478646598436</v>
      </c>
      <c r="N16" s="6">
        <f>s_ri!M16*shock_i!$E$10</f>
        <v>0</v>
      </c>
      <c r="O16" s="6">
        <f>s_ri!N16*shock_i!$E$11</f>
        <v>0</v>
      </c>
      <c r="P16" s="6">
        <f>s_ri!O16*shock_i!$E$12</f>
        <v>-1.2558317533106971E-2</v>
      </c>
      <c r="Q16" s="6">
        <f>s_ri!P16*shock_i!$E$13</f>
        <v>-0.31081539175160272</v>
      </c>
      <c r="R16" s="6">
        <f t="shared" si="1"/>
        <v>-0.74199451223933566</v>
      </c>
    </row>
    <row r="17" spans="1:18" x14ac:dyDescent="0.2">
      <c r="A17" s="5" t="s">
        <v>19</v>
      </c>
      <c r="B17" s="6">
        <f>s_ri!B17*shock_i!$E$2</f>
        <v>10.861453891717886</v>
      </c>
      <c r="C17" s="6">
        <f>s_ri!C17*shock_i!$E$3</f>
        <v>676.24087073883993</v>
      </c>
      <c r="D17" s="6">
        <f>s_ri!D17*shock_i!$E$4</f>
        <v>0</v>
      </c>
      <c r="E17" s="6">
        <f>s_ri!E17*shock_i!$E$5</f>
        <v>0</v>
      </c>
      <c r="F17" s="6">
        <f>s_ri!F17*shock_i!$E$6</f>
        <v>-5.5338705428858688E-4</v>
      </c>
      <c r="G17" s="6">
        <f>s_ri!G17*shock_i!$E$7</f>
        <v>2.5773008410664429</v>
      </c>
      <c r="H17" s="6">
        <f t="shared" si="0"/>
        <v>0.68967907208456991</v>
      </c>
      <c r="K17" s="8" t="s">
        <v>19</v>
      </c>
      <c r="L17" s="6">
        <f>s_ri!K17*shock_i!$E$8</f>
        <v>7.5730433004382478</v>
      </c>
      <c r="M17" s="6">
        <f>s_ri!L17*shock_i!$E$9</f>
        <v>-1148.3352494168396</v>
      </c>
      <c r="N17" s="6">
        <f>s_ri!M17*shock_i!$E$10</f>
        <v>0</v>
      </c>
      <c r="O17" s="6">
        <f>s_ri!N17*shock_i!$E$11</f>
        <v>0</v>
      </c>
      <c r="P17" s="6">
        <f>s_ri!O17*shock_i!$E$12</f>
        <v>-1.1355553327008168E-2</v>
      </c>
      <c r="Q17" s="6">
        <f>s_ri!P17*shock_i!$E$13</f>
        <v>-0.2216410734458841</v>
      </c>
      <c r="R17" s="6">
        <f t="shared" si="1"/>
        <v>-1.1409952027431742</v>
      </c>
    </row>
    <row r="18" spans="1:18" x14ac:dyDescent="0.2">
      <c r="A18" s="5" t="s">
        <v>20</v>
      </c>
      <c r="B18" s="6">
        <f>s_ri!B18*shock_i!$E$2</f>
        <v>4.3839016161933921</v>
      </c>
      <c r="C18" s="6">
        <f>s_ri!C18*shock_i!$E$3</f>
        <v>4244.5124371002139</v>
      </c>
      <c r="D18" s="6">
        <f>s_ri!D18*shock_i!$E$4</f>
        <v>0</v>
      </c>
      <c r="E18" s="6">
        <f>s_ri!E18*shock_i!$E$5</f>
        <v>0</v>
      </c>
      <c r="F18" s="6">
        <f>s_ri!F18*shock_i!$E$6</f>
        <v>-2.1378633042820085E-4</v>
      </c>
      <c r="G18" s="6">
        <f>s_ri!G18*shock_i!$E$7</f>
        <v>1.2295307639520214</v>
      </c>
      <c r="H18" s="6">
        <f t="shared" si="0"/>
        <v>4.2501256556940294</v>
      </c>
      <c r="K18" s="8" t="s">
        <v>20</v>
      </c>
      <c r="L18" s="6">
        <f>s_ri!K18*shock_i!$E$8</f>
        <v>4.281526084374577</v>
      </c>
      <c r="M18" s="6">
        <f>s_ri!L18*shock_i!$E$9</f>
        <v>-1081.6602212718619</v>
      </c>
      <c r="N18" s="6">
        <f>s_ri!M18*shock_i!$E$10</f>
        <v>0</v>
      </c>
      <c r="O18" s="6">
        <f>s_ri!N18*shock_i!$E$11</f>
        <v>0</v>
      </c>
      <c r="P18" s="6">
        <f>s_ri!O18*shock_i!$E$12</f>
        <v>-1.36621798344545E-2</v>
      </c>
      <c r="Q18" s="6">
        <f>s_ri!P18*shock_i!$E$13</f>
        <v>-0.2757233918507942</v>
      </c>
      <c r="R18" s="6">
        <f t="shared" si="1"/>
        <v>-1.0776680807591728</v>
      </c>
    </row>
    <row r="19" spans="1:18" x14ac:dyDescent="0.2">
      <c r="A19" s="5" t="s">
        <v>21</v>
      </c>
      <c r="B19" s="6">
        <f>s_ri!B19*shock_i!$E$2</f>
        <v>11.874376117341111</v>
      </c>
      <c r="C19" s="6">
        <f>s_ri!C19*shock_i!$E$3</f>
        <v>1738.6376068393911</v>
      </c>
      <c r="D19" s="6">
        <f>s_ri!D19*shock_i!$E$4</f>
        <v>0</v>
      </c>
      <c r="E19" s="6">
        <f>s_ri!E19*shock_i!$E$5</f>
        <v>0</v>
      </c>
      <c r="F19" s="6">
        <f>s_ri!F19*shock_i!$E$6</f>
        <v>-4.6751623289200713E-4</v>
      </c>
      <c r="G19" s="6">
        <f>s_ri!G19*shock_i!$E$7</f>
        <v>2.0586060505515023</v>
      </c>
      <c r="H19" s="6">
        <f t="shared" si="0"/>
        <v>1.752570121491051</v>
      </c>
      <c r="K19" s="8" t="s">
        <v>21</v>
      </c>
      <c r="L19" s="6">
        <f>s_ri!K19*shock_i!$E$8</f>
        <v>7.2954460749891963</v>
      </c>
      <c r="M19" s="6">
        <f>s_ri!L19*shock_i!$E$9</f>
        <v>-1076.1731469474341</v>
      </c>
      <c r="N19" s="6">
        <f>s_ri!M19*shock_i!$E$10</f>
        <v>0</v>
      </c>
      <c r="O19" s="6">
        <f>s_ri!N19*shock_i!$E$11</f>
        <v>0</v>
      </c>
      <c r="P19" s="6">
        <f>s_ri!O19*shock_i!$E$12</f>
        <v>-1.3855577545706927E-2</v>
      </c>
      <c r="Q19" s="6">
        <f>s_ri!P19*shock_i!$E$13</f>
        <v>-0.24093348381511179</v>
      </c>
      <c r="R19" s="6">
        <f t="shared" si="1"/>
        <v>-1.0691324899338055</v>
      </c>
    </row>
    <row r="20" spans="1:18" x14ac:dyDescent="0.2">
      <c r="A20" s="5" t="s">
        <v>22</v>
      </c>
      <c r="B20" s="6">
        <f>s_ri!B20*shock_i!$E$2</f>
        <v>7.264175313295584</v>
      </c>
      <c r="C20" s="6">
        <f>s_ri!C20*shock_i!$E$3</f>
        <v>520.71608649513496</v>
      </c>
      <c r="D20" s="6">
        <f>s_ri!D20*shock_i!$E$4</f>
        <v>0</v>
      </c>
      <c r="E20" s="6">
        <f>s_ri!E20*shock_i!$E$5</f>
        <v>0</v>
      </c>
      <c r="F20" s="6">
        <f>s_ri!F20*shock_i!$E$6</f>
        <v>-5.5360896809318301E-4</v>
      </c>
      <c r="G20" s="6">
        <f>s_ri!G20*shock_i!$E$7</f>
        <v>2.7616493890983604</v>
      </c>
      <c r="H20" s="6">
        <f t="shared" si="0"/>
        <v>0.53074135758856089</v>
      </c>
      <c r="K20" s="8" t="s">
        <v>22</v>
      </c>
      <c r="L20" s="6">
        <f>s_ri!K20*shock_i!$E$8</f>
        <v>6.0285884586311376</v>
      </c>
      <c r="M20" s="6">
        <f>s_ri!L20*shock_i!$E$9</f>
        <v>-759.56652859371525</v>
      </c>
      <c r="N20" s="6">
        <f>s_ri!M20*shock_i!$E$10</f>
        <v>0</v>
      </c>
      <c r="O20" s="6">
        <f>s_ri!N20*shock_i!$E$11</f>
        <v>0</v>
      </c>
      <c r="P20" s="6">
        <f>s_ri!O20*shock_i!$E$12</f>
        <v>-1.4856926954407395E-2</v>
      </c>
      <c r="Q20" s="6">
        <f>s_ri!P20*shock_i!$E$13</f>
        <v>-0.27590873023007695</v>
      </c>
      <c r="R20" s="6">
        <f t="shared" si="1"/>
        <v>-0.75382870579226857</v>
      </c>
    </row>
    <row r="21" spans="1:18" x14ac:dyDescent="0.2">
      <c r="A21" s="5" t="s">
        <v>23</v>
      </c>
      <c r="B21" s="6">
        <f>s_ri!B21*shock_i!$E$2</f>
        <v>5.62459539399139</v>
      </c>
      <c r="C21" s="6">
        <f>s_ri!C21*shock_i!$E$3</f>
        <v>3218.3752711447996</v>
      </c>
      <c r="D21" s="6">
        <f>s_ri!D21*shock_i!$E$4</f>
        <v>0</v>
      </c>
      <c r="E21" s="6">
        <f>s_ri!E21*shock_i!$E$5</f>
        <v>0</v>
      </c>
      <c r="F21" s="6">
        <f>s_ri!F21*shock_i!$E$6</f>
        <v>-2.5327022574149922E-4</v>
      </c>
      <c r="G21" s="6">
        <f>s_ri!G21*shock_i!$E$7</f>
        <v>1.8330422146139989</v>
      </c>
      <c r="H21" s="6">
        <f t="shared" si="0"/>
        <v>3.2258326554831798</v>
      </c>
      <c r="K21" s="8" t="s">
        <v>23</v>
      </c>
      <c r="L21" s="6">
        <f>s_ri!K21*shock_i!$E$8</f>
        <v>6.1047477870676117</v>
      </c>
      <c r="M21" s="6">
        <f>s_ri!L21*shock_i!$E$9</f>
        <v>-880.45213622521464</v>
      </c>
      <c r="N21" s="6">
        <f>s_ri!M21*shock_i!$E$10</f>
        <v>0</v>
      </c>
      <c r="O21" s="6">
        <f>s_ri!N21*shock_i!$E$11</f>
        <v>0</v>
      </c>
      <c r="P21" s="6">
        <f>s_ri!O21*shock_i!$E$12</f>
        <v>-1.184019232489158E-2</v>
      </c>
      <c r="Q21" s="6">
        <f>s_ri!P21*shock_i!$E$13</f>
        <v>-0.2730189177043974</v>
      </c>
      <c r="R21" s="6">
        <f t="shared" si="1"/>
        <v>-0.87463224754817637</v>
      </c>
    </row>
    <row r="22" spans="1:18" x14ac:dyDescent="0.2">
      <c r="A22" s="5" t="s">
        <v>24</v>
      </c>
      <c r="B22" s="6">
        <f>s_ri!B22*shock_i!$E$2</f>
        <v>6.3055258078473866</v>
      </c>
      <c r="C22" s="6">
        <f>s_ri!C22*shock_i!$E$3</f>
        <v>2692.4628395502318</v>
      </c>
      <c r="D22" s="6">
        <f>s_ri!D22*shock_i!$E$4</f>
        <v>0</v>
      </c>
      <c r="E22" s="6">
        <f>s_ri!E22*shock_i!$E$5</f>
        <v>0</v>
      </c>
      <c r="F22" s="6">
        <f>s_ri!F22*shock_i!$E$6</f>
        <v>-3.6575792626862796E-4</v>
      </c>
      <c r="G22" s="6">
        <f>s_ri!G22*shock_i!$E$7</f>
        <v>1.9162163941897699</v>
      </c>
      <c r="H22" s="6">
        <f t="shared" si="0"/>
        <v>2.7006842159943427</v>
      </c>
      <c r="K22" s="8" t="s">
        <v>24</v>
      </c>
      <c r="L22" s="6">
        <f>s_ri!K22*shock_i!$E$8</f>
        <v>4.6284746913107258</v>
      </c>
      <c r="M22" s="6">
        <f>s_ri!L22*shock_i!$E$9</f>
        <v>-1198.3105562706078</v>
      </c>
      <c r="N22" s="6">
        <f>s_ri!M22*shock_i!$E$10</f>
        <v>0</v>
      </c>
      <c r="O22" s="6">
        <f>s_ri!N22*shock_i!$E$11</f>
        <v>0</v>
      </c>
      <c r="P22" s="6">
        <f>s_ri!O22*shock_i!$E$12</f>
        <v>-1.2151202530639929E-2</v>
      </c>
      <c r="Q22" s="6">
        <f>s_ri!P22*shock_i!$E$13</f>
        <v>-0.25090932426516499</v>
      </c>
      <c r="R22" s="6">
        <f t="shared" si="1"/>
        <v>-1.1939451421060931</v>
      </c>
    </row>
    <row r="23" spans="1:18" x14ac:dyDescent="0.2">
      <c r="A23" s="5" t="s">
        <v>25</v>
      </c>
      <c r="B23" s="6">
        <f>s_ri!B23*shock_i!$E$2</f>
        <v>4.390230374423286</v>
      </c>
      <c r="C23" s="6">
        <f>s_ri!C23*shock_i!$E$3</f>
        <v>1600.2341766565719</v>
      </c>
      <c r="D23" s="6">
        <f>s_ri!D23*shock_i!$E$4</f>
        <v>0</v>
      </c>
      <c r="E23" s="6">
        <f>s_ri!E23*shock_i!$E$5</f>
        <v>0</v>
      </c>
      <c r="F23" s="6">
        <f>s_ri!F23*shock_i!$E$6</f>
        <v>-5.7215154945465334E-4</v>
      </c>
      <c r="G23" s="6">
        <f>s_ri!G23*shock_i!$E$7</f>
        <v>2.7228239856916137</v>
      </c>
      <c r="H23" s="6">
        <f t="shared" si="0"/>
        <v>1.6073466588651373</v>
      </c>
      <c r="K23" s="8" t="s">
        <v>25</v>
      </c>
      <c r="L23" s="6">
        <f>s_ri!K23*shock_i!$E$8</f>
        <v>3.4939363608475165</v>
      </c>
      <c r="M23" s="6">
        <f>s_ri!L23*shock_i!$E$9</f>
        <v>-412.44018675462087</v>
      </c>
      <c r="N23" s="6">
        <f>s_ri!M23*shock_i!$E$10</f>
        <v>0</v>
      </c>
      <c r="O23" s="6">
        <f>s_ri!N23*shock_i!$E$11</f>
        <v>0</v>
      </c>
      <c r="P23" s="6">
        <f>s_ri!O23*shock_i!$E$12</f>
        <v>-1.6395367985957317E-2</v>
      </c>
      <c r="Q23" s="6">
        <f>s_ri!P23*shock_i!$E$13</f>
        <v>-0.34722957519341729</v>
      </c>
      <c r="R23" s="6">
        <f t="shared" si="1"/>
        <v>-0.40930987533695273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E3A9-1925-6945-A35B-75135C166737}">
  <dimension ref="A1:W40"/>
  <sheetViews>
    <sheetView workbookViewId="0">
      <selection activeCell="Z15" sqref="Z15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s="7" customFormat="1" x14ac:dyDescent="0.2">
      <c r="A1" s="19" t="s">
        <v>41</v>
      </c>
      <c r="B1" s="19"/>
      <c r="C1" s="19"/>
      <c r="E1" s="19" t="s">
        <v>42</v>
      </c>
      <c r="F1" s="19"/>
      <c r="G1" s="19"/>
      <c r="H1" s="13"/>
      <c r="I1" s="19" t="s">
        <v>43</v>
      </c>
      <c r="J1" s="19"/>
      <c r="K1" s="19"/>
      <c r="L1" s="13"/>
      <c r="M1" s="19" t="s">
        <v>44</v>
      </c>
      <c r="N1" s="19"/>
      <c r="O1" s="19"/>
      <c r="P1" s="13"/>
      <c r="Q1" s="19" t="s">
        <v>45</v>
      </c>
      <c r="R1" s="19"/>
      <c r="S1" s="19"/>
      <c r="T1" s="13"/>
      <c r="U1" s="19" t="s">
        <v>46</v>
      </c>
      <c r="V1" s="19"/>
      <c r="W1" s="19"/>
    </row>
    <row r="2" spans="1:23" s="7" customFormat="1" x14ac:dyDescent="0.2">
      <c r="A2" s="8" t="s">
        <v>1</v>
      </c>
      <c r="B2" s="8" t="s">
        <v>2</v>
      </c>
      <c r="C2" s="10" t="s">
        <v>39</v>
      </c>
      <c r="E2" s="5" t="s">
        <v>1</v>
      </c>
      <c r="F2" s="5" t="s">
        <v>2</v>
      </c>
      <c r="G2" s="10" t="s">
        <v>39</v>
      </c>
      <c r="H2" s="9"/>
      <c r="I2" s="5" t="s">
        <v>1</v>
      </c>
      <c r="J2" s="5" t="s">
        <v>2</v>
      </c>
      <c r="K2" s="10" t="s">
        <v>39</v>
      </c>
      <c r="L2" s="9"/>
      <c r="M2" s="5" t="s">
        <v>1</v>
      </c>
      <c r="N2" s="5" t="s">
        <v>2</v>
      </c>
      <c r="O2" s="14" t="s">
        <v>39</v>
      </c>
      <c r="P2" s="9"/>
      <c r="Q2" s="5" t="s">
        <v>1</v>
      </c>
      <c r="R2" s="5" t="s">
        <v>2</v>
      </c>
      <c r="S2" s="5" t="s">
        <v>39</v>
      </c>
      <c r="T2" s="9"/>
      <c r="U2" s="5" t="s">
        <v>1</v>
      </c>
      <c r="V2" s="5" t="s">
        <v>2</v>
      </c>
      <c r="W2" s="14" t="s">
        <v>39</v>
      </c>
    </row>
    <row r="3" spans="1:23" x14ac:dyDescent="0.2">
      <c r="A3" s="12">
        <v>1999</v>
      </c>
      <c r="B3" s="12" t="s">
        <v>4</v>
      </c>
      <c r="C3" s="11">
        <v>31366299</v>
      </c>
      <c r="E3" s="4">
        <v>1999</v>
      </c>
      <c r="F3" s="4" t="s">
        <v>4</v>
      </c>
      <c r="G3" s="11">
        <v>1907415</v>
      </c>
      <c r="I3" s="4">
        <v>1999</v>
      </c>
      <c r="J3" s="4" t="s">
        <v>4</v>
      </c>
      <c r="K3" s="11">
        <v>1643501884</v>
      </c>
      <c r="M3" s="4">
        <v>1999</v>
      </c>
      <c r="N3" s="4" t="s">
        <v>4</v>
      </c>
      <c r="O3" s="11">
        <v>1125099</v>
      </c>
      <c r="Q3" s="4">
        <v>1999</v>
      </c>
      <c r="R3" s="4" t="s">
        <v>4</v>
      </c>
      <c r="S3" s="11">
        <v>8132064</v>
      </c>
      <c r="U3" s="4">
        <v>1999</v>
      </c>
      <c r="V3" s="4" t="s">
        <v>4</v>
      </c>
      <c r="W3" s="11">
        <v>1414721</v>
      </c>
    </row>
    <row r="4" spans="1:23" x14ac:dyDescent="0.2">
      <c r="A4" s="12">
        <v>1999</v>
      </c>
      <c r="B4" s="12" t="s">
        <v>26</v>
      </c>
      <c r="C4" s="11">
        <v>4170822649</v>
      </c>
      <c r="E4" s="4">
        <v>1999</v>
      </c>
      <c r="F4" s="4" t="s">
        <v>26</v>
      </c>
      <c r="G4" s="11">
        <v>723830435</v>
      </c>
      <c r="I4" s="4">
        <v>1999</v>
      </c>
      <c r="J4" s="4" t="s">
        <v>26</v>
      </c>
      <c r="K4" s="11">
        <v>40528188750</v>
      </c>
      <c r="M4" s="4">
        <v>1999</v>
      </c>
      <c r="N4" s="4" t="s">
        <v>26</v>
      </c>
      <c r="O4" s="11">
        <v>920711827</v>
      </c>
      <c r="Q4" s="4">
        <v>1999</v>
      </c>
      <c r="R4" s="4" t="s">
        <v>26</v>
      </c>
      <c r="S4" s="11">
        <v>745304253</v>
      </c>
      <c r="U4" s="4">
        <v>1999</v>
      </c>
      <c r="V4" s="4" t="s">
        <v>26</v>
      </c>
      <c r="W4" s="11">
        <v>757645750</v>
      </c>
    </row>
    <row r="5" spans="1:23" x14ac:dyDescent="0.2">
      <c r="A5" s="12">
        <v>1999</v>
      </c>
      <c r="B5" s="12" t="s">
        <v>27</v>
      </c>
      <c r="C5" s="11">
        <v>0</v>
      </c>
      <c r="E5" s="4">
        <v>1999</v>
      </c>
      <c r="F5" s="4" t="s">
        <v>27</v>
      </c>
      <c r="G5" s="11">
        <v>0</v>
      </c>
      <c r="I5" s="4">
        <v>1999</v>
      </c>
      <c r="J5" s="4" t="s">
        <v>27</v>
      </c>
      <c r="K5" s="11">
        <v>0</v>
      </c>
      <c r="M5" s="4">
        <v>1999</v>
      </c>
      <c r="N5" s="4" t="s">
        <v>27</v>
      </c>
      <c r="O5" s="11">
        <v>0</v>
      </c>
      <c r="Q5" s="4">
        <v>1999</v>
      </c>
      <c r="R5" s="4" t="s">
        <v>27</v>
      </c>
      <c r="S5" s="11">
        <v>0</v>
      </c>
      <c r="U5" s="4">
        <v>1999</v>
      </c>
      <c r="V5" s="4" t="s">
        <v>27</v>
      </c>
      <c r="W5" s="11">
        <v>0</v>
      </c>
    </row>
    <row r="6" spans="1:23" x14ac:dyDescent="0.2">
      <c r="A6" s="12">
        <v>1999</v>
      </c>
      <c r="B6" s="12" t="s">
        <v>28</v>
      </c>
      <c r="C6" s="11">
        <v>0</v>
      </c>
      <c r="E6" s="4">
        <v>1999</v>
      </c>
      <c r="F6" s="4" t="s">
        <v>28</v>
      </c>
      <c r="G6" s="11">
        <v>0</v>
      </c>
      <c r="I6" s="4">
        <v>1999</v>
      </c>
      <c r="J6" s="4" t="s">
        <v>28</v>
      </c>
      <c r="K6" s="11">
        <v>0</v>
      </c>
      <c r="M6" s="4">
        <v>1999</v>
      </c>
      <c r="N6" s="4" t="s">
        <v>28</v>
      </c>
      <c r="O6" s="11">
        <v>0</v>
      </c>
      <c r="Q6" s="4">
        <v>1999</v>
      </c>
      <c r="R6" s="4" t="s">
        <v>28</v>
      </c>
      <c r="S6" s="11">
        <v>0</v>
      </c>
      <c r="U6" s="4">
        <v>1999</v>
      </c>
      <c r="V6" s="4" t="s">
        <v>28</v>
      </c>
      <c r="W6" s="11">
        <v>0</v>
      </c>
    </row>
    <row r="7" spans="1:23" x14ac:dyDescent="0.2">
      <c r="A7" s="12">
        <v>1999</v>
      </c>
      <c r="B7" s="12" t="s">
        <v>29</v>
      </c>
      <c r="C7" s="11">
        <v>13735</v>
      </c>
      <c r="E7" s="4">
        <v>1999</v>
      </c>
      <c r="F7" s="4" t="s">
        <v>29</v>
      </c>
      <c r="G7" s="11">
        <v>0</v>
      </c>
      <c r="I7" s="4">
        <v>1999</v>
      </c>
      <c r="J7" s="4" t="s">
        <v>29</v>
      </c>
      <c r="K7" s="11">
        <v>399015</v>
      </c>
      <c r="M7" s="4">
        <v>1999</v>
      </c>
      <c r="N7" s="4" t="s">
        <v>29</v>
      </c>
      <c r="O7" s="11">
        <v>4382</v>
      </c>
      <c r="Q7" s="4">
        <v>1999</v>
      </c>
      <c r="R7" s="4" t="s">
        <v>29</v>
      </c>
      <c r="S7" s="11">
        <v>0</v>
      </c>
      <c r="U7" s="4">
        <v>1999</v>
      </c>
      <c r="V7" s="4" t="s">
        <v>29</v>
      </c>
      <c r="W7" s="11">
        <v>1451</v>
      </c>
    </row>
    <row r="8" spans="1:23" x14ac:dyDescent="0.2">
      <c r="A8" s="12">
        <v>1999</v>
      </c>
      <c r="B8" s="12" t="s">
        <v>30</v>
      </c>
      <c r="C8" s="11">
        <v>11992818</v>
      </c>
      <c r="E8" s="4">
        <v>1999</v>
      </c>
      <c r="F8" s="4" t="s">
        <v>30</v>
      </c>
      <c r="G8" s="11">
        <v>916058</v>
      </c>
      <c r="I8" s="4">
        <v>1999</v>
      </c>
      <c r="J8" s="4" t="s">
        <v>30</v>
      </c>
      <c r="K8" s="11">
        <v>313452422</v>
      </c>
      <c r="M8" s="4">
        <v>1999</v>
      </c>
      <c r="N8" s="4" t="s">
        <v>30</v>
      </c>
      <c r="O8" s="11">
        <v>310766</v>
      </c>
      <c r="Q8" s="4">
        <v>1999</v>
      </c>
      <c r="R8" s="4" t="s">
        <v>30</v>
      </c>
      <c r="S8" s="11">
        <v>1466967</v>
      </c>
      <c r="U8" s="4">
        <v>1999</v>
      </c>
      <c r="V8" s="4" t="s">
        <v>30</v>
      </c>
      <c r="W8" s="11">
        <v>2039185</v>
      </c>
    </row>
    <row r="9" spans="1:23" x14ac:dyDescent="0.2">
      <c r="A9" s="12">
        <v>2011</v>
      </c>
      <c r="B9" s="12" t="s">
        <v>4</v>
      </c>
      <c r="C9" s="11">
        <v>126210268</v>
      </c>
      <c r="E9" s="4">
        <v>2011</v>
      </c>
      <c r="F9" s="4" t="s">
        <v>4</v>
      </c>
      <c r="G9" s="11">
        <v>2661830</v>
      </c>
      <c r="I9" s="4">
        <v>2011</v>
      </c>
      <c r="J9" s="4" t="s">
        <v>4</v>
      </c>
      <c r="K9" s="11">
        <v>1871215480</v>
      </c>
      <c r="M9" s="4">
        <v>2011</v>
      </c>
      <c r="N9" s="4" t="s">
        <v>4</v>
      </c>
      <c r="O9" s="11">
        <v>14453257</v>
      </c>
      <c r="Q9" s="15">
        <v>2011</v>
      </c>
      <c r="R9" s="15" t="s">
        <v>4</v>
      </c>
      <c r="S9" s="11">
        <v>23104718.137999993</v>
      </c>
      <c r="U9" s="4">
        <v>2011</v>
      </c>
      <c r="V9" s="4" t="s">
        <v>4</v>
      </c>
      <c r="W9" s="11">
        <v>10454215</v>
      </c>
    </row>
    <row r="10" spans="1:23" x14ac:dyDescent="0.2">
      <c r="A10" s="12">
        <v>2011</v>
      </c>
      <c r="B10" s="12" t="s">
        <v>26</v>
      </c>
      <c r="C10" s="11">
        <v>42571628341</v>
      </c>
      <c r="E10" s="4">
        <v>2011</v>
      </c>
      <c r="F10" s="4" t="s">
        <v>26</v>
      </c>
      <c r="G10" s="11">
        <v>3030544423</v>
      </c>
      <c r="I10" s="4">
        <v>2011</v>
      </c>
      <c r="J10" s="4" t="s">
        <v>26</v>
      </c>
      <c r="K10" s="11">
        <v>178004922182</v>
      </c>
      <c r="M10" s="4">
        <v>2011</v>
      </c>
      <c r="N10" s="4" t="s">
        <v>26</v>
      </c>
      <c r="O10" s="11">
        <v>8239528662</v>
      </c>
      <c r="Q10" s="15">
        <v>2011</v>
      </c>
      <c r="R10" s="15" t="s">
        <v>26</v>
      </c>
      <c r="S10" s="11">
        <v>5835469332.3119984</v>
      </c>
      <c r="U10" s="4">
        <v>2011</v>
      </c>
      <c r="V10" s="4" t="s">
        <v>26</v>
      </c>
      <c r="W10" s="11">
        <v>6831335381</v>
      </c>
    </row>
    <row r="11" spans="1:23" x14ac:dyDescent="0.2">
      <c r="A11" s="12">
        <v>2011</v>
      </c>
      <c r="B11" s="12" t="s">
        <v>27</v>
      </c>
      <c r="C11" s="11">
        <v>0</v>
      </c>
      <c r="E11" s="4">
        <v>2011</v>
      </c>
      <c r="F11" s="4" t="s">
        <v>27</v>
      </c>
      <c r="G11" s="11">
        <v>0</v>
      </c>
      <c r="I11" s="4">
        <v>2011</v>
      </c>
      <c r="J11" s="4" t="s">
        <v>27</v>
      </c>
      <c r="K11" s="11">
        <v>0</v>
      </c>
      <c r="M11" s="4">
        <v>2011</v>
      </c>
      <c r="N11" s="4" t="s">
        <v>27</v>
      </c>
      <c r="O11" s="11">
        <v>0</v>
      </c>
      <c r="Q11" s="15">
        <v>2011</v>
      </c>
      <c r="R11" s="15" t="s">
        <v>27</v>
      </c>
      <c r="S11" s="11">
        <v>0</v>
      </c>
      <c r="U11" s="4">
        <v>2011</v>
      </c>
      <c r="V11" s="4" t="s">
        <v>27</v>
      </c>
      <c r="W11" s="11">
        <v>0</v>
      </c>
    </row>
    <row r="12" spans="1:23" x14ac:dyDescent="0.2">
      <c r="A12" s="12">
        <v>2011</v>
      </c>
      <c r="B12" s="12" t="s">
        <v>28</v>
      </c>
      <c r="C12" s="11">
        <v>0</v>
      </c>
      <c r="E12" s="4">
        <v>2011</v>
      </c>
      <c r="F12" s="4" t="s">
        <v>28</v>
      </c>
      <c r="G12" s="11">
        <v>0</v>
      </c>
      <c r="I12" s="4">
        <v>2011</v>
      </c>
      <c r="J12" s="4" t="s">
        <v>28</v>
      </c>
      <c r="K12" s="11">
        <v>0</v>
      </c>
      <c r="M12" s="4">
        <v>2011</v>
      </c>
      <c r="N12" s="4" t="s">
        <v>28</v>
      </c>
      <c r="O12" s="11">
        <v>0</v>
      </c>
      <c r="Q12" s="15">
        <v>2011</v>
      </c>
      <c r="R12" s="15" t="s">
        <v>28</v>
      </c>
      <c r="S12" s="11">
        <v>0</v>
      </c>
      <c r="U12" s="4">
        <v>2011</v>
      </c>
      <c r="V12" s="4" t="s">
        <v>28</v>
      </c>
      <c r="W12" s="11">
        <v>0</v>
      </c>
    </row>
    <row r="13" spans="1:23" x14ac:dyDescent="0.2">
      <c r="A13" s="12">
        <v>2011</v>
      </c>
      <c r="B13" s="12" t="s">
        <v>29</v>
      </c>
      <c r="C13" s="11">
        <v>12361</v>
      </c>
      <c r="E13" s="4">
        <v>2011</v>
      </c>
      <c r="F13" s="4" t="s">
        <v>29</v>
      </c>
      <c r="G13" s="11">
        <v>2351</v>
      </c>
      <c r="I13" s="4">
        <v>2011</v>
      </c>
      <c r="J13" s="4" t="s">
        <v>29</v>
      </c>
      <c r="K13" s="11">
        <v>761578</v>
      </c>
      <c r="M13" s="4">
        <v>2011</v>
      </c>
      <c r="N13" s="4" t="s">
        <v>29</v>
      </c>
      <c r="O13" s="11">
        <v>2049</v>
      </c>
      <c r="Q13" s="15">
        <v>2011</v>
      </c>
      <c r="R13" s="15" t="s">
        <v>29</v>
      </c>
      <c r="S13" s="11">
        <v>119105.481</v>
      </c>
      <c r="U13" s="4">
        <v>2011</v>
      </c>
      <c r="V13" s="4" t="s">
        <v>29</v>
      </c>
      <c r="W13" s="11">
        <v>1541</v>
      </c>
    </row>
    <row r="14" spans="1:23" x14ac:dyDescent="0.2">
      <c r="A14" s="12">
        <v>2011</v>
      </c>
      <c r="B14" s="12" t="s">
        <v>30</v>
      </c>
      <c r="C14" s="11">
        <v>13383600</v>
      </c>
      <c r="E14" s="4">
        <v>2011</v>
      </c>
      <c r="F14" s="4" t="s">
        <v>30</v>
      </c>
      <c r="G14" s="11">
        <v>2764490</v>
      </c>
      <c r="I14" s="4">
        <v>2011</v>
      </c>
      <c r="J14" s="4" t="s">
        <v>30</v>
      </c>
      <c r="K14" s="11">
        <v>598610981</v>
      </c>
      <c r="M14" s="4">
        <v>2011</v>
      </c>
      <c r="N14" s="4" t="s">
        <v>30</v>
      </c>
      <c r="O14" s="11">
        <v>32414433</v>
      </c>
      <c r="Q14" s="15">
        <v>2011</v>
      </c>
      <c r="R14" s="15" t="s">
        <v>30</v>
      </c>
      <c r="S14" s="11">
        <v>2539302.148</v>
      </c>
      <c r="U14" s="4">
        <v>2011</v>
      </c>
      <c r="V14" s="4" t="s">
        <v>30</v>
      </c>
      <c r="W14" s="11">
        <v>3199406</v>
      </c>
    </row>
    <row r="15" spans="1:23" x14ac:dyDescent="0.2">
      <c r="A15" s="12">
        <v>2012</v>
      </c>
      <c r="B15" s="12" t="s">
        <v>4</v>
      </c>
      <c r="C15" s="11">
        <v>113128043</v>
      </c>
      <c r="E15" s="4">
        <v>2012</v>
      </c>
      <c r="F15" s="4" t="s">
        <v>4</v>
      </c>
      <c r="G15" s="11">
        <v>7005283</v>
      </c>
      <c r="I15" s="4">
        <v>2012</v>
      </c>
      <c r="J15" s="4" t="s">
        <v>4</v>
      </c>
      <c r="K15" s="11">
        <v>1945974614</v>
      </c>
      <c r="M15" s="4">
        <v>2012</v>
      </c>
      <c r="N15" s="4" t="s">
        <v>4</v>
      </c>
      <c r="O15" s="11">
        <v>13598740</v>
      </c>
      <c r="Q15" s="4">
        <v>2012</v>
      </c>
      <c r="R15" s="4" t="s">
        <v>4</v>
      </c>
      <c r="S15" s="11">
        <v>21088671.141000003</v>
      </c>
      <c r="U15" s="4">
        <v>2012</v>
      </c>
      <c r="V15" s="4" t="s">
        <v>4</v>
      </c>
      <c r="W15" s="11">
        <v>11961046.121999998</v>
      </c>
    </row>
    <row r="16" spans="1:23" x14ac:dyDescent="0.2">
      <c r="A16" s="12">
        <v>2012</v>
      </c>
      <c r="B16" s="12" t="s">
        <v>26</v>
      </c>
      <c r="C16" s="11">
        <v>44967001411</v>
      </c>
      <c r="E16" s="4">
        <v>2012</v>
      </c>
      <c r="F16" s="4" t="s">
        <v>26</v>
      </c>
      <c r="G16" s="11">
        <v>5857709242</v>
      </c>
      <c r="I16" s="4">
        <v>2012</v>
      </c>
      <c r="J16" s="4" t="s">
        <v>26</v>
      </c>
      <c r="K16" s="11">
        <v>183922128298</v>
      </c>
      <c r="M16" s="4">
        <v>2012</v>
      </c>
      <c r="N16" s="4" t="s">
        <v>26</v>
      </c>
      <c r="O16" s="11">
        <v>8057038925</v>
      </c>
      <c r="Q16" s="4">
        <v>2012</v>
      </c>
      <c r="R16" s="4" t="s">
        <v>26</v>
      </c>
      <c r="S16" s="11">
        <v>6182173750.6299992</v>
      </c>
      <c r="U16" s="4">
        <v>2012</v>
      </c>
      <c r="V16" s="4" t="s">
        <v>26</v>
      </c>
      <c r="W16" s="11">
        <v>8033882883.1989965</v>
      </c>
    </row>
    <row r="17" spans="1:23" x14ac:dyDescent="0.2">
      <c r="A17" s="12">
        <v>2012</v>
      </c>
      <c r="B17" s="12" t="s">
        <v>27</v>
      </c>
      <c r="C17" s="11">
        <v>0</v>
      </c>
      <c r="E17" s="4">
        <v>2012</v>
      </c>
      <c r="F17" s="4" t="s">
        <v>27</v>
      </c>
      <c r="G17" s="11">
        <v>0</v>
      </c>
      <c r="I17" s="4">
        <v>2012</v>
      </c>
      <c r="J17" s="4" t="s">
        <v>27</v>
      </c>
      <c r="K17" s="11">
        <v>0</v>
      </c>
      <c r="M17" s="4">
        <v>2012</v>
      </c>
      <c r="N17" s="4" t="s">
        <v>27</v>
      </c>
      <c r="O17" s="11">
        <v>0</v>
      </c>
      <c r="Q17" s="4">
        <v>2012</v>
      </c>
      <c r="R17" s="4" t="s">
        <v>27</v>
      </c>
      <c r="S17" s="11">
        <v>0</v>
      </c>
      <c r="U17" s="4">
        <v>2012</v>
      </c>
      <c r="V17" s="4" t="s">
        <v>27</v>
      </c>
      <c r="W17" s="11">
        <v>0</v>
      </c>
    </row>
    <row r="18" spans="1:23" x14ac:dyDescent="0.2">
      <c r="A18" s="12">
        <v>2012</v>
      </c>
      <c r="B18" s="12" t="s">
        <v>28</v>
      </c>
      <c r="C18" s="11">
        <v>0</v>
      </c>
      <c r="E18" s="4">
        <v>2012</v>
      </c>
      <c r="F18" s="4" t="s">
        <v>28</v>
      </c>
      <c r="G18" s="11">
        <v>0</v>
      </c>
      <c r="I18" s="4">
        <v>2012</v>
      </c>
      <c r="J18" s="4" t="s">
        <v>28</v>
      </c>
      <c r="K18" s="11">
        <v>0</v>
      </c>
      <c r="M18" s="4">
        <v>2012</v>
      </c>
      <c r="N18" s="4" t="s">
        <v>28</v>
      </c>
      <c r="O18" s="11">
        <v>0</v>
      </c>
      <c r="Q18" s="4">
        <v>2012</v>
      </c>
      <c r="R18" s="4" t="s">
        <v>28</v>
      </c>
      <c r="S18" s="11">
        <v>0</v>
      </c>
      <c r="U18" s="4">
        <v>2012</v>
      </c>
      <c r="V18" s="4" t="s">
        <v>28</v>
      </c>
      <c r="W18" s="11">
        <v>0</v>
      </c>
    </row>
    <row r="19" spans="1:23" x14ac:dyDescent="0.2">
      <c r="A19" s="12">
        <v>2012</v>
      </c>
      <c r="B19" s="12" t="s">
        <v>29</v>
      </c>
      <c r="C19" s="11">
        <v>22409</v>
      </c>
      <c r="E19" s="4">
        <v>2012</v>
      </c>
      <c r="F19" s="4" t="s">
        <v>29</v>
      </c>
      <c r="G19" s="11">
        <v>316</v>
      </c>
      <c r="I19" s="4">
        <v>2012</v>
      </c>
      <c r="J19" s="4" t="s">
        <v>29</v>
      </c>
      <c r="K19" s="11">
        <v>656483</v>
      </c>
      <c r="M19" s="4">
        <v>2012</v>
      </c>
      <c r="N19" s="4" t="s">
        <v>29</v>
      </c>
      <c r="O19" s="11">
        <v>37350</v>
      </c>
      <c r="Q19" s="4">
        <v>2012</v>
      </c>
      <c r="R19" s="4" t="s">
        <v>29</v>
      </c>
      <c r="S19" s="11">
        <v>113827.758</v>
      </c>
      <c r="U19" s="4">
        <v>2012</v>
      </c>
      <c r="V19" s="4" t="s">
        <v>29</v>
      </c>
      <c r="W19" s="11">
        <v>14028.040999999999</v>
      </c>
    </row>
    <row r="20" spans="1:23" x14ac:dyDescent="0.2">
      <c r="A20" s="12">
        <v>2012</v>
      </c>
      <c r="B20" s="12" t="s">
        <v>30</v>
      </c>
      <c r="C20" s="11">
        <v>5420936</v>
      </c>
      <c r="E20" s="4">
        <v>2012</v>
      </c>
      <c r="F20" s="4" t="s">
        <v>30</v>
      </c>
      <c r="G20" s="11">
        <v>177835</v>
      </c>
      <c r="I20" s="4">
        <v>2012</v>
      </c>
      <c r="J20" s="4" t="s">
        <v>30</v>
      </c>
      <c r="K20" s="11">
        <v>3975949</v>
      </c>
      <c r="M20" s="4">
        <v>2012</v>
      </c>
      <c r="N20" s="4" t="s">
        <v>30</v>
      </c>
      <c r="O20" s="11">
        <v>1176883</v>
      </c>
      <c r="Q20" s="4">
        <v>2012</v>
      </c>
      <c r="R20" s="4" t="s">
        <v>30</v>
      </c>
      <c r="S20" s="11">
        <v>1366947.399</v>
      </c>
      <c r="U20" s="4">
        <v>2012</v>
      </c>
      <c r="V20" s="4" t="s">
        <v>30</v>
      </c>
      <c r="W20" s="11">
        <v>1414026.5360000003</v>
      </c>
    </row>
    <row r="21" spans="1:23" x14ac:dyDescent="0.2">
      <c r="A21" s="12">
        <v>2019</v>
      </c>
      <c r="B21" s="12" t="s">
        <v>4</v>
      </c>
      <c r="C21" s="11">
        <v>146879473.11299998</v>
      </c>
      <c r="E21" s="4">
        <v>2019</v>
      </c>
      <c r="F21" s="4" t="s">
        <v>4</v>
      </c>
      <c r="G21" s="11">
        <v>7122216.3409999991</v>
      </c>
      <c r="I21" s="4">
        <v>2019</v>
      </c>
      <c r="J21" s="4" t="s">
        <v>4</v>
      </c>
      <c r="K21" s="11">
        <v>1680540049.9689999</v>
      </c>
      <c r="M21" s="4">
        <v>2019</v>
      </c>
      <c r="N21" s="4" t="s">
        <v>4</v>
      </c>
      <c r="O21" s="11">
        <v>17859836.295000002</v>
      </c>
      <c r="Q21" s="4">
        <v>2019</v>
      </c>
      <c r="R21" s="4" t="s">
        <v>4</v>
      </c>
      <c r="S21" s="11">
        <v>34921627.182999998</v>
      </c>
      <c r="U21" s="4">
        <v>2019</v>
      </c>
      <c r="V21" s="4" t="s">
        <v>4</v>
      </c>
      <c r="W21" s="11">
        <v>17012271.848999996</v>
      </c>
    </row>
    <row r="22" spans="1:23" x14ac:dyDescent="0.2">
      <c r="A22" s="12">
        <v>2019</v>
      </c>
      <c r="B22" s="12" t="s">
        <v>26</v>
      </c>
      <c r="C22" s="11">
        <v>56280201464.155975</v>
      </c>
      <c r="E22" s="4">
        <v>2019</v>
      </c>
      <c r="F22" s="4" t="s">
        <v>26</v>
      </c>
      <c r="G22" s="11">
        <v>5433852241.2350016</v>
      </c>
      <c r="I22" s="4">
        <v>2019</v>
      </c>
      <c r="J22" s="4" t="s">
        <v>26</v>
      </c>
      <c r="K22" s="11">
        <v>165747713145.07303</v>
      </c>
      <c r="M22" s="4">
        <v>2019</v>
      </c>
      <c r="N22" s="4" t="s">
        <v>26</v>
      </c>
      <c r="O22" s="11">
        <v>8725998014.9170017</v>
      </c>
      <c r="Q22" s="4">
        <v>2019</v>
      </c>
      <c r="R22" s="4" t="s">
        <v>26</v>
      </c>
      <c r="S22" s="11">
        <v>8420438392.8069992</v>
      </c>
      <c r="U22" s="4">
        <v>2019</v>
      </c>
      <c r="V22" s="4" t="s">
        <v>26</v>
      </c>
      <c r="W22" s="11">
        <v>9641017738.1749992</v>
      </c>
    </row>
    <row r="23" spans="1:23" x14ac:dyDescent="0.2">
      <c r="A23" s="12">
        <v>2019</v>
      </c>
      <c r="B23" s="12" t="s">
        <v>27</v>
      </c>
      <c r="C23" s="11">
        <v>0</v>
      </c>
      <c r="E23" s="4">
        <v>2019</v>
      </c>
      <c r="F23" s="4" t="s">
        <v>27</v>
      </c>
      <c r="G23" s="11">
        <v>0</v>
      </c>
      <c r="I23" s="4">
        <v>2019</v>
      </c>
      <c r="J23" s="4" t="s">
        <v>27</v>
      </c>
      <c r="K23" s="11">
        <v>0</v>
      </c>
      <c r="M23" s="4">
        <v>2019</v>
      </c>
      <c r="N23" s="4" t="s">
        <v>27</v>
      </c>
      <c r="O23" s="11">
        <v>0</v>
      </c>
      <c r="Q23" s="4">
        <v>2019</v>
      </c>
      <c r="R23" s="4" t="s">
        <v>27</v>
      </c>
      <c r="S23" s="11">
        <v>0</v>
      </c>
      <c r="U23" s="4">
        <v>2019</v>
      </c>
      <c r="V23" s="4" t="s">
        <v>27</v>
      </c>
      <c r="W23" s="11">
        <v>0</v>
      </c>
    </row>
    <row r="24" spans="1:23" x14ac:dyDescent="0.2">
      <c r="A24" s="12">
        <v>2019</v>
      </c>
      <c r="B24" s="12" t="s">
        <v>28</v>
      </c>
      <c r="C24" s="11">
        <v>0</v>
      </c>
      <c r="E24" s="4">
        <v>2019</v>
      </c>
      <c r="F24" s="4" t="s">
        <v>28</v>
      </c>
      <c r="G24" s="11">
        <v>0</v>
      </c>
      <c r="I24" s="4">
        <v>2019</v>
      </c>
      <c r="J24" s="4" t="s">
        <v>28</v>
      </c>
      <c r="K24" s="11">
        <v>0</v>
      </c>
      <c r="M24" s="4">
        <v>2019</v>
      </c>
      <c r="N24" s="4" t="s">
        <v>28</v>
      </c>
      <c r="O24" s="11">
        <v>0</v>
      </c>
      <c r="Q24" s="4">
        <v>2019</v>
      </c>
      <c r="R24" s="4" t="s">
        <v>28</v>
      </c>
      <c r="S24" s="11">
        <v>0</v>
      </c>
      <c r="U24" s="4">
        <v>2019</v>
      </c>
      <c r="V24" s="4" t="s">
        <v>28</v>
      </c>
      <c r="W24" s="11">
        <v>0</v>
      </c>
    </row>
    <row r="25" spans="1:23" x14ac:dyDescent="0.2">
      <c r="A25" s="12">
        <v>2019</v>
      </c>
      <c r="B25" s="12" t="s">
        <v>29</v>
      </c>
      <c r="C25" s="11">
        <v>5542.5050000000001</v>
      </c>
      <c r="E25" s="4">
        <v>2019</v>
      </c>
      <c r="F25" s="4" t="s">
        <v>29</v>
      </c>
      <c r="G25" s="11">
        <v>6290.4489999999996</v>
      </c>
      <c r="I25" s="4">
        <v>2019</v>
      </c>
      <c r="J25" s="4" t="s">
        <v>29</v>
      </c>
      <c r="K25" s="11">
        <v>1009973.366</v>
      </c>
      <c r="M25" s="4">
        <v>2019</v>
      </c>
      <c r="N25" s="4" t="s">
        <v>29</v>
      </c>
      <c r="O25" s="11">
        <v>3806.4409999999998</v>
      </c>
      <c r="Q25" s="4">
        <v>2019</v>
      </c>
      <c r="R25" s="4" t="s">
        <v>29</v>
      </c>
      <c r="S25" s="11">
        <v>32304.987000000001</v>
      </c>
      <c r="U25" s="4">
        <v>2019</v>
      </c>
      <c r="V25" s="4" t="s">
        <v>29</v>
      </c>
      <c r="W25" s="11">
        <v>15859.005000000001</v>
      </c>
    </row>
    <row r="26" spans="1:23" x14ac:dyDescent="0.2">
      <c r="A26" s="12">
        <v>2019</v>
      </c>
      <c r="B26" s="12" t="s">
        <v>30</v>
      </c>
      <c r="C26" s="11">
        <v>16244423.196999999</v>
      </c>
      <c r="E26" s="4">
        <v>2019</v>
      </c>
      <c r="F26" s="4" t="s">
        <v>30</v>
      </c>
      <c r="G26" s="11">
        <v>127890.11600000001</v>
      </c>
      <c r="I26" s="4">
        <v>2019</v>
      </c>
      <c r="J26" s="4" t="s">
        <v>30</v>
      </c>
      <c r="K26" s="11">
        <v>7844738.0829999996</v>
      </c>
      <c r="M26" s="4">
        <v>2019</v>
      </c>
      <c r="N26" s="4" t="s">
        <v>30</v>
      </c>
      <c r="O26" s="11">
        <v>346564.788</v>
      </c>
      <c r="Q26" s="4">
        <v>2019</v>
      </c>
      <c r="R26" s="4" t="s">
        <v>30</v>
      </c>
      <c r="S26" s="11">
        <v>953593.05099999998</v>
      </c>
      <c r="U26" s="4">
        <v>2019</v>
      </c>
      <c r="V26" s="4" t="s">
        <v>30</v>
      </c>
      <c r="W26" s="11">
        <v>791047.17099999986</v>
      </c>
    </row>
    <row r="28" spans="1:23" s="7" customFormat="1" x14ac:dyDescent="0.2">
      <c r="A28" s="5" t="s">
        <v>32</v>
      </c>
      <c r="B28" s="5" t="s">
        <v>2</v>
      </c>
      <c r="C28" s="10" t="s">
        <v>36</v>
      </c>
      <c r="E28" s="5" t="s">
        <v>32</v>
      </c>
      <c r="F28" s="5" t="s">
        <v>2</v>
      </c>
      <c r="G28" s="10" t="s">
        <v>36</v>
      </c>
      <c r="H28" s="9"/>
      <c r="I28" s="5" t="s">
        <v>32</v>
      </c>
      <c r="J28" s="5" t="s">
        <v>2</v>
      </c>
      <c r="K28" s="10" t="s">
        <v>36</v>
      </c>
      <c r="L28" s="9"/>
      <c r="M28" s="5" t="s">
        <v>32</v>
      </c>
      <c r="N28" s="5" t="s">
        <v>2</v>
      </c>
      <c r="O28" s="10" t="s">
        <v>36</v>
      </c>
      <c r="P28" s="9"/>
      <c r="Q28" s="5" t="s">
        <v>32</v>
      </c>
      <c r="R28" s="5" t="s">
        <v>2</v>
      </c>
      <c r="S28" s="10" t="s">
        <v>36</v>
      </c>
      <c r="T28" s="9"/>
      <c r="U28" s="5" t="s">
        <v>32</v>
      </c>
      <c r="V28" s="5" t="s">
        <v>2</v>
      </c>
      <c r="W28" s="10" t="s">
        <v>36</v>
      </c>
    </row>
    <row r="29" spans="1:23" x14ac:dyDescent="0.2">
      <c r="A29" s="4" t="s">
        <v>33</v>
      </c>
      <c r="B29" s="4" t="s">
        <v>4</v>
      </c>
      <c r="C29" s="11">
        <f>C9-C3</f>
        <v>94843969</v>
      </c>
      <c r="E29" s="4" t="s">
        <v>33</v>
      </c>
      <c r="F29" s="4" t="s">
        <v>4</v>
      </c>
      <c r="G29" s="11">
        <f>G9-G3</f>
        <v>754415</v>
      </c>
      <c r="I29" s="4" t="s">
        <v>33</v>
      </c>
      <c r="J29" s="4" t="s">
        <v>4</v>
      </c>
      <c r="K29" s="11">
        <f>K9-K3</f>
        <v>227713596</v>
      </c>
      <c r="M29" s="4" t="s">
        <v>33</v>
      </c>
      <c r="N29" s="4" t="s">
        <v>4</v>
      </c>
      <c r="O29" s="11">
        <f>O9-O3</f>
        <v>13328158</v>
      </c>
      <c r="Q29" s="4" t="s">
        <v>33</v>
      </c>
      <c r="R29" s="4" t="s">
        <v>4</v>
      </c>
      <c r="S29" s="11">
        <f>S9-S3</f>
        <v>14972654.137999993</v>
      </c>
      <c r="U29" s="4" t="s">
        <v>33</v>
      </c>
      <c r="V29" s="4" t="s">
        <v>4</v>
      </c>
      <c r="W29" s="11">
        <f>W9-W3</f>
        <v>9039494</v>
      </c>
    </row>
    <row r="30" spans="1:23" x14ac:dyDescent="0.2">
      <c r="A30" s="4" t="s">
        <v>33</v>
      </c>
      <c r="B30" s="4" t="s">
        <v>26</v>
      </c>
      <c r="C30" s="11">
        <f t="shared" ref="C30:C34" si="0">C10-C4</f>
        <v>38400805692</v>
      </c>
      <c r="E30" s="4" t="s">
        <v>33</v>
      </c>
      <c r="F30" s="4" t="s">
        <v>26</v>
      </c>
      <c r="G30" s="11">
        <f t="shared" ref="G30:G34" si="1">G10-G4</f>
        <v>2306713988</v>
      </c>
      <c r="I30" s="4" t="s">
        <v>33</v>
      </c>
      <c r="J30" s="4" t="s">
        <v>26</v>
      </c>
      <c r="K30" s="11">
        <f t="shared" ref="K30:K34" si="2">K10-K4</f>
        <v>137476733432</v>
      </c>
      <c r="M30" s="4" t="s">
        <v>33</v>
      </c>
      <c r="N30" s="4" t="s">
        <v>26</v>
      </c>
      <c r="O30" s="11">
        <f t="shared" ref="O30:O34" si="3">O10-O4</f>
        <v>7318816835</v>
      </c>
      <c r="Q30" s="4" t="s">
        <v>33</v>
      </c>
      <c r="R30" s="4" t="s">
        <v>26</v>
      </c>
      <c r="S30" s="11">
        <f t="shared" ref="S30:S34" si="4">S10-S4</f>
        <v>5090165079.3119984</v>
      </c>
      <c r="U30" s="4" t="s">
        <v>33</v>
      </c>
      <c r="V30" s="4" t="s">
        <v>26</v>
      </c>
      <c r="W30" s="11">
        <f t="shared" ref="W30:W34" si="5">W10-W4</f>
        <v>6073689631</v>
      </c>
    </row>
    <row r="31" spans="1:23" x14ac:dyDescent="0.2">
      <c r="A31" s="4" t="s">
        <v>33</v>
      </c>
      <c r="B31" s="4" t="s">
        <v>27</v>
      </c>
      <c r="C31" s="11">
        <f t="shared" si="0"/>
        <v>0</v>
      </c>
      <c r="E31" s="4" t="s">
        <v>33</v>
      </c>
      <c r="F31" s="4" t="s">
        <v>27</v>
      </c>
      <c r="G31" s="11">
        <f t="shared" si="1"/>
        <v>0</v>
      </c>
      <c r="I31" s="4" t="s">
        <v>33</v>
      </c>
      <c r="J31" s="4" t="s">
        <v>27</v>
      </c>
      <c r="K31" s="11">
        <f t="shared" si="2"/>
        <v>0</v>
      </c>
      <c r="M31" s="4" t="s">
        <v>33</v>
      </c>
      <c r="N31" s="4" t="s">
        <v>27</v>
      </c>
      <c r="O31" s="11">
        <f t="shared" si="3"/>
        <v>0</v>
      </c>
      <c r="Q31" s="4" t="s">
        <v>33</v>
      </c>
      <c r="R31" s="4" t="s">
        <v>27</v>
      </c>
      <c r="S31" s="11">
        <f t="shared" si="4"/>
        <v>0</v>
      </c>
      <c r="U31" s="4" t="s">
        <v>33</v>
      </c>
      <c r="V31" s="4" t="s">
        <v>27</v>
      </c>
      <c r="W31" s="11">
        <f t="shared" si="5"/>
        <v>0</v>
      </c>
    </row>
    <row r="32" spans="1:23" x14ac:dyDescent="0.2">
      <c r="A32" s="4" t="s">
        <v>33</v>
      </c>
      <c r="B32" s="4" t="s">
        <v>28</v>
      </c>
      <c r="C32" s="11">
        <f t="shared" si="0"/>
        <v>0</v>
      </c>
      <c r="E32" s="4" t="s">
        <v>33</v>
      </c>
      <c r="F32" s="4" t="s">
        <v>28</v>
      </c>
      <c r="G32" s="11">
        <f t="shared" si="1"/>
        <v>0</v>
      </c>
      <c r="I32" s="4" t="s">
        <v>33</v>
      </c>
      <c r="J32" s="4" t="s">
        <v>28</v>
      </c>
      <c r="K32" s="11">
        <f t="shared" si="2"/>
        <v>0</v>
      </c>
      <c r="M32" s="4" t="s">
        <v>33</v>
      </c>
      <c r="N32" s="4" t="s">
        <v>28</v>
      </c>
      <c r="O32" s="11">
        <f t="shared" si="3"/>
        <v>0</v>
      </c>
      <c r="Q32" s="4" t="s">
        <v>33</v>
      </c>
      <c r="R32" s="4" t="s">
        <v>28</v>
      </c>
      <c r="S32" s="11">
        <f t="shared" si="4"/>
        <v>0</v>
      </c>
      <c r="U32" s="4" t="s">
        <v>33</v>
      </c>
      <c r="V32" s="4" t="s">
        <v>28</v>
      </c>
      <c r="W32" s="11">
        <f t="shared" si="5"/>
        <v>0</v>
      </c>
    </row>
    <row r="33" spans="1:23" x14ac:dyDescent="0.2">
      <c r="A33" s="4" t="s">
        <v>33</v>
      </c>
      <c r="B33" s="4" t="s">
        <v>29</v>
      </c>
      <c r="C33" s="11">
        <f t="shared" si="0"/>
        <v>-1374</v>
      </c>
      <c r="E33" s="4" t="s">
        <v>33</v>
      </c>
      <c r="F33" s="4" t="s">
        <v>29</v>
      </c>
      <c r="G33" s="11">
        <f t="shared" si="1"/>
        <v>2351</v>
      </c>
      <c r="I33" s="4" t="s">
        <v>33</v>
      </c>
      <c r="J33" s="4" t="s">
        <v>29</v>
      </c>
      <c r="K33" s="11">
        <f t="shared" si="2"/>
        <v>362563</v>
      </c>
      <c r="M33" s="4" t="s">
        <v>33</v>
      </c>
      <c r="N33" s="4" t="s">
        <v>29</v>
      </c>
      <c r="O33" s="11">
        <f t="shared" si="3"/>
        <v>-2333</v>
      </c>
      <c r="Q33" s="4" t="s">
        <v>33</v>
      </c>
      <c r="R33" s="4" t="s">
        <v>29</v>
      </c>
      <c r="S33" s="11">
        <f t="shared" si="4"/>
        <v>119105.481</v>
      </c>
      <c r="U33" s="4" t="s">
        <v>33</v>
      </c>
      <c r="V33" s="4" t="s">
        <v>29</v>
      </c>
      <c r="W33" s="11">
        <f t="shared" si="5"/>
        <v>90</v>
      </c>
    </row>
    <row r="34" spans="1:23" x14ac:dyDescent="0.2">
      <c r="A34" s="4" t="s">
        <v>33</v>
      </c>
      <c r="B34" s="4" t="s">
        <v>30</v>
      </c>
      <c r="C34" s="11">
        <f t="shared" si="0"/>
        <v>1390782</v>
      </c>
      <c r="E34" s="4" t="s">
        <v>33</v>
      </c>
      <c r="F34" s="4" t="s">
        <v>30</v>
      </c>
      <c r="G34" s="11">
        <f t="shared" si="1"/>
        <v>1848432</v>
      </c>
      <c r="I34" s="4" t="s">
        <v>33</v>
      </c>
      <c r="J34" s="4" t="s">
        <v>30</v>
      </c>
      <c r="K34" s="11">
        <f t="shared" si="2"/>
        <v>285158559</v>
      </c>
      <c r="M34" s="4" t="s">
        <v>33</v>
      </c>
      <c r="N34" s="4" t="s">
        <v>30</v>
      </c>
      <c r="O34" s="11">
        <f t="shared" si="3"/>
        <v>32103667</v>
      </c>
      <c r="Q34" s="4" t="s">
        <v>33</v>
      </c>
      <c r="R34" s="4" t="s">
        <v>30</v>
      </c>
      <c r="S34" s="11">
        <f t="shared" si="4"/>
        <v>1072335.148</v>
      </c>
      <c r="U34" s="4" t="s">
        <v>33</v>
      </c>
      <c r="V34" s="4" t="s">
        <v>30</v>
      </c>
      <c r="W34" s="11">
        <f t="shared" si="5"/>
        <v>1160221</v>
      </c>
    </row>
    <row r="35" spans="1:23" x14ac:dyDescent="0.2">
      <c r="A35" s="4" t="s">
        <v>34</v>
      </c>
      <c r="B35" s="4" t="s">
        <v>4</v>
      </c>
      <c r="C35" s="11">
        <f>C21-C15</f>
        <v>33751430.112999976</v>
      </c>
      <c r="E35" s="4" t="s">
        <v>34</v>
      </c>
      <c r="F35" s="4" t="s">
        <v>4</v>
      </c>
      <c r="G35" s="11">
        <f>G21-G15</f>
        <v>116933.34099999908</v>
      </c>
      <c r="I35" s="4" t="s">
        <v>34</v>
      </c>
      <c r="J35" s="4" t="s">
        <v>4</v>
      </c>
      <c r="K35" s="11">
        <f>K21-K15</f>
        <v>-265434564.03100014</v>
      </c>
      <c r="M35" s="4" t="s">
        <v>34</v>
      </c>
      <c r="N35" s="4" t="s">
        <v>4</v>
      </c>
      <c r="O35" s="11">
        <f>O21-O15</f>
        <v>4261096.2950000018</v>
      </c>
      <c r="Q35" s="4" t="s">
        <v>34</v>
      </c>
      <c r="R35" s="4" t="s">
        <v>4</v>
      </c>
      <c r="S35" s="11">
        <f>S21-S15</f>
        <v>13832956.041999996</v>
      </c>
      <c r="U35" s="4" t="s">
        <v>34</v>
      </c>
      <c r="V35" s="4" t="s">
        <v>4</v>
      </c>
      <c r="W35" s="11">
        <f>W21-W15</f>
        <v>5051225.7269999981</v>
      </c>
    </row>
    <row r="36" spans="1:23" x14ac:dyDescent="0.2">
      <c r="A36" s="4" t="s">
        <v>34</v>
      </c>
      <c r="B36" s="4" t="s">
        <v>26</v>
      </c>
      <c r="C36" s="11">
        <f t="shared" ref="C36:C40" si="6">C22-C16</f>
        <v>11313200053.155975</v>
      </c>
      <c r="E36" s="4" t="s">
        <v>34</v>
      </c>
      <c r="F36" s="4" t="s">
        <v>26</v>
      </c>
      <c r="G36" s="11">
        <f t="shared" ref="G36:G40" si="7">G22-G16</f>
        <v>-423857000.76499844</v>
      </c>
      <c r="I36" s="4" t="s">
        <v>34</v>
      </c>
      <c r="J36" s="4" t="s">
        <v>26</v>
      </c>
      <c r="K36" s="11">
        <f t="shared" ref="K36:K40" si="8">K22-K16</f>
        <v>-18174415152.926971</v>
      </c>
      <c r="M36" s="4" t="s">
        <v>34</v>
      </c>
      <c r="N36" s="4" t="s">
        <v>26</v>
      </c>
      <c r="O36" s="11">
        <f t="shared" ref="O36:O40" si="9">O22-O16</f>
        <v>668959089.91700172</v>
      </c>
      <c r="Q36" s="4" t="s">
        <v>34</v>
      </c>
      <c r="R36" s="4" t="s">
        <v>26</v>
      </c>
      <c r="S36" s="11">
        <f t="shared" ref="S36:S40" si="10">S22-S16</f>
        <v>2238264642.177</v>
      </c>
      <c r="U36" s="4" t="s">
        <v>34</v>
      </c>
      <c r="V36" s="4" t="s">
        <v>26</v>
      </c>
      <c r="W36" s="11">
        <f t="shared" ref="W36:W40" si="11">W22-W16</f>
        <v>1607134854.9760027</v>
      </c>
    </row>
    <row r="37" spans="1:23" x14ac:dyDescent="0.2">
      <c r="A37" s="4" t="s">
        <v>34</v>
      </c>
      <c r="B37" s="4" t="s">
        <v>27</v>
      </c>
      <c r="C37" s="11">
        <f t="shared" si="6"/>
        <v>0</v>
      </c>
      <c r="E37" s="4" t="s">
        <v>34</v>
      </c>
      <c r="F37" s="4" t="s">
        <v>27</v>
      </c>
      <c r="G37" s="11">
        <f t="shared" si="7"/>
        <v>0</v>
      </c>
      <c r="I37" s="4" t="s">
        <v>34</v>
      </c>
      <c r="J37" s="4" t="s">
        <v>27</v>
      </c>
      <c r="K37" s="11">
        <f t="shared" si="8"/>
        <v>0</v>
      </c>
      <c r="M37" s="4" t="s">
        <v>34</v>
      </c>
      <c r="N37" s="4" t="s">
        <v>27</v>
      </c>
      <c r="O37" s="11">
        <f t="shared" si="9"/>
        <v>0</v>
      </c>
      <c r="Q37" s="4" t="s">
        <v>34</v>
      </c>
      <c r="R37" s="4" t="s">
        <v>27</v>
      </c>
      <c r="S37" s="11">
        <f t="shared" si="10"/>
        <v>0</v>
      </c>
      <c r="U37" s="4" t="s">
        <v>34</v>
      </c>
      <c r="V37" s="4" t="s">
        <v>27</v>
      </c>
      <c r="W37" s="11">
        <f t="shared" si="11"/>
        <v>0</v>
      </c>
    </row>
    <row r="38" spans="1:23" x14ac:dyDescent="0.2">
      <c r="A38" s="4" t="s">
        <v>34</v>
      </c>
      <c r="B38" s="4" t="s">
        <v>28</v>
      </c>
      <c r="C38" s="11">
        <f t="shared" si="6"/>
        <v>0</v>
      </c>
      <c r="E38" s="4" t="s">
        <v>34</v>
      </c>
      <c r="F38" s="4" t="s">
        <v>28</v>
      </c>
      <c r="G38" s="11">
        <f t="shared" si="7"/>
        <v>0</v>
      </c>
      <c r="I38" s="4" t="s">
        <v>34</v>
      </c>
      <c r="J38" s="4" t="s">
        <v>28</v>
      </c>
      <c r="K38" s="11">
        <f t="shared" si="8"/>
        <v>0</v>
      </c>
      <c r="M38" s="4" t="s">
        <v>34</v>
      </c>
      <c r="N38" s="4" t="s">
        <v>28</v>
      </c>
      <c r="O38" s="11">
        <f t="shared" si="9"/>
        <v>0</v>
      </c>
      <c r="Q38" s="4" t="s">
        <v>34</v>
      </c>
      <c r="R38" s="4" t="s">
        <v>28</v>
      </c>
      <c r="S38" s="11">
        <f t="shared" si="10"/>
        <v>0</v>
      </c>
      <c r="U38" s="4" t="s">
        <v>34</v>
      </c>
      <c r="V38" s="4" t="s">
        <v>28</v>
      </c>
      <c r="W38" s="11">
        <f t="shared" si="11"/>
        <v>0</v>
      </c>
    </row>
    <row r="39" spans="1:23" x14ac:dyDescent="0.2">
      <c r="A39" s="4" t="s">
        <v>34</v>
      </c>
      <c r="B39" s="4" t="s">
        <v>29</v>
      </c>
      <c r="C39" s="11">
        <f t="shared" si="6"/>
        <v>-16866.494999999999</v>
      </c>
      <c r="E39" s="4" t="s">
        <v>34</v>
      </c>
      <c r="F39" s="4" t="s">
        <v>29</v>
      </c>
      <c r="G39" s="11">
        <f t="shared" si="7"/>
        <v>5974.4489999999996</v>
      </c>
      <c r="I39" s="4" t="s">
        <v>34</v>
      </c>
      <c r="J39" s="4" t="s">
        <v>29</v>
      </c>
      <c r="K39" s="11">
        <f t="shared" si="8"/>
        <v>353490.36600000004</v>
      </c>
      <c r="M39" s="4" t="s">
        <v>34</v>
      </c>
      <c r="N39" s="4" t="s">
        <v>29</v>
      </c>
      <c r="O39" s="11">
        <f t="shared" si="9"/>
        <v>-33543.559000000001</v>
      </c>
      <c r="Q39" s="4" t="s">
        <v>34</v>
      </c>
      <c r="R39" s="4" t="s">
        <v>29</v>
      </c>
      <c r="S39" s="11">
        <f t="shared" si="10"/>
        <v>-81522.771000000008</v>
      </c>
      <c r="U39" s="4" t="s">
        <v>34</v>
      </c>
      <c r="V39" s="4" t="s">
        <v>29</v>
      </c>
      <c r="W39" s="11">
        <f t="shared" si="11"/>
        <v>1830.9640000000018</v>
      </c>
    </row>
    <row r="40" spans="1:23" x14ac:dyDescent="0.2">
      <c r="A40" s="4" t="s">
        <v>34</v>
      </c>
      <c r="B40" s="4" t="s">
        <v>30</v>
      </c>
      <c r="C40" s="11">
        <f t="shared" si="6"/>
        <v>10823487.196999999</v>
      </c>
      <c r="E40" s="4" t="s">
        <v>34</v>
      </c>
      <c r="F40" s="4" t="s">
        <v>30</v>
      </c>
      <c r="G40" s="11">
        <f t="shared" si="7"/>
        <v>-49944.883999999991</v>
      </c>
      <c r="I40" s="4" t="s">
        <v>34</v>
      </c>
      <c r="J40" s="4" t="s">
        <v>30</v>
      </c>
      <c r="K40" s="11">
        <f t="shared" si="8"/>
        <v>3868789.0829999996</v>
      </c>
      <c r="M40" s="4" t="s">
        <v>34</v>
      </c>
      <c r="N40" s="4" t="s">
        <v>30</v>
      </c>
      <c r="O40" s="11">
        <f t="shared" si="9"/>
        <v>-830318.21200000006</v>
      </c>
      <c r="Q40" s="4" t="s">
        <v>34</v>
      </c>
      <c r="R40" s="4" t="s">
        <v>30</v>
      </c>
      <c r="S40" s="11">
        <f t="shared" si="10"/>
        <v>-413354.348</v>
      </c>
      <c r="U40" s="4" t="s">
        <v>34</v>
      </c>
      <c r="V40" s="4" t="s">
        <v>30</v>
      </c>
      <c r="W40" s="11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C1E3-CA1A-0A4A-B9CD-C52F192DD928}">
  <dimension ref="A1:C40"/>
  <sheetViews>
    <sheetView workbookViewId="0">
      <selection activeCell="G14" sqref="G14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s="5" t="s">
        <v>32</v>
      </c>
      <c r="B1" s="5" t="s">
        <v>2</v>
      </c>
      <c r="C1" s="10" t="s">
        <v>47</v>
      </c>
    </row>
    <row r="2" spans="1:3" x14ac:dyDescent="0.2">
      <c r="A2" s="4" t="s">
        <v>33</v>
      </c>
      <c r="B2" s="4" t="s">
        <v>4</v>
      </c>
      <c r="C2" s="11">
        <v>360652286.13800001</v>
      </c>
    </row>
    <row r="3" spans="1:3" x14ac:dyDescent="0.2">
      <c r="A3" s="4" t="s">
        <v>33</v>
      </c>
      <c r="B3" s="4" t="s">
        <v>26</v>
      </c>
      <c r="C3" s="11">
        <v>196666924657.31201</v>
      </c>
    </row>
    <row r="4" spans="1:3" x14ac:dyDescent="0.2">
      <c r="A4" s="4" t="s">
        <v>33</v>
      </c>
      <c r="B4" s="4" t="s">
        <v>27</v>
      </c>
      <c r="C4" s="11">
        <v>0</v>
      </c>
    </row>
    <row r="5" spans="1:3" x14ac:dyDescent="0.2">
      <c r="A5" s="4" t="s">
        <v>33</v>
      </c>
      <c r="B5" s="4" t="s">
        <v>28</v>
      </c>
      <c r="C5" s="11">
        <v>0</v>
      </c>
    </row>
    <row r="6" spans="1:3" x14ac:dyDescent="0.2">
      <c r="A6" s="4" t="s">
        <v>33</v>
      </c>
      <c r="B6" s="4" t="s">
        <v>29</v>
      </c>
      <c r="C6" s="11">
        <v>486074.48100000003</v>
      </c>
    </row>
    <row r="7" spans="1:3" x14ac:dyDescent="0.2">
      <c r="A7" s="4" t="s">
        <v>33</v>
      </c>
      <c r="B7" s="4" t="s">
        <v>30</v>
      </c>
      <c r="C7" s="11">
        <v>-9328676.7050000001</v>
      </c>
    </row>
    <row r="8" spans="1:3" x14ac:dyDescent="0.2">
      <c r="A8" s="4" t="s">
        <v>34</v>
      </c>
      <c r="B8" s="4" t="s">
        <v>4</v>
      </c>
      <c r="C8" s="11">
        <v>-208420922.51300019</v>
      </c>
    </row>
    <row r="9" spans="1:3" x14ac:dyDescent="0.2">
      <c r="A9" s="4" t="s">
        <v>34</v>
      </c>
      <c r="B9" s="4" t="s">
        <v>26</v>
      </c>
      <c r="C9" s="11">
        <v>-2770704731.1709652</v>
      </c>
    </row>
    <row r="10" spans="1:3" x14ac:dyDescent="0.2">
      <c r="A10" s="4" t="s">
        <v>34</v>
      </c>
      <c r="B10" s="4" t="s">
        <v>27</v>
      </c>
      <c r="C10" s="11">
        <v>0</v>
      </c>
    </row>
    <row r="11" spans="1:3" x14ac:dyDescent="0.2">
      <c r="A11" s="4" t="s">
        <v>34</v>
      </c>
      <c r="B11" s="4" t="s">
        <v>28</v>
      </c>
      <c r="C11" s="11">
        <v>0</v>
      </c>
    </row>
    <row r="12" spans="1:3" x14ac:dyDescent="0.2">
      <c r="A12" s="4" t="s">
        <v>34</v>
      </c>
      <c r="B12" s="4" t="s">
        <v>29</v>
      </c>
      <c r="C12" s="11">
        <v>229362.95400000006</v>
      </c>
    </row>
    <row r="13" spans="1:3" x14ac:dyDescent="0.2">
      <c r="A13" s="4" t="s">
        <v>34</v>
      </c>
      <c r="B13" s="4" t="s">
        <v>30</v>
      </c>
      <c r="C13" s="11">
        <v>12775679.470999999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6B28-82C2-304A-8718-96C4471C0B63}">
  <dimension ref="A1:E13"/>
  <sheetViews>
    <sheetView workbookViewId="0">
      <selection activeCell="J26" sqref="J26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s="7" customFormat="1" x14ac:dyDescent="0.2">
      <c r="A1" s="5" t="s">
        <v>32</v>
      </c>
      <c r="B1" s="8" t="s">
        <v>2</v>
      </c>
      <c r="C1" s="5" t="s">
        <v>35</v>
      </c>
      <c r="D1" s="8" t="s">
        <v>47</v>
      </c>
      <c r="E1" s="8" t="s">
        <v>48</v>
      </c>
    </row>
    <row r="2" spans="1:5" x14ac:dyDescent="0.2">
      <c r="A2" s="4" t="s">
        <v>33</v>
      </c>
      <c r="B2" s="4" t="s">
        <v>4</v>
      </c>
      <c r="C2" s="6">
        <f>L_i!C2</f>
        <v>1053900</v>
      </c>
      <c r="D2" s="11">
        <f>delta_M_OC!C2</f>
        <v>360652286.13800001</v>
      </c>
      <c r="E2" s="11">
        <f>D2/C2</f>
        <v>342.20731202011575</v>
      </c>
    </row>
    <row r="3" spans="1:5" x14ac:dyDescent="0.2">
      <c r="A3" s="4" t="s">
        <v>33</v>
      </c>
      <c r="B3" s="4" t="s">
        <v>26</v>
      </c>
      <c r="C3" s="6">
        <f>L_i!C3</f>
        <v>5066000</v>
      </c>
      <c r="D3" s="11">
        <f>delta_M_OC!C3</f>
        <v>196666924657.31201</v>
      </c>
      <c r="E3" s="11">
        <f t="shared" ref="E3:E13" si="0">D3/C3</f>
        <v>38820.948412418482</v>
      </c>
    </row>
    <row r="4" spans="1:5" x14ac:dyDescent="0.2">
      <c r="A4" s="4" t="s">
        <v>33</v>
      </c>
      <c r="B4" s="4" t="s">
        <v>27</v>
      </c>
      <c r="C4" s="6">
        <f>L_i!C4</f>
        <v>1550400</v>
      </c>
      <c r="D4" s="11">
        <f>delta_M_OC!C4</f>
        <v>0</v>
      </c>
      <c r="E4" s="11">
        <f t="shared" si="0"/>
        <v>0</v>
      </c>
    </row>
    <row r="5" spans="1:5" x14ac:dyDescent="0.2">
      <c r="A5" s="4" t="s">
        <v>33</v>
      </c>
      <c r="B5" s="4" t="s">
        <v>28</v>
      </c>
      <c r="C5" s="6">
        <f>L_i!C5</f>
        <v>5016100</v>
      </c>
      <c r="D5" s="11">
        <f>delta_M_OC!C5</f>
        <v>0</v>
      </c>
      <c r="E5" s="11">
        <f t="shared" si="0"/>
        <v>0</v>
      </c>
    </row>
    <row r="6" spans="1:5" x14ac:dyDescent="0.2">
      <c r="A6" s="4" t="s">
        <v>33</v>
      </c>
      <c r="B6" s="4" t="s">
        <v>29</v>
      </c>
      <c r="C6" s="6">
        <f>L_i!C6</f>
        <v>1996600</v>
      </c>
      <c r="D6" s="11">
        <f>delta_M_OC!C6</f>
        <v>486074.48100000003</v>
      </c>
      <c r="E6" s="11">
        <f t="shared" si="0"/>
        <v>0.24345110738255035</v>
      </c>
    </row>
    <row r="7" spans="1:5" x14ac:dyDescent="0.2">
      <c r="A7" s="4" t="s">
        <v>33</v>
      </c>
      <c r="B7" s="4" t="s">
        <v>30</v>
      </c>
      <c r="C7" s="6">
        <f>L_i!C7</f>
        <v>5608400</v>
      </c>
      <c r="D7" s="11">
        <f>delta_M_OC!C7</f>
        <v>-9328676.7050000001</v>
      </c>
      <c r="E7" s="11">
        <f t="shared" si="0"/>
        <v>-1.6633401157192782</v>
      </c>
    </row>
    <row r="8" spans="1:5" x14ac:dyDescent="0.2">
      <c r="A8" s="4" t="s">
        <v>34</v>
      </c>
      <c r="B8" s="4" t="s">
        <v>4</v>
      </c>
      <c r="C8" s="6">
        <f>L_i!C16</f>
        <v>1673500</v>
      </c>
      <c r="D8" s="11">
        <f>delta_M_OC!C8</f>
        <v>-208420922.51300019</v>
      </c>
      <c r="E8" s="11">
        <f t="shared" si="0"/>
        <v>-124.54193158828814</v>
      </c>
    </row>
    <row r="9" spans="1:5" x14ac:dyDescent="0.2">
      <c r="A9" s="4" t="s">
        <v>34</v>
      </c>
      <c r="B9" s="4" t="s">
        <v>26</v>
      </c>
      <c r="C9" s="6">
        <f>L_i!C17</f>
        <v>6057500</v>
      </c>
      <c r="D9" s="11">
        <f>delta_M_OC!C9</f>
        <v>-2770704731.1709652</v>
      </c>
      <c r="E9" s="11">
        <f t="shared" si="0"/>
        <v>-457.40069850119113</v>
      </c>
    </row>
    <row r="10" spans="1:5" x14ac:dyDescent="0.2">
      <c r="A10" s="4" t="s">
        <v>34</v>
      </c>
      <c r="B10" s="4" t="s">
        <v>27</v>
      </c>
      <c r="C10" s="6">
        <f>L_i!C18</f>
        <v>2907100</v>
      </c>
      <c r="D10" s="11">
        <f>delta_M_OC!C10</f>
        <v>0</v>
      </c>
      <c r="E10" s="11">
        <f t="shared" si="0"/>
        <v>0</v>
      </c>
    </row>
    <row r="11" spans="1:5" x14ac:dyDescent="0.2">
      <c r="A11" s="4" t="s">
        <v>34</v>
      </c>
      <c r="B11" s="4" t="s">
        <v>28</v>
      </c>
      <c r="C11" s="6">
        <f>L_i!C19</f>
        <v>6250800</v>
      </c>
      <c r="D11" s="11">
        <f>delta_M_OC!C11</f>
        <v>0</v>
      </c>
      <c r="E11" s="11">
        <f t="shared" si="0"/>
        <v>0</v>
      </c>
    </row>
    <row r="12" spans="1:5" x14ac:dyDescent="0.2">
      <c r="A12" s="4" t="s">
        <v>34</v>
      </c>
      <c r="B12" s="4" t="s">
        <v>29</v>
      </c>
      <c r="C12" s="6">
        <f>L_i!C20</f>
        <v>832000</v>
      </c>
      <c r="D12" s="11">
        <f>delta_M_OC!C12</f>
        <v>229362.95400000006</v>
      </c>
      <c r="E12" s="11">
        <f t="shared" si="0"/>
        <v>0.27567662740384624</v>
      </c>
    </row>
    <row r="13" spans="1:5" x14ac:dyDescent="0.2">
      <c r="A13" s="4" t="s">
        <v>34</v>
      </c>
      <c r="B13" s="4" t="s">
        <v>30</v>
      </c>
      <c r="C13" s="6">
        <f>L_i!C21</f>
        <v>4586400</v>
      </c>
      <c r="D13" s="11">
        <f>delta_M_OC!C13</f>
        <v>12775679.470999999</v>
      </c>
      <c r="E13" s="11">
        <f t="shared" si="0"/>
        <v>2.7855571845020055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3610-163A-964C-95C2-68251291D8F8}">
  <dimension ref="A1:R23"/>
  <sheetViews>
    <sheetView workbookViewId="0">
      <selection activeCell="J27" sqref="J27"/>
    </sheetView>
  </sheetViews>
  <sheetFormatPr baseColWidth="10" defaultRowHeight="16" x14ac:dyDescent="0.2"/>
  <cols>
    <col min="1" max="1" width="32.1640625" bestFit="1" customWidth="1"/>
    <col min="2" max="2" width="11" bestFit="1" customWidth="1"/>
    <col min="3" max="3" width="12.6640625" bestFit="1" customWidth="1"/>
    <col min="4" max="7" width="11" bestFit="1" customWidth="1"/>
    <col min="8" max="8" width="18.5" bestFit="1" customWidth="1"/>
    <col min="11" max="11" width="32.1640625" bestFit="1" customWidth="1"/>
    <col min="12" max="12" width="11" bestFit="1" customWidth="1"/>
    <col min="13" max="13" width="11.33203125" bestFit="1" customWidth="1"/>
    <col min="14" max="17" width="11" bestFit="1" customWidth="1"/>
    <col min="18" max="18" width="18.5" bestFit="1" customWidth="1"/>
  </cols>
  <sheetData>
    <row r="1" spans="1:18" x14ac:dyDescent="0.2">
      <c r="A1" s="19" t="s">
        <v>49</v>
      </c>
      <c r="B1" s="19"/>
      <c r="C1" s="19"/>
      <c r="D1" s="19"/>
      <c r="E1" s="19"/>
      <c r="F1" s="19"/>
      <c r="G1" s="19"/>
      <c r="H1" s="19"/>
      <c r="K1" s="19" t="s">
        <v>50</v>
      </c>
      <c r="L1" s="19"/>
      <c r="M1" s="19"/>
      <c r="N1" s="19"/>
      <c r="O1" s="19"/>
      <c r="P1" s="19"/>
      <c r="Q1" s="19"/>
      <c r="R1" s="19"/>
    </row>
    <row r="2" spans="1:18" x14ac:dyDescent="0.2">
      <c r="A2" s="5"/>
      <c r="B2" s="5" t="s">
        <v>4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53</v>
      </c>
      <c r="K2" s="8"/>
      <c r="L2" s="8" t="s">
        <v>4</v>
      </c>
      <c r="M2" s="8" t="s">
        <v>26</v>
      </c>
      <c r="N2" s="8" t="s">
        <v>27</v>
      </c>
      <c r="O2" s="8" t="s">
        <v>28</v>
      </c>
      <c r="P2" s="8" t="s">
        <v>29</v>
      </c>
      <c r="Q2" s="8" t="s">
        <v>30</v>
      </c>
      <c r="R2" s="8" t="s">
        <v>54</v>
      </c>
    </row>
    <row r="3" spans="1:18" x14ac:dyDescent="0.2">
      <c r="A3" s="5" t="s">
        <v>5</v>
      </c>
      <c r="B3" s="6">
        <f>s_ri!B3*shock_OC!$E$2</f>
        <v>17.606009744059623</v>
      </c>
      <c r="C3" s="6">
        <f>s_ri!C3*shock_OC!$E$3</f>
        <v>220.76956623376427</v>
      </c>
      <c r="D3" s="6">
        <f>s_ri!D3*shock_OC!$E$4</f>
        <v>0</v>
      </c>
      <c r="E3" s="6">
        <f>s_ri!E3*shock_OC!$E$5</f>
        <v>0</v>
      </c>
      <c r="F3" s="6">
        <f>s_ri!F3*shock_OC!$E$6</f>
        <v>3.5953060286991176E-2</v>
      </c>
      <c r="G3" s="6">
        <f>s_ri!G3*shock_OC!$E$7</f>
        <v>-0.58469641885422641</v>
      </c>
      <c r="H3" s="6">
        <f>SUM(B3:G3)/1000</f>
        <v>0.23782683261925666</v>
      </c>
      <c r="K3" s="8" t="s">
        <v>5</v>
      </c>
      <c r="L3" s="6">
        <f>s_ri!K3*shock_OC!$E$8</f>
        <v>-3.4344334967621162</v>
      </c>
      <c r="M3" s="6">
        <f>s_ri!L3*shock_OC!$E$9</f>
        <v>-116.88700804158492</v>
      </c>
      <c r="N3" s="6">
        <f>s_ri!M3*shock_OC!$E$10</f>
        <v>0</v>
      </c>
      <c r="O3" s="6">
        <f>s_ri!N3*shock_OC!$E$11</f>
        <v>0</v>
      </c>
      <c r="P3" s="6">
        <f>s_ri!O3*shock_OC!$E$12</f>
        <v>3.5688549630208684E-2</v>
      </c>
      <c r="Q3" s="6">
        <f>s_ri!P3*shock_OC!$E$13</f>
        <v>0.72372858946960272</v>
      </c>
      <c r="R3" s="6">
        <f>SUM(L3:Q3)/1000</f>
        <v>-0.11956202439924722</v>
      </c>
    </row>
    <row r="4" spans="1:18" x14ac:dyDescent="0.2">
      <c r="A4" s="5" t="s">
        <v>6</v>
      </c>
      <c r="B4" s="6">
        <f>s_ri!B4*shock_OC!$E$2</f>
        <v>6.9838226942880697</v>
      </c>
      <c r="C4" s="6">
        <f>s_ri!C4*shock_OC!$E$3</f>
        <v>26173.015511287969</v>
      </c>
      <c r="D4" s="6">
        <f>s_ri!D4*shock_OC!$E$4</f>
        <v>0</v>
      </c>
      <c r="E4" s="6">
        <f>s_ri!E4*shock_OC!$E$5</f>
        <v>0</v>
      </c>
      <c r="F4" s="6">
        <f>s_ri!F4*shock_OC!$E$6</f>
        <v>6.9202574255972761E-3</v>
      </c>
      <c r="G4" s="6">
        <f>s_ri!G4*shock_OC!$E$7</f>
        <v>-0.20609899393023126</v>
      </c>
      <c r="H4" s="6">
        <f t="shared" ref="H4:H23" si="0">SUM(B4:G4)/1000</f>
        <v>26.179800155245754</v>
      </c>
      <c r="K4" s="8" t="s">
        <v>6</v>
      </c>
      <c r="L4" s="6">
        <f>s_ri!K4*shock_OC!$E$8</f>
        <v>-5.0199243058619016</v>
      </c>
      <c r="M4" s="6">
        <f>s_ri!L4*shock_OC!$E$9</f>
        <v>-50.919847433913787</v>
      </c>
      <c r="N4" s="6">
        <f>s_ri!M4*shock_OC!$E$10</f>
        <v>0</v>
      </c>
      <c r="O4" s="6">
        <f>s_ri!N4*shock_OC!$E$11</f>
        <v>0</v>
      </c>
      <c r="P4" s="6">
        <f>s_ri!O4*shock_OC!$E$12</f>
        <v>2.5927360350841585E-2</v>
      </c>
      <c r="Q4" s="6">
        <f>s_ri!P4*shock_OC!$E$13</f>
        <v>1.0158461901254916</v>
      </c>
      <c r="R4" s="6">
        <f t="shared" ref="R4:R23" si="1">SUM(L4:Q4)/1000</f>
        <v>-5.489799818929935E-2</v>
      </c>
    </row>
    <row r="5" spans="1:18" x14ac:dyDescent="0.2">
      <c r="A5" s="5" t="s">
        <v>7</v>
      </c>
      <c r="B5" s="6">
        <f>s_ri!B5*shock_OC!$E$2</f>
        <v>3.8719158000911436</v>
      </c>
      <c r="C5" s="6">
        <f>s_ri!C5*shock_OC!$E$3</f>
        <v>27996.640303793269</v>
      </c>
      <c r="D5" s="6">
        <f>s_ri!D5*shock_OC!$E$4</f>
        <v>0</v>
      </c>
      <c r="E5" s="6">
        <f>s_ri!E5*shock_OC!$E$5</f>
        <v>0</v>
      </c>
      <c r="F5" s="6">
        <f>s_ri!F5*shock_OC!$E$6</f>
        <v>1.0215312556761551E-2</v>
      </c>
      <c r="G5" s="6">
        <f>s_ri!G5*shock_OC!$E$7</f>
        <v>-0.16209716615549483</v>
      </c>
      <c r="H5" s="6">
        <f t="shared" si="0"/>
        <v>28.00036033773976</v>
      </c>
      <c r="K5" s="8" t="s">
        <v>7</v>
      </c>
      <c r="L5" s="6">
        <f>s_ri!K5*shock_OC!$E$8</f>
        <v>-2.6110288486063733</v>
      </c>
      <c r="M5" s="6">
        <f>s_ri!L5*shock_OC!$E$9</f>
        <v>-55.177288920692774</v>
      </c>
      <c r="N5" s="6">
        <f>s_ri!M5*shock_OC!$E$10</f>
        <v>0</v>
      </c>
      <c r="O5" s="6">
        <f>s_ri!N5*shock_OC!$E$11</f>
        <v>0</v>
      </c>
      <c r="P5" s="6">
        <f>s_ri!O5*shock_OC!$E$12</f>
        <v>3.8163553078203009E-2</v>
      </c>
      <c r="Q5" s="6">
        <f>s_ri!P5*shock_OC!$E$13</f>
        <v>0.88618724405454818</v>
      </c>
      <c r="R5" s="6">
        <f t="shared" si="1"/>
        <v>-5.6863966972166398E-2</v>
      </c>
    </row>
    <row r="6" spans="1:18" x14ac:dyDescent="0.2">
      <c r="A6" s="5" t="s">
        <v>8</v>
      </c>
      <c r="B6" s="6">
        <f>s_ri!B6*shock_OC!$E$2</f>
        <v>9.5812818835273053</v>
      </c>
      <c r="C6" s="6">
        <f>s_ri!C6*shock_OC!$E$3</f>
        <v>1653.3749992301989</v>
      </c>
      <c r="D6" s="6">
        <f>s_ri!D6*shock_OC!$E$4</f>
        <v>0</v>
      </c>
      <c r="E6" s="6">
        <f>s_ri!E6*shock_OC!$E$5</f>
        <v>0</v>
      </c>
      <c r="F6" s="6">
        <f>s_ri!F6*shock_OC!$E$6</f>
        <v>4.5212348513902212E-2</v>
      </c>
      <c r="G6" s="6">
        <f>s_ri!G6*shock_OC!$E$7</f>
        <v>-0.49455460125129336</v>
      </c>
      <c r="H6" s="6">
        <f t="shared" si="0"/>
        <v>1.6625069388609885</v>
      </c>
      <c r="K6" s="8" t="s">
        <v>8</v>
      </c>
      <c r="L6" s="6">
        <f>s_ri!K6*shock_OC!$E$8</f>
        <v>-1.5584037986313533</v>
      </c>
      <c r="M6" s="6">
        <f>s_ri!L6*shock_OC!$E$9</f>
        <v>-122.62084601833428</v>
      </c>
      <c r="N6" s="6">
        <f>s_ri!M6*shock_OC!$E$10</f>
        <v>0</v>
      </c>
      <c r="O6" s="6">
        <f>s_ri!N6*shock_OC!$E$11</f>
        <v>0</v>
      </c>
      <c r="P6" s="6">
        <f>s_ri!O6*shock_OC!$E$12</f>
        <v>4.1320958076916069E-2</v>
      </c>
      <c r="Q6" s="6">
        <f>s_ri!P6*shock_OC!$E$13</f>
        <v>0.6350693340034882</v>
      </c>
      <c r="R6" s="6">
        <f t="shared" si="1"/>
        <v>-0.12350285952488524</v>
      </c>
    </row>
    <row r="7" spans="1:18" x14ac:dyDescent="0.2">
      <c r="A7" s="5" t="s">
        <v>9</v>
      </c>
      <c r="B7" s="6">
        <f>s_ri!B7*shock_OC!$E$2</f>
        <v>26.776150081004907</v>
      </c>
      <c r="C7" s="6">
        <f>s_ri!C7*shock_OC!$E$3</f>
        <v>2220.6410917595636</v>
      </c>
      <c r="D7" s="6">
        <f>s_ri!D7*shock_OC!$E$4</f>
        <v>0</v>
      </c>
      <c r="E7" s="6">
        <f>s_ri!E7*shock_OC!$E$5</f>
        <v>0</v>
      </c>
      <c r="F7" s="6">
        <f>s_ri!F7*shock_OC!$E$6</f>
        <v>2.5109954169865892E-2</v>
      </c>
      <c r="G7" s="6">
        <f>s_ri!G7*shock_OC!$E$7</f>
        <v>-0.59996589236228859</v>
      </c>
      <c r="H7" s="6">
        <f t="shared" si="0"/>
        <v>2.2468423859023754</v>
      </c>
      <c r="K7" s="8" t="s">
        <v>9</v>
      </c>
      <c r="L7" s="6">
        <f>s_ri!K7*shock_OC!$E$8</f>
        <v>-3.0135196947959106</v>
      </c>
      <c r="M7" s="6">
        <f>s_ri!L7*shock_OC!$E$9</f>
        <v>-102.67799331950285</v>
      </c>
      <c r="N7" s="6">
        <f>s_ri!M7*shock_OC!$E$10</f>
        <v>0</v>
      </c>
      <c r="O7" s="6">
        <f>s_ri!N7*shock_OC!$E$11</f>
        <v>0</v>
      </c>
      <c r="P7" s="6">
        <f>s_ri!O7*shock_OC!$E$12</f>
        <v>3.0661877834466021E-2</v>
      </c>
      <c r="Q7" s="6">
        <f>s_ri!P7*shock_OC!$E$13</f>
        <v>0.76180854273184162</v>
      </c>
      <c r="R7" s="6">
        <f t="shared" si="1"/>
        <v>-0.10489904259373246</v>
      </c>
    </row>
    <row r="8" spans="1:18" x14ac:dyDescent="0.2">
      <c r="A8" s="5" t="s">
        <v>10</v>
      </c>
      <c r="B8" s="6">
        <f>s_ri!B8*shock_OC!$E$2</f>
        <v>13.003052266144325</v>
      </c>
      <c r="C8" s="6">
        <f>s_ri!C8*shock_OC!$E$3</f>
        <v>28963.518206370121</v>
      </c>
      <c r="D8" s="6">
        <f>s_ri!D8*shock_OC!$E$4</f>
        <v>0</v>
      </c>
      <c r="E8" s="6">
        <f>s_ri!E8*shock_OC!$E$5</f>
        <v>0</v>
      </c>
      <c r="F8" s="6">
        <f>s_ri!F8*shock_OC!$E$6</f>
        <v>5.432865484411558E-3</v>
      </c>
      <c r="G8" s="6">
        <f>s_ri!G8*shock_OC!$E$7</f>
        <v>-0.16252177246473043</v>
      </c>
      <c r="H8" s="6">
        <f t="shared" si="0"/>
        <v>28.976364169729283</v>
      </c>
      <c r="K8" s="8" t="s">
        <v>10</v>
      </c>
      <c r="L8" s="6">
        <f>s_ri!K8*shock_OC!$E$8</f>
        <v>-8.164686317431805</v>
      </c>
      <c r="M8" s="6">
        <f>s_ri!L8*shock_OC!$E$9</f>
        <v>-83.245136909218729</v>
      </c>
      <c r="N8" s="6">
        <f>s_ri!M8*shock_OC!$E$10</f>
        <v>0</v>
      </c>
      <c r="O8" s="6">
        <f>s_ri!N8*shock_OC!$E$11</f>
        <v>0</v>
      </c>
      <c r="P8" s="6">
        <f>s_ri!O8*shock_OC!$E$12</f>
        <v>2.9401910359118631E-2</v>
      </c>
      <c r="Q8" s="6">
        <f>s_ri!P8*shock_OC!$E$13</f>
        <v>0.84765976945217592</v>
      </c>
      <c r="R8" s="6">
        <f t="shared" si="1"/>
        <v>-9.0532761546839244E-2</v>
      </c>
    </row>
    <row r="9" spans="1:18" x14ac:dyDescent="0.2">
      <c r="A9" s="5" t="s">
        <v>11</v>
      </c>
      <c r="B9" s="6">
        <f>s_ri!B9*shock_OC!$E$2</f>
        <v>26.286650665713807</v>
      </c>
      <c r="C9" s="6">
        <f>s_ri!C9*shock_OC!$E$3</f>
        <v>5213.3585455820603</v>
      </c>
      <c r="D9" s="6">
        <f>s_ri!D9*shock_OC!$E$4</f>
        <v>0</v>
      </c>
      <c r="E9" s="6">
        <f>s_ri!E9*shock_OC!$E$5</f>
        <v>0</v>
      </c>
      <c r="F9" s="6">
        <f>s_ri!F9*shock_OC!$E$6</f>
        <v>1.8961330812531856E-2</v>
      </c>
      <c r="G9" s="6">
        <f>s_ri!G9*shock_OC!$E$7</f>
        <v>-0.61313755085296107</v>
      </c>
      <c r="H9" s="6">
        <f t="shared" si="0"/>
        <v>5.2390510200277332</v>
      </c>
      <c r="K9" s="8" t="s">
        <v>11</v>
      </c>
      <c r="L9" s="6">
        <f>s_ri!K9*shock_OC!$E$8</f>
        <v>-4.8687104523814977</v>
      </c>
      <c r="M9" s="6">
        <f>s_ri!L9*shock_OC!$E$9</f>
        <v>-63.927992866215668</v>
      </c>
      <c r="N9" s="6">
        <f>s_ri!M9*shock_OC!$E$10</f>
        <v>0</v>
      </c>
      <c r="O9" s="6">
        <f>s_ri!N9*shock_OC!$E$11</f>
        <v>0</v>
      </c>
      <c r="P9" s="6">
        <f>s_ri!O9*shock_OC!$E$12</f>
        <v>3.5553568235603031E-2</v>
      </c>
      <c r="Q9" s="6">
        <f>s_ri!P9*shock_OC!$E$13</f>
        <v>0.88628938588339123</v>
      </c>
      <c r="R9" s="6">
        <f t="shared" si="1"/>
        <v>-6.7874860364478179E-2</v>
      </c>
    </row>
    <row r="10" spans="1:18" x14ac:dyDescent="0.2">
      <c r="A10" s="5" t="s">
        <v>12</v>
      </c>
      <c r="B10" s="6">
        <f>s_ri!B10*shock_OC!$E$2</f>
        <v>46.021221440961888</v>
      </c>
      <c r="C10" s="6">
        <f>s_ri!C10*shock_OC!$E$3</f>
        <v>1343.3802769834078</v>
      </c>
      <c r="D10" s="6">
        <f>s_ri!D10*shock_OC!$E$4</f>
        <v>0</v>
      </c>
      <c r="E10" s="6">
        <f>s_ri!E10*shock_OC!$E$5</f>
        <v>0</v>
      </c>
      <c r="F10" s="6">
        <f>s_ri!F10*shock_OC!$E$6</f>
        <v>1.7020946067000341E-2</v>
      </c>
      <c r="G10" s="6">
        <f>s_ri!G10*shock_OC!$E$7</f>
        <v>-0.63969456427783378</v>
      </c>
      <c r="H10" s="6">
        <f t="shared" si="0"/>
        <v>1.388778824806159</v>
      </c>
      <c r="K10" s="8" t="s">
        <v>12</v>
      </c>
      <c r="L10" s="6">
        <f>s_ri!K10*shock_OC!$E$8</f>
        <v>-10.838624588143302</v>
      </c>
      <c r="M10" s="6">
        <f>s_ri!L10*shock_OC!$E$9</f>
        <v>-71.952359468660276</v>
      </c>
      <c r="N10" s="6">
        <f>s_ri!M10*shock_OC!$E$10</f>
        <v>0</v>
      </c>
      <c r="O10" s="6">
        <f>s_ri!N10*shock_OC!$E$11</f>
        <v>0</v>
      </c>
      <c r="P10" s="6">
        <f>s_ri!O10*shock_OC!$E$12</f>
        <v>3.2433875785690611E-2</v>
      </c>
      <c r="Q10" s="6">
        <f>s_ri!P10*shock_OC!$E$13</f>
        <v>0.80021876753468935</v>
      </c>
      <c r="R10" s="6">
        <f t="shared" si="1"/>
        <v>-8.1958331413483201E-2</v>
      </c>
    </row>
    <row r="11" spans="1:18" x14ac:dyDescent="0.2">
      <c r="A11" s="5" t="s">
        <v>13</v>
      </c>
      <c r="B11" s="6">
        <f>s_ri!B11*shock_OC!$E$2</f>
        <v>41.218247666288455</v>
      </c>
      <c r="C11" s="6">
        <f>s_ri!C11*shock_OC!$E$3</f>
        <v>8525.3847493938629</v>
      </c>
      <c r="D11" s="6">
        <f>s_ri!D11*shock_OC!$E$4</f>
        <v>0</v>
      </c>
      <c r="E11" s="6">
        <f>s_ri!E11*shock_OC!$E$5</f>
        <v>0</v>
      </c>
      <c r="F11" s="6">
        <f>s_ri!F11*shock_OC!$E$6</f>
        <v>1.1047361175342621E-2</v>
      </c>
      <c r="G11" s="6">
        <f>s_ri!G11*shock_OC!$E$7</f>
        <v>-0.48455846508348727</v>
      </c>
      <c r="H11" s="6">
        <f t="shared" si="0"/>
        <v>8.5661294859562442</v>
      </c>
      <c r="K11" s="8" t="s">
        <v>13</v>
      </c>
      <c r="L11" s="6">
        <f>s_ri!K11*shock_OC!$E$8</f>
        <v>-9.606923733473316</v>
      </c>
      <c r="M11" s="6">
        <f>s_ri!L11*shock_OC!$E$9</f>
        <v>-80.537294593557974</v>
      </c>
      <c r="N11" s="6">
        <f>s_ri!M11*shock_OC!$E$10</f>
        <v>0</v>
      </c>
      <c r="O11" s="6">
        <f>s_ri!N11*shock_OC!$E$11</f>
        <v>0</v>
      </c>
      <c r="P11" s="6">
        <f>s_ri!O11*shock_OC!$E$12</f>
        <v>2.8661739908952148E-2</v>
      </c>
      <c r="Q11" s="6">
        <f>s_ri!P11*shock_OC!$E$13</f>
        <v>0.83146312829741253</v>
      </c>
      <c r="R11" s="6">
        <f t="shared" si="1"/>
        <v>-8.9284093458824931E-2</v>
      </c>
    </row>
    <row r="12" spans="1:18" x14ac:dyDescent="0.2">
      <c r="A12" s="5" t="s">
        <v>14</v>
      </c>
      <c r="B12" s="6">
        <f>s_ri!B12*shock_OC!$E$2</f>
        <v>35.822888745923755</v>
      </c>
      <c r="C12" s="6">
        <f>s_ri!C12*shock_OC!$E$3</f>
        <v>8025.2999190855217</v>
      </c>
      <c r="D12" s="6">
        <f>s_ri!D12*shock_OC!$E$4</f>
        <v>0</v>
      </c>
      <c r="E12" s="6">
        <f>s_ri!E12*shock_OC!$E$5</f>
        <v>0</v>
      </c>
      <c r="F12" s="6">
        <f>s_ri!F12*shock_OC!$E$6</f>
        <v>1.4006666085807792E-2</v>
      </c>
      <c r="G12" s="6">
        <f>s_ri!G12*shock_OC!$E$7</f>
        <v>-0.54018793735030957</v>
      </c>
      <c r="H12" s="6">
        <f t="shared" si="0"/>
        <v>8.0605966265601818</v>
      </c>
      <c r="K12" s="8" t="s">
        <v>14</v>
      </c>
      <c r="L12" s="6">
        <f>s_ri!K12*shock_OC!$E$8</f>
        <v>-12.984110016388117</v>
      </c>
      <c r="M12" s="6">
        <f>s_ri!L12*shock_OC!$E$9</f>
        <v>-40.440658552324869</v>
      </c>
      <c r="N12" s="6">
        <f>s_ri!M12*shock_OC!$E$10</f>
        <v>0</v>
      </c>
      <c r="O12" s="6">
        <f>s_ri!N12*shock_OC!$E$11</f>
        <v>0</v>
      </c>
      <c r="P12" s="6">
        <f>s_ri!O12*shock_OC!$E$12</f>
        <v>3.239670073377305E-2</v>
      </c>
      <c r="Q12" s="6">
        <f>s_ri!P12*shock_OC!$E$13</f>
        <v>0.89277389961935705</v>
      </c>
      <c r="R12" s="6">
        <f t="shared" si="1"/>
        <v>-5.249959796835986E-2</v>
      </c>
    </row>
    <row r="13" spans="1:18" x14ac:dyDescent="0.2">
      <c r="A13" s="5" t="s">
        <v>15</v>
      </c>
      <c r="B13" s="6">
        <f>s_ri!B13*shock_OC!$E$2</f>
        <v>32.74154466632482</v>
      </c>
      <c r="C13" s="6">
        <f>s_ri!C13*shock_OC!$E$3</f>
        <v>1866.5730416850072</v>
      </c>
      <c r="D13" s="6">
        <f>s_ri!D13*shock_OC!$E$4</f>
        <v>0</v>
      </c>
      <c r="E13" s="6">
        <f>s_ri!E13*shock_OC!$E$5</f>
        <v>0</v>
      </c>
      <c r="F13" s="6">
        <f>s_ri!F13*shock_OC!$E$6</f>
        <v>1.879976982701579E-2</v>
      </c>
      <c r="G13" s="6">
        <f>s_ri!G13*shock_OC!$E$7</f>
        <v>-0.70053089056883633</v>
      </c>
      <c r="H13" s="6">
        <f t="shared" si="0"/>
        <v>1.8986328552305902</v>
      </c>
      <c r="K13" s="8" t="s">
        <v>15</v>
      </c>
      <c r="L13" s="6">
        <f>s_ri!K13*shock_OC!$E$8</f>
        <v>-10.183240426538754</v>
      </c>
      <c r="M13" s="6">
        <f>s_ri!L13*shock_OC!$E$9</f>
        <v>-41.834622496780433</v>
      </c>
      <c r="N13" s="6">
        <f>s_ri!M13*shock_OC!$E$10</f>
        <v>0</v>
      </c>
      <c r="O13" s="6">
        <f>s_ri!N13*shock_OC!$E$11</f>
        <v>0</v>
      </c>
      <c r="P13" s="6">
        <f>s_ri!O13*shock_OC!$E$12</f>
        <v>3.0659549661339484E-2</v>
      </c>
      <c r="Q13" s="6">
        <f>s_ri!P13*shock_OC!$E$13</f>
        <v>1.0458940832402972</v>
      </c>
      <c r="R13" s="6">
        <f t="shared" si="1"/>
        <v>-5.0941309290417548E-2</v>
      </c>
    </row>
    <row r="14" spans="1:18" x14ac:dyDescent="0.2">
      <c r="A14" s="5" t="s">
        <v>16</v>
      </c>
      <c r="B14" s="6">
        <f>s_ri!B14*shock_OC!$E$2</f>
        <v>28.043960217416124</v>
      </c>
      <c r="C14" s="6">
        <f>s_ri!C14*shock_OC!$E$3</f>
        <v>2802.8402588219151</v>
      </c>
      <c r="D14" s="6">
        <f>s_ri!D14*shock_OC!$E$4</f>
        <v>0</v>
      </c>
      <c r="E14" s="6">
        <f>s_ri!E14*shock_OC!$E$5</f>
        <v>0</v>
      </c>
      <c r="F14" s="6">
        <f>s_ri!F14*shock_OC!$E$6</f>
        <v>1.6718322934361863E-2</v>
      </c>
      <c r="G14" s="6">
        <f>s_ri!G14*shock_OC!$E$7</f>
        <v>-0.62979164132524534</v>
      </c>
      <c r="H14" s="6">
        <f t="shared" si="0"/>
        <v>2.8302711457209404</v>
      </c>
      <c r="K14" s="8" t="s">
        <v>16</v>
      </c>
      <c r="L14" s="6">
        <f>s_ri!K14*shock_OC!$E$8</f>
        <v>-6.9201938791484316</v>
      </c>
      <c r="M14" s="6">
        <f>s_ri!L14*shock_OC!$E$9</f>
        <v>-41.884190671132096</v>
      </c>
      <c r="N14" s="6">
        <f>s_ri!M14*shock_OC!$E$10</f>
        <v>0</v>
      </c>
      <c r="O14" s="6">
        <f>s_ri!N14*shock_OC!$E$11</f>
        <v>0</v>
      </c>
      <c r="P14" s="6">
        <f>s_ri!O14*shock_OC!$E$12</f>
        <v>3.5408007189484843E-2</v>
      </c>
      <c r="Q14" s="6">
        <f>s_ri!P14*shock_OC!$E$13</f>
        <v>1.0029355969818543</v>
      </c>
      <c r="R14" s="6">
        <f t="shared" si="1"/>
        <v>-4.7766040946109194E-2</v>
      </c>
    </row>
    <row r="15" spans="1:18" x14ac:dyDescent="0.2">
      <c r="A15" s="5" t="s">
        <v>17</v>
      </c>
      <c r="B15" s="6">
        <f>s_ri!B15*shock_OC!$E$2</f>
        <v>36.390826351407433</v>
      </c>
      <c r="C15" s="6">
        <f>s_ri!C15*shock_OC!$E$3</f>
        <v>6836.2743301868641</v>
      </c>
      <c r="D15" s="6">
        <f>s_ri!D15*shock_OC!$E$4</f>
        <v>0</v>
      </c>
      <c r="E15" s="6">
        <f>s_ri!E15*shock_OC!$E$5</f>
        <v>0</v>
      </c>
      <c r="F15" s="6">
        <f>s_ri!F15*shock_OC!$E$6</f>
        <v>1.6863442560157149E-2</v>
      </c>
      <c r="G15" s="6">
        <f>s_ri!G15*shock_OC!$E$7</f>
        <v>-0.46492384697909583</v>
      </c>
      <c r="H15" s="6">
        <f t="shared" si="0"/>
        <v>6.8722170961338529</v>
      </c>
      <c r="K15" s="8" t="s">
        <v>17</v>
      </c>
      <c r="L15" s="6">
        <f>s_ri!K15*shock_OC!$E$8</f>
        <v>-7.4904507774404552</v>
      </c>
      <c r="M15" s="6">
        <f>s_ri!L15*shock_OC!$E$9</f>
        <v>-61.800433215535776</v>
      </c>
      <c r="N15" s="6">
        <f>s_ri!M15*shock_OC!$E$10</f>
        <v>0</v>
      </c>
      <c r="O15" s="6">
        <f>s_ri!N15*shock_OC!$E$11</f>
        <v>0</v>
      </c>
      <c r="P15" s="6">
        <f>s_ri!O15*shock_OC!$E$12</f>
        <v>2.8723613020476994E-2</v>
      </c>
      <c r="Q15" s="6">
        <f>s_ri!P15*shock_OC!$E$13</f>
        <v>0.81407643257364837</v>
      </c>
      <c r="R15" s="6">
        <f t="shared" si="1"/>
        <v>-6.844808394738211E-2</v>
      </c>
    </row>
    <row r="16" spans="1:18" x14ac:dyDescent="0.2">
      <c r="A16" s="5" t="s">
        <v>18</v>
      </c>
      <c r="B16" s="6">
        <f>s_ri!B16*shock_OC!$E$2</f>
        <v>4.0621731282963385</v>
      </c>
      <c r="C16" s="6">
        <f>s_ri!C16*shock_OC!$E$3</f>
        <v>31703.774536808425</v>
      </c>
      <c r="D16" s="6">
        <f>s_ri!D16*shock_OC!$E$4</f>
        <v>0</v>
      </c>
      <c r="E16" s="6">
        <f>s_ri!E16*shock_OC!$E$5</f>
        <v>0</v>
      </c>
      <c r="F16" s="6">
        <f>s_ri!F16*shock_OC!$E$6</f>
        <v>4.6997156221331672E-3</v>
      </c>
      <c r="G16" s="6">
        <f>s_ri!G16*shock_OC!$E$7</f>
        <v>-0.10650163330864441</v>
      </c>
      <c r="H16" s="6">
        <f t="shared" si="0"/>
        <v>31.707734908019031</v>
      </c>
      <c r="K16" s="8" t="s">
        <v>18</v>
      </c>
      <c r="L16" s="6">
        <f>s_ri!K16*shock_OC!$E$8</f>
        <v>-4.5420515347372081</v>
      </c>
      <c r="M16" s="6">
        <f>s_ri!L16*shock_OC!$E$9</f>
        <v>-84.230925568206743</v>
      </c>
      <c r="N16" s="6">
        <f>s_ri!M16*shock_OC!$E$10</f>
        <v>0</v>
      </c>
      <c r="O16" s="6">
        <f>s_ri!N16*shock_OC!$E$11</f>
        <v>0</v>
      </c>
      <c r="P16" s="6">
        <f>s_ri!O16*shock_OC!$E$12</f>
        <v>3.3016651458542594E-2</v>
      </c>
      <c r="Q16" s="6">
        <f>s_ri!P16*shock_OC!$E$13</f>
        <v>0.88922109131558846</v>
      </c>
      <c r="R16" s="6">
        <f t="shared" si="1"/>
        <v>-8.7850739360169822E-2</v>
      </c>
    </row>
    <row r="17" spans="1:18" x14ac:dyDescent="0.2">
      <c r="A17" s="5" t="s">
        <v>19</v>
      </c>
      <c r="B17" s="6">
        <f>s_ri!B17*shock_OC!$E$2</f>
        <v>21.282337460510284</v>
      </c>
      <c r="C17" s="6">
        <f>s_ri!C17*shock_OC!$E$3</f>
        <v>3738.3135508254836</v>
      </c>
      <c r="D17" s="6">
        <f>s_ri!D17*shock_OC!$E$4</f>
        <v>0</v>
      </c>
      <c r="E17" s="6">
        <f>s_ri!E17*shock_OC!$E$5</f>
        <v>0</v>
      </c>
      <c r="F17" s="6">
        <f>s_ri!F17*shock_OC!$E$6</f>
        <v>3.0318679576808356E-2</v>
      </c>
      <c r="G17" s="6">
        <f>s_ri!G17*shock_OC!$E$7</f>
        <v>-0.49797528155793203</v>
      </c>
      <c r="H17" s="6">
        <f t="shared" si="0"/>
        <v>3.7591282316840129</v>
      </c>
      <c r="K17" s="8" t="s">
        <v>19</v>
      </c>
      <c r="L17" s="6">
        <f>s_ri!K17*shock_OC!$E$8</f>
        <v>-4.2604227009076183</v>
      </c>
      <c r="M17" s="6">
        <f>s_ri!L17*shock_OC!$E$9</f>
        <v>-129.01102170633945</v>
      </c>
      <c r="N17" s="6">
        <f>s_ri!M17*shock_OC!$E$10</f>
        <v>0</v>
      </c>
      <c r="O17" s="6">
        <f>s_ri!N17*shock_OC!$E$11</f>
        <v>0</v>
      </c>
      <c r="P17" s="6">
        <f>s_ri!O17*shock_OC!$E$12</f>
        <v>2.9854504421339099E-2</v>
      </c>
      <c r="Q17" s="6">
        <f>s_ri!P17*shock_OC!$E$13</f>
        <v>0.63409960523260112</v>
      </c>
      <c r="R17" s="6">
        <f t="shared" si="1"/>
        <v>-0.13260749029759314</v>
      </c>
    </row>
    <row r="18" spans="1:18" x14ac:dyDescent="0.2">
      <c r="A18" s="5" t="s">
        <v>20</v>
      </c>
      <c r="B18" s="6">
        <f>s_ri!B18*shock_OC!$E$2</f>
        <v>8.5899801738925028</v>
      </c>
      <c r="C18" s="6">
        <f>s_ri!C18*shock_OC!$E$3</f>
        <v>23464.003799301401</v>
      </c>
      <c r="D18" s="6">
        <f>s_ri!D18*shock_OC!$E$4</f>
        <v>0</v>
      </c>
      <c r="E18" s="6">
        <f>s_ri!E18*shock_OC!$E$5</f>
        <v>0</v>
      </c>
      <c r="F18" s="6">
        <f>s_ri!F18*shock_OC!$E$6</f>
        <v>1.1712813301147684E-2</v>
      </c>
      <c r="G18" s="6">
        <f>s_ri!G18*shock_OC!$E$7</f>
        <v>-0.23756478817187596</v>
      </c>
      <c r="H18" s="6">
        <f t="shared" si="0"/>
        <v>23.472367927500425</v>
      </c>
      <c r="K18" s="8" t="s">
        <v>20</v>
      </c>
      <c r="L18" s="6">
        <f>s_ri!K18*shock_OC!$E$8</f>
        <v>-2.4086896378028042</v>
      </c>
      <c r="M18" s="6">
        <f>s_ri!L18*shock_OC!$E$9</f>
        <v>-121.52034029805667</v>
      </c>
      <c r="N18" s="6">
        <f>s_ri!M18*shock_OC!$E$10</f>
        <v>0</v>
      </c>
      <c r="O18" s="6">
        <f>s_ri!N18*shock_OC!$E$11</f>
        <v>0</v>
      </c>
      <c r="P18" s="6">
        <f>s_ri!O18*shock_OC!$E$12</f>
        <v>3.5918778814833387E-2</v>
      </c>
      <c r="Q18" s="6">
        <f>s_ri!P18*shock_OC!$E$13</f>
        <v>0.78882533461772997</v>
      </c>
      <c r="R18" s="6">
        <f t="shared" si="1"/>
        <v>-0.12310428582242691</v>
      </c>
    </row>
    <row r="19" spans="1:18" x14ac:dyDescent="0.2">
      <c r="A19" s="5" t="s">
        <v>21</v>
      </c>
      <c r="B19" s="6">
        <f>s_ri!B19*shock_OC!$E$2</f>
        <v>23.267095011559928</v>
      </c>
      <c r="C19" s="6">
        <f>s_ri!C19*shock_OC!$E$3</f>
        <v>9611.3275710787075</v>
      </c>
      <c r="D19" s="6">
        <f>s_ri!D19*shock_OC!$E$4</f>
        <v>0</v>
      </c>
      <c r="E19" s="6">
        <f>s_ri!E19*shock_OC!$E$5</f>
        <v>0</v>
      </c>
      <c r="F19" s="6">
        <f>s_ri!F19*shock_OC!$E$6</f>
        <v>2.5614034069212976E-2</v>
      </c>
      <c r="G19" s="6">
        <f>s_ri!G19*shock_OC!$E$7</f>
        <v>-0.39775524506330573</v>
      </c>
      <c r="H19" s="6">
        <f t="shared" si="0"/>
        <v>9.6342225248792754</v>
      </c>
      <c r="K19" s="8" t="s">
        <v>21</v>
      </c>
      <c r="L19" s="6">
        <f>s_ri!K19*shock_OC!$E$8</f>
        <v>-4.1042527868991154</v>
      </c>
      <c r="M19" s="6">
        <f>s_ri!L19*shock_OC!$E$9</f>
        <v>-120.90388873033501</v>
      </c>
      <c r="N19" s="6">
        <f>s_ri!M19*shock_OC!$E$10</f>
        <v>0</v>
      </c>
      <c r="O19" s="6">
        <f>s_ri!N19*shock_OC!$E$11</f>
        <v>0</v>
      </c>
      <c r="P19" s="6">
        <f>s_ri!O19*shock_OC!$E$12</f>
        <v>3.6427234251516512E-2</v>
      </c>
      <c r="Q19" s="6">
        <f>s_ri!P19*shock_OC!$E$13</f>
        <v>0.68929384161180496</v>
      </c>
      <c r="R19" s="6">
        <f t="shared" si="1"/>
        <v>-0.12428242044137081</v>
      </c>
    </row>
    <row r="20" spans="1:18" x14ac:dyDescent="0.2">
      <c r="A20" s="5" t="s">
        <v>22</v>
      </c>
      <c r="B20" s="6">
        <f>s_ri!B20*shock_OC!$E$2</f>
        <v>14.233695776929984</v>
      </c>
      <c r="C20" s="6">
        <f>s_ri!C20*shock_OC!$E$3</f>
        <v>2878.5601203766082</v>
      </c>
      <c r="D20" s="6">
        <f>s_ri!D20*shock_OC!$E$4</f>
        <v>0</v>
      </c>
      <c r="E20" s="6">
        <f>s_ri!E20*shock_OC!$E$5</f>
        <v>0</v>
      </c>
      <c r="F20" s="6">
        <f>s_ri!F20*shock_OC!$E$6</f>
        <v>3.0330837673899855E-2</v>
      </c>
      <c r="G20" s="6">
        <f>s_ri!G20*shock_OC!$E$7</f>
        <v>-0.53359433644211252</v>
      </c>
      <c r="H20" s="6">
        <f t="shared" si="0"/>
        <v>2.8922905526547695</v>
      </c>
      <c r="K20" s="8" t="s">
        <v>22</v>
      </c>
      <c r="L20" s="6">
        <f>s_ri!K20*shock_OC!$E$8</f>
        <v>-3.3915473746327884</v>
      </c>
      <c r="M20" s="6">
        <f>s_ri!L20*shock_OC!$E$9</f>
        <v>-85.334360290321428</v>
      </c>
      <c r="N20" s="6">
        <f>s_ri!M20*shock_OC!$E$10</f>
        <v>0</v>
      </c>
      <c r="O20" s="6">
        <f>s_ri!N20*shock_OC!$E$11</f>
        <v>0</v>
      </c>
      <c r="P20" s="6">
        <f>s_ri!O20*shock_OC!$E$12</f>
        <v>3.9059848399719342E-2</v>
      </c>
      <c r="Q20" s="6">
        <f>s_ri!P20*shock_OC!$E$13</f>
        <v>0.78935557475467977</v>
      </c>
      <c r="R20" s="6">
        <f t="shared" si="1"/>
        <v>-8.7897492241799824E-2</v>
      </c>
    </row>
    <row r="21" spans="1:18" x14ac:dyDescent="0.2">
      <c r="A21" s="5" t="s">
        <v>23</v>
      </c>
      <c r="B21" s="6">
        <f>s_ri!B21*shock_OC!$E$2</f>
        <v>11.021041791194646</v>
      </c>
      <c r="C21" s="6">
        <f>s_ri!C21*shock_OC!$E$3</f>
        <v>17791.435579185298</v>
      </c>
      <c r="D21" s="6">
        <f>s_ri!D21*shock_OC!$E$4</f>
        <v>0</v>
      </c>
      <c r="E21" s="6">
        <f>s_ri!E21*shock_OC!$E$5</f>
        <v>0</v>
      </c>
      <c r="F21" s="6">
        <f>s_ri!F21*shock_OC!$E$6</f>
        <v>1.3876036240988739E-2</v>
      </c>
      <c r="G21" s="6">
        <f>s_ri!G21*shock_OC!$E$7</f>
        <v>-0.35417274475116239</v>
      </c>
      <c r="H21" s="6">
        <f t="shared" si="0"/>
        <v>17.802116324267985</v>
      </c>
      <c r="K21" s="8" t="s">
        <v>23</v>
      </c>
      <c r="L21" s="6">
        <f>s_ri!K21*shock_OC!$E$8</f>
        <v>-3.4343928885014146</v>
      </c>
      <c r="M21" s="6">
        <f>s_ri!L21*shock_OC!$E$9</f>
        <v>-98.915390532187914</v>
      </c>
      <c r="N21" s="6">
        <f>s_ri!M21*shock_OC!$E$10</f>
        <v>0</v>
      </c>
      <c r="O21" s="6">
        <f>s_ri!N21*shock_OC!$E$11</f>
        <v>0</v>
      </c>
      <c r="P21" s="6">
        <f>s_ri!O21*shock_OC!$E$12</f>
        <v>3.1128652557357382E-2</v>
      </c>
      <c r="Q21" s="6">
        <f>s_ri!P21*shock_OC!$E$13</f>
        <v>0.7810880232885159</v>
      </c>
      <c r="R21" s="6">
        <f t="shared" si="1"/>
        <v>-0.10153756674484346</v>
      </c>
    </row>
    <row r="22" spans="1:18" x14ac:dyDescent="0.2">
      <c r="A22" s="5" t="s">
        <v>24</v>
      </c>
      <c r="B22" s="6">
        <f>s_ri!B22*shock_OC!$E$2</f>
        <v>12.355282216029353</v>
      </c>
      <c r="C22" s="6">
        <f>s_ri!C22*shock_OC!$E$3</f>
        <v>14884.149648020664</v>
      </c>
      <c r="D22" s="6">
        <f>s_ri!D22*shock_OC!$E$4</f>
        <v>0</v>
      </c>
      <c r="E22" s="6">
        <f>s_ri!E22*shock_OC!$E$5</f>
        <v>0</v>
      </c>
      <c r="F22" s="6">
        <f>s_ri!F22*shock_OC!$E$6</f>
        <v>2.0038953356927371E-2</v>
      </c>
      <c r="G22" s="6">
        <f>s_ri!G22*shock_OC!$E$7</f>
        <v>-0.37024331161422841</v>
      </c>
      <c r="H22" s="6">
        <f t="shared" si="0"/>
        <v>14.896154725878436</v>
      </c>
      <c r="K22" s="8" t="s">
        <v>24</v>
      </c>
      <c r="L22" s="6">
        <f>s_ri!K22*shock_OC!$E$8</f>
        <v>-2.6038750688637227</v>
      </c>
      <c r="M22" s="6">
        <f>s_ri!L22*shock_OC!$E$9</f>
        <v>-134.62555404832463</v>
      </c>
      <c r="N22" s="6">
        <f>s_ri!M22*shock_OC!$E$10</f>
        <v>0</v>
      </c>
      <c r="O22" s="6">
        <f>s_ri!N22*shock_OC!$E$11</f>
        <v>0</v>
      </c>
      <c r="P22" s="6">
        <f>s_ri!O22*shock_OC!$E$12</f>
        <v>3.1946319058954627E-2</v>
      </c>
      <c r="Q22" s="6">
        <f>s_ri!P22*shock_OC!$E$13</f>
        <v>0.71783402323471446</v>
      </c>
      <c r="R22" s="6">
        <f t="shared" si="1"/>
        <v>-0.13647964877489469</v>
      </c>
    </row>
    <row r="23" spans="1:18" x14ac:dyDescent="0.2">
      <c r="A23" s="5" t="s">
        <v>25</v>
      </c>
      <c r="B23" s="6">
        <f>s_ri!B23*shock_OC!$E$2</f>
        <v>8.6023809785819463</v>
      </c>
      <c r="C23" s="6">
        <f>s_ri!C23*shock_OC!$E$3</f>
        <v>8846.2223535134472</v>
      </c>
      <c r="D23" s="6">
        <f>s_ri!D23*shock_OC!$E$4</f>
        <v>0</v>
      </c>
      <c r="E23" s="6">
        <f>s_ri!E23*shock_OC!$E$5</f>
        <v>0</v>
      </c>
      <c r="F23" s="6">
        <f>s_ri!F23*shock_OC!$E$6</f>
        <v>3.1346738892528911E-2</v>
      </c>
      <c r="G23" s="6">
        <f>s_ri!G23*shock_OC!$E$7</f>
        <v>-0.52609265449446874</v>
      </c>
      <c r="H23" s="6">
        <f t="shared" si="0"/>
        <v>8.8543299885764277</v>
      </c>
      <c r="K23" s="8" t="s">
        <v>25</v>
      </c>
      <c r="L23" s="6">
        <f>s_ri!K23*shock_OC!$E$8</f>
        <v>-1.9656094910245512</v>
      </c>
      <c r="M23" s="6">
        <f>s_ri!L23*shock_OC!$E$9</f>
        <v>-46.336059014985779</v>
      </c>
      <c r="N23" s="6">
        <f>s_ri!M23*shock_OC!$E$10</f>
        <v>0</v>
      </c>
      <c r="O23" s="6">
        <f>s_ri!N23*shock_OC!$E$11</f>
        <v>0</v>
      </c>
      <c r="P23" s="6">
        <f>s_ri!O23*shock_OC!$E$12</f>
        <v>4.3104512121137271E-2</v>
      </c>
      <c r="Q23" s="6">
        <f>s_ri!P23*shock_OC!$E$13</f>
        <v>0.99339952262498132</v>
      </c>
      <c r="R23" s="6">
        <f t="shared" si="1"/>
        <v>-4.7265164471264207E-2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IPW_r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2026-04-03T11:41:41Z</dcterms:created>
  <dcterms:modified xsi:type="dcterms:W3CDTF">2026-04-14T00:03:11Z</dcterms:modified>
</cp:coreProperties>
</file>