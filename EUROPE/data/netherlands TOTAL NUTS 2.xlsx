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EUROPE/data/"/>
    </mc:Choice>
  </mc:AlternateContent>
  <xr:revisionPtr revIDLastSave="0" documentId="8_{7F0E73A8-E298-C84E-B5FC-C7DB21CD33E1}" xr6:coauthVersionLast="47" xr6:coauthVersionMax="47" xr10:uidLastSave="{00000000-0000-0000-0000-000000000000}"/>
  <bookViews>
    <workbookView xWindow="0" yWindow="740" windowWidth="29400" windowHeight="16640" activeTab="7" xr2:uid="{B4D76EE0-75A7-B144-BCCF-18B1B5D4FF80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r" sheetId="8" r:id="rId8"/>
    <sheet name="import OC" sheetId="9" r:id="rId9"/>
    <sheet name="delta_M_OC" sheetId="10" r:id="rId10"/>
    <sheet name="shock_OC" sheetId="11" r:id="rId11"/>
    <sheet name="IPW_O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2" i="11"/>
  <c r="C9" i="4"/>
  <c r="C10" i="4"/>
  <c r="C11" i="4"/>
  <c r="C12" i="4"/>
  <c r="C13" i="4"/>
  <c r="C8" i="4"/>
  <c r="C3" i="4"/>
  <c r="C4" i="4"/>
  <c r="C5" i="4"/>
  <c r="C6" i="4"/>
  <c r="C7" i="4"/>
  <c r="C2" i="4"/>
  <c r="W40" i="9" l="1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L4" i="6"/>
  <c r="M4" i="6"/>
  <c r="N4" i="6"/>
  <c r="O4" i="6"/>
  <c r="P4" i="6"/>
  <c r="Q4" i="6"/>
  <c r="L5" i="6"/>
  <c r="M5" i="6"/>
  <c r="N5" i="6"/>
  <c r="O5" i="6"/>
  <c r="P5" i="6"/>
  <c r="Q5" i="6"/>
  <c r="L6" i="6"/>
  <c r="M6" i="6"/>
  <c r="N6" i="6"/>
  <c r="O6" i="6"/>
  <c r="P6" i="6"/>
  <c r="Q6" i="6"/>
  <c r="L7" i="6"/>
  <c r="M7" i="6"/>
  <c r="N7" i="6"/>
  <c r="O7" i="6"/>
  <c r="P7" i="6"/>
  <c r="Q7" i="6"/>
  <c r="L8" i="6"/>
  <c r="M8" i="6"/>
  <c r="N8" i="6"/>
  <c r="O8" i="6"/>
  <c r="P8" i="6"/>
  <c r="Q8" i="6"/>
  <c r="L9" i="6"/>
  <c r="M9" i="6"/>
  <c r="R9" i="6" s="1"/>
  <c r="N9" i="6"/>
  <c r="O9" i="6"/>
  <c r="P9" i="6"/>
  <c r="Q9" i="6"/>
  <c r="L10" i="6"/>
  <c r="M10" i="6"/>
  <c r="N10" i="6"/>
  <c r="O10" i="6"/>
  <c r="P10" i="6"/>
  <c r="Q10" i="6"/>
  <c r="L11" i="6"/>
  <c r="M11" i="6"/>
  <c r="N11" i="6"/>
  <c r="O11" i="6"/>
  <c r="P11" i="6"/>
  <c r="Q11" i="6"/>
  <c r="L12" i="6"/>
  <c r="M12" i="6"/>
  <c r="N12" i="6"/>
  <c r="O12" i="6"/>
  <c r="P12" i="6"/>
  <c r="Q12" i="6"/>
  <c r="L13" i="6"/>
  <c r="M13" i="6"/>
  <c r="N13" i="6"/>
  <c r="O13" i="6"/>
  <c r="P13" i="6"/>
  <c r="Q13" i="6"/>
  <c r="L14" i="6"/>
  <c r="M14" i="6"/>
  <c r="N14" i="6"/>
  <c r="O14" i="6"/>
  <c r="P14" i="6"/>
  <c r="Q14" i="6"/>
  <c r="B4" i="6"/>
  <c r="C4" i="6"/>
  <c r="D4" i="6"/>
  <c r="E4" i="6"/>
  <c r="F4" i="6"/>
  <c r="G4" i="6"/>
  <c r="B5" i="6"/>
  <c r="C5" i="6"/>
  <c r="D5" i="6"/>
  <c r="E5" i="6"/>
  <c r="F5" i="6"/>
  <c r="G5" i="6"/>
  <c r="B6" i="6"/>
  <c r="C6" i="6"/>
  <c r="D6" i="6"/>
  <c r="E6" i="6"/>
  <c r="F6" i="6"/>
  <c r="G6" i="6"/>
  <c r="B7" i="6"/>
  <c r="C7" i="6"/>
  <c r="D7" i="6"/>
  <c r="E7" i="6"/>
  <c r="F7" i="6"/>
  <c r="G7" i="6"/>
  <c r="B8" i="6"/>
  <c r="C8" i="6"/>
  <c r="D8" i="6"/>
  <c r="E8" i="6"/>
  <c r="F8" i="6"/>
  <c r="G8" i="6"/>
  <c r="B9" i="6"/>
  <c r="C9" i="6"/>
  <c r="D9" i="6"/>
  <c r="E9" i="6"/>
  <c r="F9" i="6"/>
  <c r="G9" i="6"/>
  <c r="B10" i="6"/>
  <c r="C10" i="6"/>
  <c r="D10" i="6"/>
  <c r="E10" i="6"/>
  <c r="F10" i="6"/>
  <c r="G10" i="6"/>
  <c r="B11" i="6"/>
  <c r="C11" i="6"/>
  <c r="D11" i="6"/>
  <c r="E11" i="6"/>
  <c r="F11" i="6"/>
  <c r="G11" i="6"/>
  <c r="B12" i="6"/>
  <c r="C12" i="6"/>
  <c r="D12" i="6"/>
  <c r="E12" i="6"/>
  <c r="F12" i="6"/>
  <c r="G12" i="6"/>
  <c r="B13" i="6"/>
  <c r="C13" i="6"/>
  <c r="D13" i="6"/>
  <c r="E13" i="6"/>
  <c r="F13" i="6"/>
  <c r="G13" i="6"/>
  <c r="B14" i="6"/>
  <c r="C14" i="6"/>
  <c r="D14" i="6"/>
  <c r="E14" i="6"/>
  <c r="F14" i="6"/>
  <c r="G14" i="6"/>
  <c r="Q3" i="6"/>
  <c r="G3" i="6"/>
  <c r="P3" i="6"/>
  <c r="F3" i="6"/>
  <c r="O3" i="6"/>
  <c r="E3" i="6"/>
  <c r="N3" i="6"/>
  <c r="D3" i="6"/>
  <c r="M3" i="6"/>
  <c r="C3" i="6"/>
  <c r="L3" i="6"/>
  <c r="B3" i="6"/>
  <c r="H3" i="6" s="1"/>
  <c r="D9" i="5"/>
  <c r="D10" i="5"/>
  <c r="D11" i="5"/>
  <c r="D12" i="5"/>
  <c r="D13" i="5"/>
  <c r="D8" i="5"/>
  <c r="D3" i="5"/>
  <c r="D4" i="5"/>
  <c r="D5" i="5"/>
  <c r="D6" i="5"/>
  <c r="D7" i="5"/>
  <c r="R11" i="6" l="1"/>
  <c r="P9" i="7"/>
  <c r="H11" i="6"/>
  <c r="D11" i="7" s="1"/>
  <c r="H4" i="6"/>
  <c r="B4" i="7" s="1"/>
  <c r="L9" i="7"/>
  <c r="H14" i="6"/>
  <c r="F14" i="7" s="1"/>
  <c r="H10" i="6"/>
  <c r="F10" i="7" s="1"/>
  <c r="H6" i="6"/>
  <c r="G6" i="7" s="1"/>
  <c r="R13" i="6"/>
  <c r="N13" i="7" s="1"/>
  <c r="K9" i="7"/>
  <c r="R5" i="6"/>
  <c r="N5" i="7" s="1"/>
  <c r="C3" i="7"/>
  <c r="G3" i="7"/>
  <c r="C11" i="7"/>
  <c r="G5" i="7"/>
  <c r="E4" i="7"/>
  <c r="N11" i="7"/>
  <c r="R6" i="6"/>
  <c r="K6" i="7" s="1"/>
  <c r="D3" i="7"/>
  <c r="P5" i="7"/>
  <c r="O13" i="7"/>
  <c r="O9" i="7"/>
  <c r="O5" i="7"/>
  <c r="N9" i="7"/>
  <c r="H9" i="6"/>
  <c r="C9" i="7" s="1"/>
  <c r="M9" i="7"/>
  <c r="M5" i="7"/>
  <c r="G14" i="7"/>
  <c r="P13" i="7"/>
  <c r="L5" i="7"/>
  <c r="H5" i="6"/>
  <c r="C5" i="7" s="1"/>
  <c r="E11" i="7"/>
  <c r="G11" i="7"/>
  <c r="C4" i="7"/>
  <c r="L11" i="7"/>
  <c r="F11" i="7"/>
  <c r="F4" i="7"/>
  <c r="G4" i="7"/>
  <c r="K11" i="7"/>
  <c r="P6" i="7"/>
  <c r="E3" i="7"/>
  <c r="F3" i="7"/>
  <c r="P11" i="7"/>
  <c r="O6" i="7"/>
  <c r="O11" i="7"/>
  <c r="B3" i="7"/>
  <c r="H12" i="6"/>
  <c r="D12" i="7" s="1"/>
  <c r="R8" i="6"/>
  <c r="L8" i="7" s="1"/>
  <c r="M11" i="7"/>
  <c r="H7" i="6"/>
  <c r="B7" i="7" s="1"/>
  <c r="R10" i="6"/>
  <c r="P10" i="7" s="1"/>
  <c r="K13" i="7"/>
  <c r="K5" i="7"/>
  <c r="R3" i="6"/>
  <c r="P3" i="7" s="1"/>
  <c r="R14" i="6"/>
  <c r="N14" i="7" s="1"/>
  <c r="B11" i="7"/>
  <c r="D4" i="7"/>
  <c r="H13" i="6"/>
  <c r="C13" i="7" s="1"/>
  <c r="R7" i="6"/>
  <c r="N7" i="7" s="1"/>
  <c r="H8" i="6"/>
  <c r="C8" i="7" s="1"/>
  <c r="R12" i="6"/>
  <c r="N12" i="7" s="1"/>
  <c r="R4" i="6"/>
  <c r="N4" i="7" s="1"/>
  <c r="D2" i="5"/>
  <c r="C25" i="3"/>
  <c r="C19" i="3"/>
  <c r="C13" i="3"/>
  <c r="C7" i="3"/>
  <c r="C24" i="3"/>
  <c r="C18" i="3"/>
  <c r="C12" i="3"/>
  <c r="C6" i="3"/>
  <c r="C23" i="3"/>
  <c r="C17" i="3"/>
  <c r="C11" i="3"/>
  <c r="C5" i="3"/>
  <c r="C22" i="3"/>
  <c r="C16" i="3"/>
  <c r="C10" i="3"/>
  <c r="C4" i="3"/>
  <c r="C21" i="3"/>
  <c r="C15" i="3"/>
  <c r="C9" i="3"/>
  <c r="C3" i="3"/>
  <c r="C20" i="3"/>
  <c r="C14" i="3"/>
  <c r="C8" i="3"/>
  <c r="C2" i="3"/>
  <c r="E6" i="7" l="1"/>
  <c r="D14" i="7"/>
  <c r="C10" i="7"/>
  <c r="B8" i="7"/>
  <c r="C13" i="5"/>
  <c r="E13" i="5" s="1"/>
  <c r="Q6" i="8" s="1"/>
  <c r="C13" i="11"/>
  <c r="E13" i="11" s="1"/>
  <c r="Q9" i="12" s="1"/>
  <c r="C8" i="5"/>
  <c r="E8" i="5" s="1"/>
  <c r="L13" i="8" s="1"/>
  <c r="C8" i="11"/>
  <c r="E8" i="11" s="1"/>
  <c r="L9" i="12" s="1"/>
  <c r="C5" i="5"/>
  <c r="E5" i="5" s="1"/>
  <c r="E10" i="8" s="1"/>
  <c r="C5" i="11"/>
  <c r="E5" i="11" s="1"/>
  <c r="E3" i="12" s="1"/>
  <c r="C9" i="5"/>
  <c r="E9" i="5" s="1"/>
  <c r="M9" i="8" s="1"/>
  <c r="C9" i="11"/>
  <c r="E9" i="11" s="1"/>
  <c r="M8" i="12" s="1"/>
  <c r="B10" i="7"/>
  <c r="N6" i="7"/>
  <c r="F4" i="12"/>
  <c r="F14" i="12"/>
  <c r="C6" i="5"/>
  <c r="E6" i="5" s="1"/>
  <c r="C6" i="11"/>
  <c r="E6" i="11" s="1"/>
  <c r="F11" i="12" s="1"/>
  <c r="E10" i="7"/>
  <c r="C10" i="5"/>
  <c r="E10" i="5" s="1"/>
  <c r="N14" i="8" s="1"/>
  <c r="C10" i="11"/>
  <c r="E10" i="11" s="1"/>
  <c r="N9" i="12" s="1"/>
  <c r="C3" i="5"/>
  <c r="E3" i="5" s="1"/>
  <c r="C8" i="8" s="1"/>
  <c r="C3" i="11"/>
  <c r="E3" i="11" s="1"/>
  <c r="C14" i="12" s="1"/>
  <c r="C11" i="5"/>
  <c r="E11" i="5" s="1"/>
  <c r="O4" i="8" s="1"/>
  <c r="C11" i="11"/>
  <c r="E11" i="11" s="1"/>
  <c r="O4" i="12" s="1"/>
  <c r="C2" i="5"/>
  <c r="C2" i="11"/>
  <c r="E2" i="11" s="1"/>
  <c r="B7" i="12" s="1"/>
  <c r="C4" i="5"/>
  <c r="E4" i="5" s="1"/>
  <c r="D14" i="8" s="1"/>
  <c r="C4" i="11"/>
  <c r="E4" i="11" s="1"/>
  <c r="D4" i="12" s="1"/>
  <c r="Q3" i="12"/>
  <c r="B3" i="12"/>
  <c r="C14" i="7"/>
  <c r="F3" i="12"/>
  <c r="M11" i="12"/>
  <c r="D10" i="7"/>
  <c r="G10" i="7"/>
  <c r="C12" i="5"/>
  <c r="E12" i="5" s="1"/>
  <c r="P13" i="8" s="1"/>
  <c r="C12" i="11"/>
  <c r="E12" i="11" s="1"/>
  <c r="P11" i="12" s="1"/>
  <c r="L5" i="12"/>
  <c r="M6" i="7"/>
  <c r="L13" i="12"/>
  <c r="C7" i="5"/>
  <c r="E7" i="5" s="1"/>
  <c r="G6" i="8" s="1"/>
  <c r="C7" i="11"/>
  <c r="E7" i="11" s="1"/>
  <c r="G11" i="12" s="1"/>
  <c r="Q10" i="12"/>
  <c r="B6" i="7"/>
  <c r="E11" i="12"/>
  <c r="M14" i="7"/>
  <c r="P4" i="7"/>
  <c r="Q4" i="12" s="1"/>
  <c r="O8" i="7"/>
  <c r="B5" i="7"/>
  <c r="B5" i="12" s="1"/>
  <c r="F5" i="7"/>
  <c r="F5" i="12" s="1"/>
  <c r="C6" i="7"/>
  <c r="B14" i="7"/>
  <c r="B14" i="12" s="1"/>
  <c r="P8" i="7"/>
  <c r="L12" i="7"/>
  <c r="M12" i="12" s="1"/>
  <c r="O12" i="7"/>
  <c r="P12" i="7"/>
  <c r="Q12" i="12" s="1"/>
  <c r="D6" i="7"/>
  <c r="F9" i="7"/>
  <c r="F9" i="12" s="1"/>
  <c r="M4" i="7"/>
  <c r="E5" i="7"/>
  <c r="E5" i="12" s="1"/>
  <c r="D5" i="7"/>
  <c r="E9" i="7"/>
  <c r="G9" i="7"/>
  <c r="G9" i="12" s="1"/>
  <c r="M12" i="7"/>
  <c r="N12" i="12" s="1"/>
  <c r="F6" i="7"/>
  <c r="D9" i="7"/>
  <c r="O14" i="7"/>
  <c r="P14" i="8" s="1"/>
  <c r="N8" i="7"/>
  <c r="O8" i="12" s="1"/>
  <c r="E8" i="7"/>
  <c r="L13" i="7"/>
  <c r="M13" i="12" s="1"/>
  <c r="K4" i="7"/>
  <c r="L4" i="12" s="1"/>
  <c r="B9" i="7"/>
  <c r="B9" i="12" s="1"/>
  <c r="E14" i="7"/>
  <c r="E14" i="12" s="1"/>
  <c r="D8" i="7"/>
  <c r="L4" i="7"/>
  <c r="M4" i="12" s="1"/>
  <c r="P14" i="7"/>
  <c r="Q14" i="12" s="1"/>
  <c r="M13" i="7"/>
  <c r="N13" i="12" s="1"/>
  <c r="L6" i="7"/>
  <c r="M6" i="12" s="1"/>
  <c r="P12" i="12"/>
  <c r="P13" i="12"/>
  <c r="D3" i="12"/>
  <c r="O7" i="12"/>
  <c r="O11" i="12"/>
  <c r="O9" i="12"/>
  <c r="O6" i="12"/>
  <c r="O14" i="12"/>
  <c r="O5" i="12"/>
  <c r="O13" i="12"/>
  <c r="O12" i="12"/>
  <c r="G10" i="12"/>
  <c r="G5" i="12"/>
  <c r="C8" i="12"/>
  <c r="C10" i="12"/>
  <c r="C13" i="12"/>
  <c r="C11" i="12"/>
  <c r="C3" i="12"/>
  <c r="Q11" i="8"/>
  <c r="Q3" i="8"/>
  <c r="Q12" i="8"/>
  <c r="Q8" i="8"/>
  <c r="Q5" i="8"/>
  <c r="Q13" i="8"/>
  <c r="Q9" i="8"/>
  <c r="Q10" i="8"/>
  <c r="Q4" i="8"/>
  <c r="N6" i="8"/>
  <c r="N12" i="8"/>
  <c r="N11" i="8"/>
  <c r="N5" i="8"/>
  <c r="N9" i="8"/>
  <c r="P9" i="8"/>
  <c r="P7" i="8"/>
  <c r="P6" i="8"/>
  <c r="M4" i="8"/>
  <c r="M8" i="8"/>
  <c r="M5" i="8"/>
  <c r="M13" i="8"/>
  <c r="M14" i="8"/>
  <c r="C10" i="8"/>
  <c r="C14" i="8"/>
  <c r="E4" i="8"/>
  <c r="E9" i="8"/>
  <c r="E3" i="8"/>
  <c r="E6" i="8"/>
  <c r="F11" i="8"/>
  <c r="F10" i="8"/>
  <c r="F4" i="8"/>
  <c r="F14" i="8"/>
  <c r="F3" i="8"/>
  <c r="G10" i="8"/>
  <c r="G4" i="8"/>
  <c r="G9" i="8"/>
  <c r="G11" i="8"/>
  <c r="O7" i="7"/>
  <c r="E7" i="7"/>
  <c r="E7" i="12" s="1"/>
  <c r="G7" i="7"/>
  <c r="D7" i="7"/>
  <c r="D13" i="7"/>
  <c r="C7" i="7"/>
  <c r="M8" i="7"/>
  <c r="N8" i="12" s="1"/>
  <c r="O4" i="7"/>
  <c r="L14" i="7"/>
  <c r="M14" i="12" s="1"/>
  <c r="E13" i="7"/>
  <c r="E13" i="12" s="1"/>
  <c r="K10" i="7"/>
  <c r="L10" i="12" s="1"/>
  <c r="K8" i="7"/>
  <c r="L8" i="12" s="1"/>
  <c r="L10" i="7"/>
  <c r="M10" i="12" s="1"/>
  <c r="M7" i="7"/>
  <c r="N7" i="12" s="1"/>
  <c r="K7" i="7"/>
  <c r="L7" i="12" s="1"/>
  <c r="M3" i="7"/>
  <c r="N3" i="12" s="1"/>
  <c r="K3" i="7"/>
  <c r="L3" i="12" s="1"/>
  <c r="N3" i="7"/>
  <c r="O3" i="12" s="1"/>
  <c r="O3" i="7"/>
  <c r="P3" i="12" s="1"/>
  <c r="F12" i="7"/>
  <c r="F12" i="12" s="1"/>
  <c r="G12" i="7"/>
  <c r="G12" i="8" s="1"/>
  <c r="N10" i="7"/>
  <c r="L7" i="7"/>
  <c r="M7" i="12" s="1"/>
  <c r="F13" i="7"/>
  <c r="F13" i="12" s="1"/>
  <c r="B12" i="7"/>
  <c r="B12" i="12" s="1"/>
  <c r="K14" i="7"/>
  <c r="L14" i="12" s="1"/>
  <c r="K12" i="7"/>
  <c r="L12" i="12" s="1"/>
  <c r="G13" i="7"/>
  <c r="M10" i="7"/>
  <c r="N10" i="12" s="1"/>
  <c r="B13" i="7"/>
  <c r="B13" i="12" s="1"/>
  <c r="E2" i="5"/>
  <c r="P7" i="7"/>
  <c r="Q7" i="12" s="1"/>
  <c r="O10" i="7"/>
  <c r="E12" i="7"/>
  <c r="E12" i="12" s="1"/>
  <c r="F8" i="7"/>
  <c r="F8" i="12" s="1"/>
  <c r="G8" i="7"/>
  <c r="L3" i="7"/>
  <c r="M3" i="12" s="1"/>
  <c r="F7" i="7"/>
  <c r="F7" i="12" s="1"/>
  <c r="C12" i="7"/>
  <c r="C12" i="12" s="1"/>
  <c r="O9" i="8" l="1"/>
  <c r="O14" i="8"/>
  <c r="O6" i="8"/>
  <c r="L9" i="8"/>
  <c r="R9" i="8" s="1"/>
  <c r="N4" i="8"/>
  <c r="L5" i="8"/>
  <c r="R5" i="8" s="1"/>
  <c r="O7" i="8"/>
  <c r="L6" i="8"/>
  <c r="R6" i="8" s="1"/>
  <c r="O11" i="8"/>
  <c r="O10" i="8"/>
  <c r="L11" i="8"/>
  <c r="R11" i="8" s="1"/>
  <c r="O13" i="8"/>
  <c r="O12" i="8"/>
  <c r="O5" i="8"/>
  <c r="D10" i="8"/>
  <c r="D4" i="8"/>
  <c r="D9" i="8"/>
  <c r="D13" i="8"/>
  <c r="D6" i="8"/>
  <c r="D3" i="8"/>
  <c r="D11" i="8"/>
  <c r="D7" i="8"/>
  <c r="G3" i="8"/>
  <c r="D12" i="8"/>
  <c r="D5" i="8"/>
  <c r="G7" i="8"/>
  <c r="C7" i="8"/>
  <c r="C4" i="8"/>
  <c r="D13" i="12"/>
  <c r="M3" i="8"/>
  <c r="D14" i="12"/>
  <c r="D10" i="12"/>
  <c r="D6" i="12"/>
  <c r="P5" i="8"/>
  <c r="P11" i="8"/>
  <c r="P5" i="12"/>
  <c r="F6" i="12"/>
  <c r="P8" i="8"/>
  <c r="G12" i="12"/>
  <c r="L6" i="12"/>
  <c r="P12" i="8"/>
  <c r="F9" i="8"/>
  <c r="C3" i="8"/>
  <c r="F7" i="8"/>
  <c r="O8" i="8"/>
  <c r="C7" i="12"/>
  <c r="E4" i="12"/>
  <c r="C5" i="8"/>
  <c r="C6" i="8"/>
  <c r="L10" i="8"/>
  <c r="G4" i="12"/>
  <c r="P8" i="12"/>
  <c r="G8" i="12"/>
  <c r="G13" i="12"/>
  <c r="F5" i="8"/>
  <c r="E11" i="8"/>
  <c r="C11" i="8"/>
  <c r="C9" i="8"/>
  <c r="M12" i="8"/>
  <c r="C9" i="12"/>
  <c r="G3" i="12"/>
  <c r="H3" i="12" s="1"/>
  <c r="D11" i="12"/>
  <c r="P6" i="12"/>
  <c r="E9" i="12"/>
  <c r="N14" i="12"/>
  <c r="B4" i="12"/>
  <c r="F8" i="8"/>
  <c r="G14" i="12"/>
  <c r="O10" i="12"/>
  <c r="P9" i="12"/>
  <c r="E8" i="12"/>
  <c r="Q8" i="12"/>
  <c r="Q13" i="12"/>
  <c r="Q6" i="12"/>
  <c r="Q5" i="12"/>
  <c r="B10" i="12"/>
  <c r="B8" i="12"/>
  <c r="L12" i="8"/>
  <c r="Q11" i="12"/>
  <c r="F10" i="12"/>
  <c r="E6" i="12"/>
  <c r="P10" i="8"/>
  <c r="P7" i="12"/>
  <c r="G14" i="8"/>
  <c r="F6" i="8"/>
  <c r="C13" i="8"/>
  <c r="L4" i="8"/>
  <c r="M6" i="8"/>
  <c r="M11" i="8"/>
  <c r="Q14" i="8"/>
  <c r="C5" i="12"/>
  <c r="C4" i="12"/>
  <c r="H4" i="12" s="1"/>
  <c r="G6" i="12"/>
  <c r="D12" i="12"/>
  <c r="H12" i="12" s="1"/>
  <c r="P14" i="12"/>
  <c r="N4" i="12"/>
  <c r="C6" i="12"/>
  <c r="L11" i="12"/>
  <c r="E10" i="12"/>
  <c r="B11" i="12"/>
  <c r="H11" i="12" s="1"/>
  <c r="N5" i="12"/>
  <c r="P4" i="12"/>
  <c r="G5" i="8"/>
  <c r="E5" i="8"/>
  <c r="P4" i="8"/>
  <c r="D8" i="12"/>
  <c r="D9" i="12"/>
  <c r="B6" i="12"/>
  <c r="N6" i="12"/>
  <c r="M5" i="12"/>
  <c r="M9" i="12"/>
  <c r="R9" i="12" s="1"/>
  <c r="N11" i="12"/>
  <c r="R11" i="12" s="1"/>
  <c r="D8" i="8"/>
  <c r="F13" i="8"/>
  <c r="E14" i="8"/>
  <c r="C12" i="8"/>
  <c r="M10" i="8"/>
  <c r="N13" i="8"/>
  <c r="R13" i="8" s="1"/>
  <c r="G8" i="8"/>
  <c r="G13" i="8"/>
  <c r="P3" i="8"/>
  <c r="D7" i="12"/>
  <c r="L14" i="8"/>
  <c r="R14" i="8" s="1"/>
  <c r="M7" i="8"/>
  <c r="N10" i="8"/>
  <c r="G7" i="12"/>
  <c r="D5" i="12"/>
  <c r="H5" i="12" s="1"/>
  <c r="E12" i="8"/>
  <c r="L8" i="8"/>
  <c r="Q7" i="8"/>
  <c r="O3" i="8"/>
  <c r="P10" i="12"/>
  <c r="R10" i="12" s="1"/>
  <c r="E7" i="8"/>
  <c r="E8" i="8"/>
  <c r="L3" i="8"/>
  <c r="L7" i="8"/>
  <c r="N7" i="8"/>
  <c r="F12" i="8"/>
  <c r="E13" i="8"/>
  <c r="N3" i="8"/>
  <c r="N8" i="8"/>
  <c r="R13" i="12"/>
  <c r="H13" i="12"/>
  <c r="H14" i="12"/>
  <c r="R7" i="12"/>
  <c r="H6" i="12"/>
  <c r="R3" i="12"/>
  <c r="R8" i="12"/>
  <c r="R4" i="12"/>
  <c r="R12" i="12"/>
  <c r="R5" i="12"/>
  <c r="B4" i="8"/>
  <c r="B8" i="8"/>
  <c r="B12" i="8"/>
  <c r="B3" i="8"/>
  <c r="H3" i="8" s="1"/>
  <c r="B10" i="8"/>
  <c r="B13" i="8"/>
  <c r="B7" i="8"/>
  <c r="B11" i="8"/>
  <c r="B14" i="8"/>
  <c r="B5" i="8"/>
  <c r="B6" i="8"/>
  <c r="B9" i="8"/>
  <c r="H9" i="8" s="1"/>
  <c r="H4" i="8" l="1"/>
  <c r="H11" i="8"/>
  <c r="H10" i="8"/>
  <c r="H6" i="8"/>
  <c r="H10" i="12"/>
  <c r="R14" i="12"/>
  <c r="H9" i="12"/>
  <c r="H14" i="8"/>
  <c r="R4" i="8"/>
  <c r="H8" i="12"/>
  <c r="R6" i="12"/>
  <c r="R8" i="8"/>
  <c r="R12" i="8"/>
  <c r="R3" i="8"/>
  <c r="H13" i="8"/>
  <c r="R10" i="8"/>
  <c r="H7" i="12"/>
  <c r="R7" i="8"/>
  <c r="H5" i="8"/>
  <c r="H8" i="8"/>
  <c r="H7" i="8"/>
  <c r="H12" i="8"/>
</calcChain>
</file>

<file path=xl/sharedStrings.xml><?xml version="1.0" encoding="utf-8"?>
<sst xmlns="http://schemas.openxmlformats.org/spreadsheetml/2006/main" count="1230" uniqueCount="46">
  <si>
    <t>zone</t>
  </si>
  <si>
    <t>year</t>
  </si>
  <si>
    <t>industry</t>
  </si>
  <si>
    <t>import</t>
  </si>
  <si>
    <t>a-b</t>
  </si>
  <si>
    <t>Groningen</t>
  </si>
  <si>
    <t>Friesland (NL)</t>
  </si>
  <si>
    <t>Drenthe</t>
  </si>
  <si>
    <t>Overijssel</t>
  </si>
  <si>
    <t>Gelderland</t>
  </si>
  <si>
    <t>Flevoland</t>
  </si>
  <si>
    <t>Utrecht (NUTS 2021)</t>
  </si>
  <si>
    <t>Noord-Holland</t>
  </si>
  <si>
    <t>Zuid-Holland (NUTS 2021)</t>
  </si>
  <si>
    <t>Zeeland</t>
  </si>
  <si>
    <t>Noord-Brabant</t>
  </si>
  <si>
    <t>Limburg (NL)</t>
  </si>
  <si>
    <t>c-e</t>
  </si>
  <si>
    <t>f</t>
  </si>
  <si>
    <t>g-i</t>
  </si>
  <si>
    <t>j-k</t>
  </si>
  <si>
    <t>l-q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</si>
  <si>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</si>
  <si>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</si>
  <si>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</si>
  <si>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</si>
  <si>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</si>
  <si>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</si>
  <si>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</si>
  <si>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</si>
  <si>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total_2012</t>
  </si>
  <si>
    <t>p1</t>
  </si>
  <si>
    <t>p2</t>
  </si>
  <si>
    <t>IPW_OC (1999-2011)</t>
  </si>
  <si>
    <t>IPW_OC (2012-2019)</t>
  </si>
  <si>
    <t>IPW (1999-2011)</t>
  </si>
  <si>
    <t>IPW (2012-2019)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</si>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</sst>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000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/>
    <xf numFmtId="2" fontId="0" fillId="0" borderId="1" xfId="0" applyNumberForma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FD40-5690-DC47-9E40-DF87DE0E6BFB}">
  <dimension ref="A1:D289"/>
  <sheetViews>
    <sheetView workbookViewId="0">
      <selection activeCell="H18" sqref="H18"/>
    </sheetView>
  </sheetViews>
  <sheetFormatPr baseColWidth="10" defaultRowHeight="16" x14ac:dyDescent="0.2"/>
  <cols>
    <col min="1" max="1" width="22.33203125" style="8" bestFit="1" customWidth="1"/>
    <col min="2" max="4" width="10.83203125" style="8"/>
  </cols>
  <sheetData>
    <row r="1" spans="1:4" x14ac:dyDescent="0.2">
      <c r="A1" s="6" t="s">
        <v>0</v>
      </c>
      <c r="B1" s="6" t="s">
        <v>1</v>
      </c>
      <c r="C1" s="6" t="s">
        <v>2</v>
      </c>
      <c r="D1" s="6" t="s">
        <v>45</v>
      </c>
    </row>
    <row r="2" spans="1:4" x14ac:dyDescent="0.2">
      <c r="A2" s="8" t="s">
        <v>5</v>
      </c>
      <c r="B2" s="8">
        <v>1999</v>
      </c>
      <c r="C2" s="8" t="s">
        <v>4</v>
      </c>
      <c r="D2" s="8">
        <v>5600</v>
      </c>
    </row>
    <row r="3" spans="1:4" x14ac:dyDescent="0.2">
      <c r="A3" s="8" t="s">
        <v>6</v>
      </c>
      <c r="B3" s="8">
        <v>1999</v>
      </c>
      <c r="C3" s="8" t="s">
        <v>4</v>
      </c>
      <c r="D3" s="8">
        <v>10600</v>
      </c>
    </row>
    <row r="4" spans="1:4" x14ac:dyDescent="0.2">
      <c r="A4" s="8" t="s">
        <v>7</v>
      </c>
      <c r="B4" s="8">
        <v>1999</v>
      </c>
      <c r="C4" s="8" t="s">
        <v>4</v>
      </c>
      <c r="D4" s="8">
        <v>12000</v>
      </c>
    </row>
    <row r="5" spans="1:4" x14ac:dyDescent="0.2">
      <c r="A5" s="8" t="s">
        <v>8</v>
      </c>
      <c r="B5" s="8">
        <v>1999</v>
      </c>
      <c r="C5" s="8" t="s">
        <v>4</v>
      </c>
      <c r="D5" s="8">
        <v>19500</v>
      </c>
    </row>
    <row r="6" spans="1:4" x14ac:dyDescent="0.2">
      <c r="A6" s="8" t="s">
        <v>9</v>
      </c>
      <c r="B6" s="8">
        <v>1999</v>
      </c>
      <c r="C6" s="8" t="s">
        <v>4</v>
      </c>
      <c r="D6" s="8">
        <v>30100</v>
      </c>
    </row>
    <row r="7" spans="1:4" x14ac:dyDescent="0.2">
      <c r="A7" s="8" t="s">
        <v>10</v>
      </c>
      <c r="B7" s="8">
        <v>1999</v>
      </c>
      <c r="C7" s="8" t="s">
        <v>4</v>
      </c>
      <c r="D7" s="8">
        <v>4600</v>
      </c>
    </row>
    <row r="8" spans="1:4" x14ac:dyDescent="0.2">
      <c r="A8" s="8" t="s">
        <v>11</v>
      </c>
      <c r="B8" s="8">
        <v>1999</v>
      </c>
      <c r="C8" s="8" t="s">
        <v>4</v>
      </c>
      <c r="D8" s="8">
        <v>6100</v>
      </c>
    </row>
    <row r="9" spans="1:4" x14ac:dyDescent="0.2">
      <c r="A9" s="8" t="s">
        <v>12</v>
      </c>
      <c r="B9" s="8">
        <v>1999</v>
      </c>
      <c r="C9" s="8" t="s">
        <v>4</v>
      </c>
      <c r="D9" s="8">
        <v>28100</v>
      </c>
    </row>
    <row r="10" spans="1:4" x14ac:dyDescent="0.2">
      <c r="A10" s="8" t="s">
        <v>13</v>
      </c>
      <c r="B10" s="8">
        <v>1999</v>
      </c>
      <c r="C10" s="8" t="s">
        <v>4</v>
      </c>
      <c r="D10" s="8">
        <v>41900</v>
      </c>
    </row>
    <row r="11" spans="1:4" x14ac:dyDescent="0.2">
      <c r="A11" s="8" t="s">
        <v>14</v>
      </c>
      <c r="B11" s="8">
        <v>1999</v>
      </c>
      <c r="C11" s="8" t="s">
        <v>4</v>
      </c>
      <c r="D11" s="8">
        <v>5800</v>
      </c>
    </row>
    <row r="12" spans="1:4" x14ac:dyDescent="0.2">
      <c r="A12" s="8" t="s">
        <v>15</v>
      </c>
      <c r="B12" s="8">
        <v>1999</v>
      </c>
      <c r="C12" s="8" t="s">
        <v>4</v>
      </c>
      <c r="D12" s="8">
        <v>41200</v>
      </c>
    </row>
    <row r="13" spans="1:4" x14ac:dyDescent="0.2">
      <c r="A13" s="8" t="s">
        <v>16</v>
      </c>
      <c r="B13" s="8">
        <v>1999</v>
      </c>
      <c r="C13" s="8" t="s">
        <v>4</v>
      </c>
      <c r="D13" s="8">
        <v>20600</v>
      </c>
    </row>
    <row r="14" spans="1:4" x14ac:dyDescent="0.2">
      <c r="A14" s="8" t="s">
        <v>5</v>
      </c>
      <c r="B14" s="8">
        <v>2011</v>
      </c>
      <c r="C14" s="8" t="s">
        <v>4</v>
      </c>
      <c r="D14" s="8">
        <v>7200</v>
      </c>
    </row>
    <row r="15" spans="1:4" x14ac:dyDescent="0.2">
      <c r="A15" s="8" t="s">
        <v>6</v>
      </c>
      <c r="B15" s="8">
        <v>2011</v>
      </c>
      <c r="C15" s="8" t="s">
        <v>4</v>
      </c>
      <c r="D15" s="8">
        <v>13700</v>
      </c>
    </row>
    <row r="16" spans="1:4" x14ac:dyDescent="0.2">
      <c r="A16" s="8" t="s">
        <v>7</v>
      </c>
      <c r="B16" s="8">
        <v>2011</v>
      </c>
      <c r="C16" s="8" t="s">
        <v>4</v>
      </c>
      <c r="D16" s="8">
        <v>5800</v>
      </c>
    </row>
    <row r="17" spans="1:4" x14ac:dyDescent="0.2">
      <c r="A17" s="8" t="s">
        <v>8</v>
      </c>
      <c r="B17" s="8">
        <v>2011</v>
      </c>
      <c r="C17" s="8" t="s">
        <v>4</v>
      </c>
      <c r="D17" s="8">
        <v>15300</v>
      </c>
    </row>
    <row r="18" spans="1:4" x14ac:dyDescent="0.2">
      <c r="A18" s="8" t="s">
        <v>9</v>
      </c>
      <c r="B18" s="8">
        <v>2011</v>
      </c>
      <c r="C18" s="8" t="s">
        <v>4</v>
      </c>
      <c r="D18" s="8">
        <v>24400</v>
      </c>
    </row>
    <row r="19" spans="1:4" x14ac:dyDescent="0.2">
      <c r="A19" s="8" t="s">
        <v>10</v>
      </c>
      <c r="B19" s="8">
        <v>2011</v>
      </c>
      <c r="C19" s="8" t="s">
        <v>4</v>
      </c>
      <c r="D19" s="8">
        <v>5200</v>
      </c>
    </row>
    <row r="20" spans="1:4" x14ac:dyDescent="0.2">
      <c r="A20" s="8" t="s">
        <v>11</v>
      </c>
      <c r="B20" s="8">
        <v>2011</v>
      </c>
      <c r="C20" s="8" t="s">
        <v>4</v>
      </c>
      <c r="D20" s="8">
        <v>8400</v>
      </c>
    </row>
    <row r="21" spans="1:4" x14ac:dyDescent="0.2">
      <c r="A21" s="8" t="s">
        <v>12</v>
      </c>
      <c r="B21" s="8">
        <v>2011</v>
      </c>
      <c r="C21" s="8" t="s">
        <v>4</v>
      </c>
      <c r="D21" s="8">
        <v>21800</v>
      </c>
    </row>
    <row r="22" spans="1:4" x14ac:dyDescent="0.2">
      <c r="A22" s="8" t="s">
        <v>13</v>
      </c>
      <c r="B22" s="8">
        <v>2011</v>
      </c>
      <c r="C22" s="8" t="s">
        <v>4</v>
      </c>
      <c r="D22" s="8">
        <v>41100</v>
      </c>
    </row>
    <row r="23" spans="1:4" x14ac:dyDescent="0.2">
      <c r="A23" s="8" t="s">
        <v>14</v>
      </c>
      <c r="B23" s="8">
        <v>2011</v>
      </c>
      <c r="C23" s="8" t="s">
        <v>4</v>
      </c>
      <c r="D23" s="8">
        <v>4500</v>
      </c>
    </row>
    <row r="24" spans="1:4" x14ac:dyDescent="0.2">
      <c r="A24" s="8" t="s">
        <v>15</v>
      </c>
      <c r="B24" s="8">
        <v>2011</v>
      </c>
      <c r="C24" s="8" t="s">
        <v>4</v>
      </c>
      <c r="D24" s="8">
        <v>30700</v>
      </c>
    </row>
    <row r="25" spans="1:4" x14ac:dyDescent="0.2">
      <c r="A25" s="8" t="s">
        <v>16</v>
      </c>
      <c r="B25" s="8">
        <v>2011</v>
      </c>
      <c r="C25" s="8" t="s">
        <v>4</v>
      </c>
      <c r="D25" s="8">
        <v>16000</v>
      </c>
    </row>
    <row r="26" spans="1:4" x14ac:dyDescent="0.2">
      <c r="A26" s="8" t="s">
        <v>5</v>
      </c>
      <c r="B26" s="8">
        <v>2012</v>
      </c>
      <c r="C26" s="8" t="s">
        <v>4</v>
      </c>
      <c r="D26" s="8">
        <v>7900</v>
      </c>
    </row>
    <row r="27" spans="1:4" x14ac:dyDescent="0.2">
      <c r="A27" s="8" t="s">
        <v>6</v>
      </c>
      <c r="B27" s="8">
        <v>2012</v>
      </c>
      <c r="C27" s="8" t="s">
        <v>4</v>
      </c>
      <c r="D27" s="8">
        <v>12000</v>
      </c>
    </row>
    <row r="28" spans="1:4" x14ac:dyDescent="0.2">
      <c r="A28" s="8" t="s">
        <v>7</v>
      </c>
      <c r="B28" s="8">
        <v>2012</v>
      </c>
      <c r="C28" s="8" t="s">
        <v>4</v>
      </c>
      <c r="D28" s="8">
        <v>7700</v>
      </c>
    </row>
    <row r="29" spans="1:4" x14ac:dyDescent="0.2">
      <c r="A29" s="8" t="s">
        <v>8</v>
      </c>
      <c r="B29" s="8">
        <v>2012</v>
      </c>
      <c r="C29" s="8" t="s">
        <v>4</v>
      </c>
      <c r="D29" s="8">
        <v>16900</v>
      </c>
    </row>
    <row r="30" spans="1:4" x14ac:dyDescent="0.2">
      <c r="A30" s="8" t="s">
        <v>9</v>
      </c>
      <c r="B30" s="8">
        <v>2012</v>
      </c>
      <c r="C30" s="8" t="s">
        <v>4</v>
      </c>
      <c r="D30" s="8">
        <v>25000</v>
      </c>
    </row>
    <row r="31" spans="1:4" x14ac:dyDescent="0.2">
      <c r="A31" s="8" t="s">
        <v>10</v>
      </c>
      <c r="B31" s="8">
        <v>2012</v>
      </c>
      <c r="C31" s="8" t="s">
        <v>4</v>
      </c>
      <c r="D31" s="8">
        <v>5300</v>
      </c>
    </row>
    <row r="32" spans="1:4" x14ac:dyDescent="0.2">
      <c r="A32" s="8" t="s">
        <v>11</v>
      </c>
      <c r="B32" s="8">
        <v>2012</v>
      </c>
      <c r="C32" s="8" t="s">
        <v>4</v>
      </c>
      <c r="D32" s="8">
        <v>7300</v>
      </c>
    </row>
    <row r="33" spans="1:4" x14ac:dyDescent="0.2">
      <c r="A33" s="8" t="s">
        <v>12</v>
      </c>
      <c r="B33" s="8">
        <v>2012</v>
      </c>
      <c r="C33" s="8" t="s">
        <v>4</v>
      </c>
      <c r="D33" s="8">
        <v>19400</v>
      </c>
    </row>
    <row r="34" spans="1:4" x14ac:dyDescent="0.2">
      <c r="A34" s="8" t="s">
        <v>13</v>
      </c>
      <c r="B34" s="8">
        <v>2012</v>
      </c>
      <c r="C34" s="8" t="s">
        <v>4</v>
      </c>
      <c r="D34" s="8">
        <v>36300</v>
      </c>
    </row>
    <row r="35" spans="1:4" x14ac:dyDescent="0.2">
      <c r="A35" s="8" t="s">
        <v>14</v>
      </c>
      <c r="B35" s="8">
        <v>2012</v>
      </c>
      <c r="C35" s="8" t="s">
        <v>4</v>
      </c>
      <c r="D35" s="8">
        <v>5500</v>
      </c>
    </row>
    <row r="36" spans="1:4" x14ac:dyDescent="0.2">
      <c r="A36" s="8" t="s">
        <v>15</v>
      </c>
      <c r="B36" s="8">
        <v>2012</v>
      </c>
      <c r="C36" s="8" t="s">
        <v>4</v>
      </c>
      <c r="D36" s="8">
        <v>34000</v>
      </c>
    </row>
    <row r="37" spans="1:4" x14ac:dyDescent="0.2">
      <c r="A37" s="8" t="s">
        <v>16</v>
      </c>
      <c r="B37" s="8">
        <v>2012</v>
      </c>
      <c r="C37" s="8" t="s">
        <v>4</v>
      </c>
      <c r="D37" s="8">
        <v>15100</v>
      </c>
    </row>
    <row r="38" spans="1:4" x14ac:dyDescent="0.2">
      <c r="A38" s="8" t="s">
        <v>5</v>
      </c>
      <c r="B38" s="8">
        <v>2019</v>
      </c>
      <c r="C38" s="8" t="s">
        <v>4</v>
      </c>
      <c r="D38" s="8">
        <v>6700</v>
      </c>
    </row>
    <row r="39" spans="1:4" x14ac:dyDescent="0.2">
      <c r="A39" s="8" t="s">
        <v>6</v>
      </c>
      <c r="B39" s="8">
        <v>2019</v>
      </c>
      <c r="C39" s="8" t="s">
        <v>4</v>
      </c>
      <c r="D39" s="8">
        <v>10000</v>
      </c>
    </row>
    <row r="40" spans="1:4" x14ac:dyDescent="0.2">
      <c r="A40" s="8" t="s">
        <v>7</v>
      </c>
      <c r="B40" s="8">
        <v>2019</v>
      </c>
      <c r="C40" s="8" t="s">
        <v>4</v>
      </c>
      <c r="D40" s="8">
        <v>5300</v>
      </c>
    </row>
    <row r="41" spans="1:4" x14ac:dyDescent="0.2">
      <c r="A41" s="8" t="s">
        <v>8</v>
      </c>
      <c r="B41" s="8">
        <v>2019</v>
      </c>
      <c r="C41" s="8" t="s">
        <v>4</v>
      </c>
      <c r="D41" s="8">
        <v>15000</v>
      </c>
    </row>
    <row r="42" spans="1:4" x14ac:dyDescent="0.2">
      <c r="A42" s="8" t="s">
        <v>9</v>
      </c>
      <c r="B42" s="8">
        <v>2019</v>
      </c>
      <c r="C42" s="8" t="s">
        <v>4</v>
      </c>
      <c r="D42" s="8">
        <v>19700</v>
      </c>
    </row>
    <row r="43" spans="1:4" x14ac:dyDescent="0.2">
      <c r="A43" s="8" t="s">
        <v>10</v>
      </c>
      <c r="B43" s="8">
        <v>2019</v>
      </c>
      <c r="C43" s="8" t="s">
        <v>4</v>
      </c>
      <c r="D43" s="8">
        <v>4600</v>
      </c>
    </row>
    <row r="44" spans="1:4" x14ac:dyDescent="0.2">
      <c r="A44" s="8" t="s">
        <v>11</v>
      </c>
      <c r="B44" s="8">
        <v>2019</v>
      </c>
      <c r="C44" s="8" t="s">
        <v>4</v>
      </c>
      <c r="D44" s="8">
        <v>5900</v>
      </c>
    </row>
    <row r="45" spans="1:4" x14ac:dyDescent="0.2">
      <c r="A45" s="8" t="s">
        <v>12</v>
      </c>
      <c r="B45" s="8">
        <v>2019</v>
      </c>
      <c r="C45" s="8" t="s">
        <v>4</v>
      </c>
      <c r="D45" s="8">
        <v>14600</v>
      </c>
    </row>
    <row r="46" spans="1:4" x14ac:dyDescent="0.2">
      <c r="A46" s="8" t="s">
        <v>13</v>
      </c>
      <c r="B46" s="8">
        <v>2019</v>
      </c>
      <c r="C46" s="8" t="s">
        <v>4</v>
      </c>
      <c r="D46" s="8">
        <v>27800</v>
      </c>
    </row>
    <row r="47" spans="1:4" x14ac:dyDescent="0.2">
      <c r="A47" s="8" t="s">
        <v>14</v>
      </c>
      <c r="B47" s="8">
        <v>2019</v>
      </c>
      <c r="C47" s="8" t="s">
        <v>4</v>
      </c>
      <c r="D47" s="8">
        <v>5000</v>
      </c>
    </row>
    <row r="48" spans="1:4" x14ac:dyDescent="0.2">
      <c r="A48" s="8" t="s">
        <v>15</v>
      </c>
      <c r="B48" s="8">
        <v>2019</v>
      </c>
      <c r="C48" s="8" t="s">
        <v>4</v>
      </c>
      <c r="D48" s="8">
        <v>29300</v>
      </c>
    </row>
    <row r="49" spans="1:4" x14ac:dyDescent="0.2">
      <c r="A49" s="8" t="s">
        <v>16</v>
      </c>
      <c r="B49" s="8">
        <v>2019</v>
      </c>
      <c r="C49" s="8" t="s">
        <v>4</v>
      </c>
      <c r="D49" s="8">
        <v>10500</v>
      </c>
    </row>
    <row r="50" spans="1:4" x14ac:dyDescent="0.2">
      <c r="A50" s="8" t="s">
        <v>5</v>
      </c>
      <c r="B50" s="8">
        <v>1999</v>
      </c>
      <c r="C50" s="8" t="s">
        <v>17</v>
      </c>
      <c r="D50" s="8">
        <v>46600</v>
      </c>
    </row>
    <row r="51" spans="1:4" x14ac:dyDescent="0.2">
      <c r="A51" s="8" t="s">
        <v>6</v>
      </c>
      <c r="B51" s="8">
        <v>1999</v>
      </c>
      <c r="C51" s="8" t="s">
        <v>17</v>
      </c>
      <c r="D51" s="8">
        <v>56300</v>
      </c>
    </row>
    <row r="52" spans="1:4" x14ac:dyDescent="0.2">
      <c r="A52" s="8" t="s">
        <v>7</v>
      </c>
      <c r="B52" s="8">
        <v>1999</v>
      </c>
      <c r="C52" s="8" t="s">
        <v>17</v>
      </c>
      <c r="D52" s="8">
        <v>37700</v>
      </c>
    </row>
    <row r="53" spans="1:4" x14ac:dyDescent="0.2">
      <c r="A53" s="8" t="s">
        <v>8</v>
      </c>
      <c r="B53" s="8">
        <v>1999</v>
      </c>
      <c r="C53" s="8" t="s">
        <v>17</v>
      </c>
      <c r="D53" s="8">
        <v>106700</v>
      </c>
    </row>
    <row r="54" spans="1:4" x14ac:dyDescent="0.2">
      <c r="A54" s="8" t="s">
        <v>9</v>
      </c>
      <c r="B54" s="8">
        <v>1999</v>
      </c>
      <c r="C54" s="8" t="s">
        <v>17</v>
      </c>
      <c r="D54" s="8">
        <v>139100</v>
      </c>
    </row>
    <row r="55" spans="1:4" x14ac:dyDescent="0.2">
      <c r="A55" s="8" t="s">
        <v>10</v>
      </c>
      <c r="B55" s="8">
        <v>1999</v>
      </c>
      <c r="C55" s="8" t="s">
        <v>17</v>
      </c>
      <c r="D55" s="8">
        <v>22300</v>
      </c>
    </row>
    <row r="56" spans="1:4" x14ac:dyDescent="0.2">
      <c r="A56" s="8" t="s">
        <v>11</v>
      </c>
      <c r="B56" s="8">
        <v>1999</v>
      </c>
      <c r="C56" s="8" t="s">
        <v>17</v>
      </c>
      <c r="D56" s="8">
        <v>56700</v>
      </c>
    </row>
    <row r="57" spans="1:4" x14ac:dyDescent="0.2">
      <c r="A57" s="8" t="s">
        <v>12</v>
      </c>
      <c r="B57" s="8">
        <v>1999</v>
      </c>
      <c r="C57" s="8" t="s">
        <v>17</v>
      </c>
      <c r="D57" s="8">
        <v>123300</v>
      </c>
    </row>
    <row r="58" spans="1:4" x14ac:dyDescent="0.2">
      <c r="A58" s="8" t="s">
        <v>13</v>
      </c>
      <c r="B58" s="8">
        <v>1999</v>
      </c>
      <c r="C58" s="8" t="s">
        <v>17</v>
      </c>
      <c r="D58" s="8">
        <v>168900</v>
      </c>
    </row>
    <row r="59" spans="1:4" x14ac:dyDescent="0.2">
      <c r="A59" s="8" t="s">
        <v>14</v>
      </c>
      <c r="B59" s="8">
        <v>1999</v>
      </c>
      <c r="C59" s="8" t="s">
        <v>17</v>
      </c>
      <c r="D59" s="8">
        <v>34900</v>
      </c>
    </row>
    <row r="60" spans="1:4" x14ac:dyDescent="0.2">
      <c r="A60" s="8" t="s">
        <v>15</v>
      </c>
      <c r="B60" s="8">
        <v>1999</v>
      </c>
      <c r="C60" s="8" t="s">
        <v>17</v>
      </c>
      <c r="D60" s="8">
        <v>231700</v>
      </c>
    </row>
    <row r="61" spans="1:4" x14ac:dyDescent="0.2">
      <c r="A61" s="8" t="s">
        <v>16</v>
      </c>
      <c r="B61" s="8">
        <v>1999</v>
      </c>
      <c r="C61" s="8" t="s">
        <v>17</v>
      </c>
      <c r="D61" s="8">
        <v>120200</v>
      </c>
    </row>
    <row r="62" spans="1:4" x14ac:dyDescent="0.2">
      <c r="A62" s="8" t="s">
        <v>5</v>
      </c>
      <c r="B62" s="8">
        <v>2011</v>
      </c>
      <c r="C62" s="8" t="s">
        <v>17</v>
      </c>
      <c r="D62" s="8">
        <v>30800</v>
      </c>
    </row>
    <row r="63" spans="1:4" x14ac:dyDescent="0.2">
      <c r="A63" s="8" t="s">
        <v>6</v>
      </c>
      <c r="B63" s="8">
        <v>2011</v>
      </c>
      <c r="C63" s="8" t="s">
        <v>17</v>
      </c>
      <c r="D63" s="8">
        <v>35000</v>
      </c>
    </row>
    <row r="64" spans="1:4" x14ac:dyDescent="0.2">
      <c r="A64" s="8" t="s">
        <v>7</v>
      </c>
      <c r="B64" s="8">
        <v>2011</v>
      </c>
      <c r="C64" s="8" t="s">
        <v>17</v>
      </c>
      <c r="D64" s="8">
        <v>27600</v>
      </c>
    </row>
    <row r="65" spans="1:4" x14ac:dyDescent="0.2">
      <c r="A65" s="8" t="s">
        <v>8</v>
      </c>
      <c r="B65" s="8">
        <v>2011</v>
      </c>
      <c r="C65" s="8" t="s">
        <v>17</v>
      </c>
      <c r="D65" s="8">
        <v>68200</v>
      </c>
    </row>
    <row r="66" spans="1:4" x14ac:dyDescent="0.2">
      <c r="A66" s="8" t="s">
        <v>9</v>
      </c>
      <c r="B66" s="8">
        <v>2011</v>
      </c>
      <c r="C66" s="8" t="s">
        <v>17</v>
      </c>
      <c r="D66" s="8">
        <v>108900</v>
      </c>
    </row>
    <row r="67" spans="1:4" x14ac:dyDescent="0.2">
      <c r="A67" s="8" t="s">
        <v>10</v>
      </c>
      <c r="B67" s="8">
        <v>2011</v>
      </c>
      <c r="C67" s="8" t="s">
        <v>17</v>
      </c>
      <c r="D67" s="8">
        <v>17200</v>
      </c>
    </row>
    <row r="68" spans="1:4" x14ac:dyDescent="0.2">
      <c r="A68" s="8" t="s">
        <v>11</v>
      </c>
      <c r="B68" s="8">
        <v>2011</v>
      </c>
      <c r="C68" s="8" t="s">
        <v>17</v>
      </c>
      <c r="D68" s="8">
        <v>44000</v>
      </c>
    </row>
    <row r="69" spans="1:4" x14ac:dyDescent="0.2">
      <c r="A69" s="8" t="s">
        <v>12</v>
      </c>
      <c r="B69" s="8">
        <v>2011</v>
      </c>
      <c r="C69" s="8" t="s">
        <v>17</v>
      </c>
      <c r="D69" s="8">
        <v>96900</v>
      </c>
    </row>
    <row r="70" spans="1:4" x14ac:dyDescent="0.2">
      <c r="A70" s="8" t="s">
        <v>13</v>
      </c>
      <c r="B70" s="8">
        <v>2011</v>
      </c>
      <c r="C70" s="8" t="s">
        <v>17</v>
      </c>
      <c r="D70" s="8">
        <v>134000</v>
      </c>
    </row>
    <row r="71" spans="1:4" x14ac:dyDescent="0.2">
      <c r="A71" s="8" t="s">
        <v>14</v>
      </c>
      <c r="B71" s="8">
        <v>2011</v>
      </c>
      <c r="C71" s="8" t="s">
        <v>17</v>
      </c>
      <c r="D71" s="8">
        <v>26100</v>
      </c>
    </row>
    <row r="72" spans="1:4" x14ac:dyDescent="0.2">
      <c r="A72" s="8" t="s">
        <v>15</v>
      </c>
      <c r="B72" s="8">
        <v>2011</v>
      </c>
      <c r="C72" s="8" t="s">
        <v>17</v>
      </c>
      <c r="D72" s="8">
        <v>163500</v>
      </c>
    </row>
    <row r="73" spans="1:4" x14ac:dyDescent="0.2">
      <c r="A73" s="8" t="s">
        <v>16</v>
      </c>
      <c r="B73" s="8">
        <v>2011</v>
      </c>
      <c r="C73" s="8" t="s">
        <v>17</v>
      </c>
      <c r="D73" s="8">
        <v>75800</v>
      </c>
    </row>
    <row r="74" spans="1:4" x14ac:dyDescent="0.2">
      <c r="A74" s="8" t="s">
        <v>5</v>
      </c>
      <c r="B74" s="8">
        <v>2012</v>
      </c>
      <c r="C74" s="8" t="s">
        <v>17</v>
      </c>
      <c r="D74" s="8">
        <v>33000</v>
      </c>
    </row>
    <row r="75" spans="1:4" x14ac:dyDescent="0.2">
      <c r="A75" s="8" t="s">
        <v>6</v>
      </c>
      <c r="B75" s="8">
        <v>2012</v>
      </c>
      <c r="C75" s="8" t="s">
        <v>17</v>
      </c>
      <c r="D75" s="8">
        <v>33000</v>
      </c>
    </row>
    <row r="76" spans="1:4" x14ac:dyDescent="0.2">
      <c r="A76" s="8" t="s">
        <v>7</v>
      </c>
      <c r="B76" s="8">
        <v>2012</v>
      </c>
      <c r="C76" s="8" t="s">
        <v>17</v>
      </c>
      <c r="D76" s="8">
        <v>27900</v>
      </c>
    </row>
    <row r="77" spans="1:4" x14ac:dyDescent="0.2">
      <c r="A77" s="8" t="s">
        <v>8</v>
      </c>
      <c r="B77" s="8">
        <v>2012</v>
      </c>
      <c r="C77" s="8" t="s">
        <v>17</v>
      </c>
      <c r="D77" s="8">
        <v>74200</v>
      </c>
    </row>
    <row r="78" spans="1:4" x14ac:dyDescent="0.2">
      <c r="A78" s="8" t="s">
        <v>9</v>
      </c>
      <c r="B78" s="8">
        <v>2012</v>
      </c>
      <c r="C78" s="8" t="s">
        <v>17</v>
      </c>
      <c r="D78" s="8">
        <v>103800</v>
      </c>
    </row>
    <row r="79" spans="1:4" x14ac:dyDescent="0.2">
      <c r="A79" s="8" t="s">
        <v>10</v>
      </c>
      <c r="B79" s="8">
        <v>2012</v>
      </c>
      <c r="C79" s="8" t="s">
        <v>17</v>
      </c>
      <c r="D79" s="8">
        <v>17700</v>
      </c>
    </row>
    <row r="80" spans="1:4" x14ac:dyDescent="0.2">
      <c r="A80" s="8" t="s">
        <v>11</v>
      </c>
      <c r="B80" s="8">
        <v>2012</v>
      </c>
      <c r="C80" s="8" t="s">
        <v>17</v>
      </c>
      <c r="D80" s="8">
        <v>42800</v>
      </c>
    </row>
    <row r="81" spans="1:4" x14ac:dyDescent="0.2">
      <c r="A81" s="8" t="s">
        <v>12</v>
      </c>
      <c r="B81" s="8">
        <v>2012</v>
      </c>
      <c r="C81" s="8" t="s">
        <v>17</v>
      </c>
      <c r="D81" s="8">
        <v>101400</v>
      </c>
    </row>
    <row r="82" spans="1:4" x14ac:dyDescent="0.2">
      <c r="A82" s="8" t="s">
        <v>13</v>
      </c>
      <c r="B82" s="8">
        <v>2012</v>
      </c>
      <c r="C82" s="8" t="s">
        <v>17</v>
      </c>
      <c r="D82" s="8">
        <v>142100</v>
      </c>
    </row>
    <row r="83" spans="1:4" x14ac:dyDescent="0.2">
      <c r="A83" s="8" t="s">
        <v>14</v>
      </c>
      <c r="B83" s="8">
        <v>2012</v>
      </c>
      <c r="C83" s="8" t="s">
        <v>17</v>
      </c>
      <c r="D83" s="8">
        <v>27900</v>
      </c>
    </row>
    <row r="84" spans="1:4" x14ac:dyDescent="0.2">
      <c r="A84" s="8" t="s">
        <v>15</v>
      </c>
      <c r="B84" s="8">
        <v>2012</v>
      </c>
      <c r="C84" s="8" t="s">
        <v>17</v>
      </c>
      <c r="D84" s="8">
        <v>167500</v>
      </c>
    </row>
    <row r="85" spans="1:4" x14ac:dyDescent="0.2">
      <c r="A85" s="8" t="s">
        <v>16</v>
      </c>
      <c r="B85" s="8">
        <v>2012</v>
      </c>
      <c r="C85" s="8" t="s">
        <v>17</v>
      </c>
      <c r="D85" s="8">
        <v>72800</v>
      </c>
    </row>
    <row r="86" spans="1:4" x14ac:dyDescent="0.2">
      <c r="A86" s="8" t="s">
        <v>5</v>
      </c>
      <c r="B86" s="8">
        <v>2019</v>
      </c>
      <c r="C86" s="8" t="s">
        <v>17</v>
      </c>
      <c r="D86" s="8">
        <v>30700</v>
      </c>
    </row>
    <row r="87" spans="1:4" x14ac:dyDescent="0.2">
      <c r="A87" s="8" t="s">
        <v>6</v>
      </c>
      <c r="B87" s="8">
        <v>2019</v>
      </c>
      <c r="C87" s="8" t="s">
        <v>17</v>
      </c>
      <c r="D87" s="8">
        <v>36400</v>
      </c>
    </row>
    <row r="88" spans="1:4" x14ac:dyDescent="0.2">
      <c r="A88" s="8" t="s">
        <v>7</v>
      </c>
      <c r="B88" s="8">
        <v>2019</v>
      </c>
      <c r="C88" s="8" t="s">
        <v>17</v>
      </c>
      <c r="D88" s="8">
        <v>27900</v>
      </c>
    </row>
    <row r="89" spans="1:4" x14ac:dyDescent="0.2">
      <c r="A89" s="8" t="s">
        <v>8</v>
      </c>
      <c r="B89" s="8">
        <v>2019</v>
      </c>
      <c r="C89" s="8" t="s">
        <v>17</v>
      </c>
      <c r="D89" s="8">
        <v>73000</v>
      </c>
    </row>
    <row r="90" spans="1:4" x14ac:dyDescent="0.2">
      <c r="A90" s="8" t="s">
        <v>9</v>
      </c>
      <c r="B90" s="8">
        <v>2019</v>
      </c>
      <c r="C90" s="8" t="s">
        <v>17</v>
      </c>
      <c r="D90" s="8">
        <v>108800</v>
      </c>
    </row>
    <row r="91" spans="1:4" x14ac:dyDescent="0.2">
      <c r="A91" s="8" t="s">
        <v>10</v>
      </c>
      <c r="B91" s="8">
        <v>2019</v>
      </c>
      <c r="C91" s="8" t="s">
        <v>17</v>
      </c>
      <c r="D91" s="8">
        <v>16800</v>
      </c>
    </row>
    <row r="92" spans="1:4" x14ac:dyDescent="0.2">
      <c r="A92" s="8" t="s">
        <v>11</v>
      </c>
      <c r="B92" s="8">
        <v>2019</v>
      </c>
      <c r="C92" s="8" t="s">
        <v>17</v>
      </c>
      <c r="D92" s="8">
        <v>46500</v>
      </c>
    </row>
    <row r="93" spans="1:4" x14ac:dyDescent="0.2">
      <c r="A93" s="8" t="s">
        <v>12</v>
      </c>
      <c r="B93" s="8">
        <v>2019</v>
      </c>
      <c r="C93" s="8" t="s">
        <v>17</v>
      </c>
      <c r="D93" s="8">
        <v>100600</v>
      </c>
    </row>
    <row r="94" spans="1:4" x14ac:dyDescent="0.2">
      <c r="A94" s="8" t="s">
        <v>13</v>
      </c>
      <c r="B94" s="8">
        <v>2019</v>
      </c>
      <c r="C94" s="8" t="s">
        <v>17</v>
      </c>
      <c r="D94" s="8">
        <v>139700</v>
      </c>
    </row>
    <row r="95" spans="1:4" x14ac:dyDescent="0.2">
      <c r="A95" s="8" t="s">
        <v>14</v>
      </c>
      <c r="B95" s="8">
        <v>2019</v>
      </c>
      <c r="C95" s="8" t="s">
        <v>17</v>
      </c>
      <c r="D95" s="8">
        <v>25300</v>
      </c>
    </row>
    <row r="96" spans="1:4" x14ac:dyDescent="0.2">
      <c r="A96" s="8" t="s">
        <v>15</v>
      </c>
      <c r="B96" s="8">
        <v>2019</v>
      </c>
      <c r="C96" s="8" t="s">
        <v>17</v>
      </c>
      <c r="D96" s="8">
        <v>181600</v>
      </c>
    </row>
    <row r="97" spans="1:4" x14ac:dyDescent="0.2">
      <c r="A97" s="8" t="s">
        <v>16</v>
      </c>
      <c r="B97" s="8">
        <v>2019</v>
      </c>
      <c r="C97" s="8" t="s">
        <v>17</v>
      </c>
      <c r="D97" s="8">
        <v>79200</v>
      </c>
    </row>
    <row r="98" spans="1:4" x14ac:dyDescent="0.2">
      <c r="A98" s="8" t="s">
        <v>5</v>
      </c>
      <c r="B98" s="8">
        <v>1999</v>
      </c>
      <c r="C98" s="8" t="s">
        <v>18</v>
      </c>
      <c r="D98" s="8">
        <v>13500</v>
      </c>
    </row>
    <row r="99" spans="1:4" x14ac:dyDescent="0.2">
      <c r="A99" s="8" t="s">
        <v>6</v>
      </c>
      <c r="B99" s="8">
        <v>1999</v>
      </c>
      <c r="C99" s="8" t="s">
        <v>18</v>
      </c>
      <c r="D99" s="8">
        <v>19600</v>
      </c>
    </row>
    <row r="100" spans="1:4" x14ac:dyDescent="0.2">
      <c r="A100" s="8" t="s">
        <v>7</v>
      </c>
      <c r="B100" s="8">
        <v>1999</v>
      </c>
      <c r="C100" s="8" t="s">
        <v>18</v>
      </c>
      <c r="D100" s="8">
        <v>13100</v>
      </c>
    </row>
    <row r="101" spans="1:4" x14ac:dyDescent="0.2">
      <c r="A101" s="8" t="s">
        <v>8</v>
      </c>
      <c r="B101" s="8">
        <v>1999</v>
      </c>
      <c r="C101" s="8" t="s">
        <v>18</v>
      </c>
      <c r="D101" s="8">
        <v>37800</v>
      </c>
    </row>
    <row r="102" spans="1:4" x14ac:dyDescent="0.2">
      <c r="A102" s="8" t="s">
        <v>9</v>
      </c>
      <c r="B102" s="8">
        <v>1999</v>
      </c>
      <c r="C102" s="8" t="s">
        <v>18</v>
      </c>
      <c r="D102" s="8">
        <v>58600</v>
      </c>
    </row>
    <row r="103" spans="1:4" x14ac:dyDescent="0.2">
      <c r="A103" s="8" t="s">
        <v>10</v>
      </c>
      <c r="B103" s="8">
        <v>1999</v>
      </c>
      <c r="C103" s="8" t="s">
        <v>18</v>
      </c>
      <c r="D103" s="8">
        <v>6200</v>
      </c>
    </row>
    <row r="104" spans="1:4" x14ac:dyDescent="0.2">
      <c r="A104" s="8" t="s">
        <v>11</v>
      </c>
      <c r="B104" s="8">
        <v>1999</v>
      </c>
      <c r="C104" s="8" t="s">
        <v>18</v>
      </c>
      <c r="D104" s="8">
        <v>31000</v>
      </c>
    </row>
    <row r="105" spans="1:4" x14ac:dyDescent="0.2">
      <c r="A105" s="8" t="s">
        <v>12</v>
      </c>
      <c r="B105" s="8">
        <v>1999</v>
      </c>
      <c r="C105" s="8" t="s">
        <v>18</v>
      </c>
      <c r="D105" s="8">
        <v>59500</v>
      </c>
    </row>
    <row r="106" spans="1:4" x14ac:dyDescent="0.2">
      <c r="A106" s="8" t="s">
        <v>13</v>
      </c>
      <c r="B106" s="8">
        <v>1999</v>
      </c>
      <c r="C106" s="8" t="s">
        <v>18</v>
      </c>
      <c r="D106" s="8">
        <v>96500</v>
      </c>
    </row>
    <row r="107" spans="1:4" x14ac:dyDescent="0.2">
      <c r="A107" s="8" t="s">
        <v>14</v>
      </c>
      <c r="B107" s="8">
        <v>1999</v>
      </c>
      <c r="C107" s="8" t="s">
        <v>18</v>
      </c>
      <c r="D107" s="8">
        <v>9200</v>
      </c>
    </row>
    <row r="108" spans="1:4" x14ac:dyDescent="0.2">
      <c r="A108" s="8" t="s">
        <v>15</v>
      </c>
      <c r="B108" s="8">
        <v>1999</v>
      </c>
      <c r="C108" s="8" t="s">
        <v>18</v>
      </c>
      <c r="D108" s="8">
        <v>86300</v>
      </c>
    </row>
    <row r="109" spans="1:4" x14ac:dyDescent="0.2">
      <c r="A109" s="8" t="s">
        <v>16</v>
      </c>
      <c r="B109" s="8">
        <v>1999</v>
      </c>
      <c r="C109" s="8" t="s">
        <v>18</v>
      </c>
      <c r="D109" s="8">
        <v>29200</v>
      </c>
    </row>
    <row r="110" spans="1:4" x14ac:dyDescent="0.2">
      <c r="A110" s="8" t="s">
        <v>5</v>
      </c>
      <c r="B110" s="8">
        <v>2011</v>
      </c>
      <c r="C110" s="8" t="s">
        <v>18</v>
      </c>
      <c r="D110" s="8">
        <v>14000</v>
      </c>
    </row>
    <row r="111" spans="1:4" x14ac:dyDescent="0.2">
      <c r="A111" s="8" t="s">
        <v>6</v>
      </c>
      <c r="B111" s="8">
        <v>2011</v>
      </c>
      <c r="C111" s="8" t="s">
        <v>18</v>
      </c>
      <c r="D111" s="8">
        <v>19000</v>
      </c>
    </row>
    <row r="112" spans="1:4" x14ac:dyDescent="0.2">
      <c r="A112" s="8" t="s">
        <v>7</v>
      </c>
      <c r="B112" s="8">
        <v>2011</v>
      </c>
      <c r="C112" s="8" t="s">
        <v>18</v>
      </c>
      <c r="D112" s="8">
        <v>14900</v>
      </c>
    </row>
    <row r="113" spans="1:4" x14ac:dyDescent="0.2">
      <c r="A113" s="8" t="s">
        <v>8</v>
      </c>
      <c r="B113" s="8">
        <v>2011</v>
      </c>
      <c r="C113" s="8" t="s">
        <v>18</v>
      </c>
      <c r="D113" s="8">
        <v>35900</v>
      </c>
    </row>
    <row r="114" spans="1:4" x14ac:dyDescent="0.2">
      <c r="A114" s="8" t="s">
        <v>9</v>
      </c>
      <c r="B114" s="8">
        <v>2011</v>
      </c>
      <c r="C114" s="8" t="s">
        <v>18</v>
      </c>
      <c r="D114" s="8">
        <v>54300</v>
      </c>
    </row>
    <row r="115" spans="1:4" x14ac:dyDescent="0.2">
      <c r="A115" s="8" t="s">
        <v>10</v>
      </c>
      <c r="B115" s="8">
        <v>2011</v>
      </c>
      <c r="C115" s="8" t="s">
        <v>18</v>
      </c>
      <c r="D115" s="8">
        <v>8200</v>
      </c>
    </row>
    <row r="116" spans="1:4" x14ac:dyDescent="0.2">
      <c r="A116" s="8" t="s">
        <v>11</v>
      </c>
      <c r="B116" s="8">
        <v>2011</v>
      </c>
      <c r="C116" s="8" t="s">
        <v>18</v>
      </c>
      <c r="D116" s="8">
        <v>28200</v>
      </c>
    </row>
    <row r="117" spans="1:4" x14ac:dyDescent="0.2">
      <c r="A117" s="8" t="s">
        <v>12</v>
      </c>
      <c r="B117" s="8">
        <v>2011</v>
      </c>
      <c r="C117" s="8" t="s">
        <v>18</v>
      </c>
      <c r="D117" s="8">
        <v>59200</v>
      </c>
    </row>
    <row r="118" spans="1:4" x14ac:dyDescent="0.2">
      <c r="A118" s="8" t="s">
        <v>13</v>
      </c>
      <c r="B118" s="8">
        <v>2011</v>
      </c>
      <c r="C118" s="8" t="s">
        <v>18</v>
      </c>
      <c r="D118" s="8">
        <v>87000</v>
      </c>
    </row>
    <row r="119" spans="1:4" x14ac:dyDescent="0.2">
      <c r="A119" s="8" t="s">
        <v>14</v>
      </c>
      <c r="B119" s="8">
        <v>2011</v>
      </c>
      <c r="C119" s="8" t="s">
        <v>18</v>
      </c>
      <c r="D119" s="8">
        <v>11200</v>
      </c>
    </row>
    <row r="120" spans="1:4" x14ac:dyDescent="0.2">
      <c r="A120" s="8" t="s">
        <v>15</v>
      </c>
      <c r="B120" s="8">
        <v>2011</v>
      </c>
      <c r="C120" s="8" t="s">
        <v>18</v>
      </c>
      <c r="D120" s="8">
        <v>75200</v>
      </c>
    </row>
    <row r="121" spans="1:4" x14ac:dyDescent="0.2">
      <c r="A121" s="8" t="s">
        <v>16</v>
      </c>
      <c r="B121" s="8">
        <v>2011</v>
      </c>
      <c r="C121" s="8" t="s">
        <v>18</v>
      </c>
      <c r="D121" s="8">
        <v>23400</v>
      </c>
    </row>
    <row r="122" spans="1:4" x14ac:dyDescent="0.2">
      <c r="A122" s="8" t="s">
        <v>5</v>
      </c>
      <c r="B122" s="8">
        <v>2012</v>
      </c>
      <c r="C122" s="8" t="s">
        <v>18</v>
      </c>
      <c r="D122" s="8">
        <v>11500</v>
      </c>
    </row>
    <row r="123" spans="1:4" x14ac:dyDescent="0.2">
      <c r="A123" s="8" t="s">
        <v>6</v>
      </c>
      <c r="B123" s="8">
        <v>2012</v>
      </c>
      <c r="C123" s="8" t="s">
        <v>18</v>
      </c>
      <c r="D123" s="8">
        <v>21200</v>
      </c>
    </row>
    <row r="124" spans="1:4" x14ac:dyDescent="0.2">
      <c r="A124" s="8" t="s">
        <v>7</v>
      </c>
      <c r="B124" s="8">
        <v>2012</v>
      </c>
      <c r="C124" s="8" t="s">
        <v>18</v>
      </c>
      <c r="D124" s="8">
        <v>13900</v>
      </c>
    </row>
    <row r="125" spans="1:4" x14ac:dyDescent="0.2">
      <c r="A125" s="8" t="s">
        <v>8</v>
      </c>
      <c r="B125" s="8">
        <v>2012</v>
      </c>
      <c r="C125" s="8" t="s">
        <v>18</v>
      </c>
      <c r="D125" s="8">
        <v>32800</v>
      </c>
    </row>
    <row r="126" spans="1:4" x14ac:dyDescent="0.2">
      <c r="A126" s="8" t="s">
        <v>9</v>
      </c>
      <c r="B126" s="8">
        <v>2012</v>
      </c>
      <c r="C126" s="8" t="s">
        <v>18</v>
      </c>
      <c r="D126" s="8">
        <v>56100</v>
      </c>
    </row>
    <row r="127" spans="1:4" x14ac:dyDescent="0.2">
      <c r="A127" s="8" t="s">
        <v>10</v>
      </c>
      <c r="B127" s="8">
        <v>2012</v>
      </c>
      <c r="C127" s="8" t="s">
        <v>18</v>
      </c>
      <c r="D127" s="8">
        <v>10000</v>
      </c>
    </row>
    <row r="128" spans="1:4" x14ac:dyDescent="0.2">
      <c r="A128" s="8" t="s">
        <v>11</v>
      </c>
      <c r="B128" s="8">
        <v>2012</v>
      </c>
      <c r="C128" s="8" t="s">
        <v>18</v>
      </c>
      <c r="D128" s="8">
        <v>28900</v>
      </c>
    </row>
    <row r="129" spans="1:4" x14ac:dyDescent="0.2">
      <c r="A129" s="8" t="s">
        <v>12</v>
      </c>
      <c r="B129" s="8">
        <v>2012</v>
      </c>
      <c r="C129" s="8" t="s">
        <v>18</v>
      </c>
      <c r="D129" s="8">
        <v>59900</v>
      </c>
    </row>
    <row r="130" spans="1:4" x14ac:dyDescent="0.2">
      <c r="A130" s="8" t="s">
        <v>13</v>
      </c>
      <c r="B130" s="8">
        <v>2012</v>
      </c>
      <c r="C130" s="8" t="s">
        <v>18</v>
      </c>
      <c r="D130" s="8">
        <v>88700</v>
      </c>
    </row>
    <row r="131" spans="1:4" x14ac:dyDescent="0.2">
      <c r="A131" s="8" t="s">
        <v>14</v>
      </c>
      <c r="B131" s="8">
        <v>2012</v>
      </c>
      <c r="C131" s="8" t="s">
        <v>18</v>
      </c>
      <c r="D131" s="8">
        <v>11600</v>
      </c>
    </row>
    <row r="132" spans="1:4" x14ac:dyDescent="0.2">
      <c r="A132" s="8" t="s">
        <v>15</v>
      </c>
      <c r="B132" s="8">
        <v>2012</v>
      </c>
      <c r="C132" s="8" t="s">
        <v>18</v>
      </c>
      <c r="D132" s="8">
        <v>74700</v>
      </c>
    </row>
    <row r="133" spans="1:4" x14ac:dyDescent="0.2">
      <c r="A133" s="8" t="s">
        <v>16</v>
      </c>
      <c r="B133" s="8">
        <v>2012</v>
      </c>
      <c r="C133" s="8" t="s">
        <v>18</v>
      </c>
      <c r="D133" s="8">
        <v>24700</v>
      </c>
    </row>
    <row r="134" spans="1:4" x14ac:dyDescent="0.2">
      <c r="A134" s="8" t="s">
        <v>5</v>
      </c>
      <c r="B134" s="8">
        <v>2019</v>
      </c>
      <c r="C134" s="8" t="s">
        <v>18</v>
      </c>
      <c r="D134" s="8">
        <v>11300</v>
      </c>
    </row>
    <row r="135" spans="1:4" x14ac:dyDescent="0.2">
      <c r="A135" s="8" t="s">
        <v>6</v>
      </c>
      <c r="B135" s="8">
        <v>2019</v>
      </c>
      <c r="C135" s="8" t="s">
        <v>18</v>
      </c>
      <c r="D135" s="8">
        <v>18700</v>
      </c>
    </row>
    <row r="136" spans="1:4" x14ac:dyDescent="0.2">
      <c r="A136" s="8" t="s">
        <v>7</v>
      </c>
      <c r="B136" s="8">
        <v>2019</v>
      </c>
      <c r="C136" s="8" t="s">
        <v>18</v>
      </c>
      <c r="D136" s="8">
        <v>12900</v>
      </c>
    </row>
    <row r="137" spans="1:4" x14ac:dyDescent="0.2">
      <c r="A137" s="8" t="s">
        <v>8</v>
      </c>
      <c r="B137" s="8">
        <v>2019</v>
      </c>
      <c r="C137" s="8" t="s">
        <v>18</v>
      </c>
      <c r="D137" s="8">
        <v>29800</v>
      </c>
    </row>
    <row r="138" spans="1:4" x14ac:dyDescent="0.2">
      <c r="A138" s="8" t="s">
        <v>9</v>
      </c>
      <c r="B138" s="8">
        <v>2019</v>
      </c>
      <c r="C138" s="8" t="s">
        <v>18</v>
      </c>
      <c r="D138" s="8">
        <v>52200</v>
      </c>
    </row>
    <row r="139" spans="1:4" x14ac:dyDescent="0.2">
      <c r="A139" s="8" t="s">
        <v>10</v>
      </c>
      <c r="B139" s="8">
        <v>2019</v>
      </c>
      <c r="C139" s="8" t="s">
        <v>18</v>
      </c>
      <c r="D139" s="8">
        <v>10200</v>
      </c>
    </row>
    <row r="140" spans="1:4" x14ac:dyDescent="0.2">
      <c r="A140" s="8" t="s">
        <v>11</v>
      </c>
      <c r="B140" s="8">
        <v>2019</v>
      </c>
      <c r="C140" s="8" t="s">
        <v>18</v>
      </c>
      <c r="D140" s="8">
        <v>24300</v>
      </c>
    </row>
    <row r="141" spans="1:4" x14ac:dyDescent="0.2">
      <c r="A141" s="8" t="s">
        <v>12</v>
      </c>
      <c r="B141" s="8">
        <v>2019</v>
      </c>
      <c r="C141" s="8" t="s">
        <v>18</v>
      </c>
      <c r="D141" s="8">
        <v>56600</v>
      </c>
    </row>
    <row r="142" spans="1:4" x14ac:dyDescent="0.2">
      <c r="A142" s="8" t="s">
        <v>13</v>
      </c>
      <c r="B142" s="8">
        <v>2019</v>
      </c>
      <c r="C142" s="8" t="s">
        <v>18</v>
      </c>
      <c r="D142" s="8">
        <v>88900</v>
      </c>
    </row>
    <row r="143" spans="1:4" x14ac:dyDescent="0.2">
      <c r="A143" s="8" t="s">
        <v>14</v>
      </c>
      <c r="B143" s="8">
        <v>2019</v>
      </c>
      <c r="C143" s="8" t="s">
        <v>18</v>
      </c>
      <c r="D143" s="8">
        <v>9300</v>
      </c>
    </row>
    <row r="144" spans="1:4" x14ac:dyDescent="0.2">
      <c r="A144" s="8" t="s">
        <v>15</v>
      </c>
      <c r="B144" s="8">
        <v>2019</v>
      </c>
      <c r="C144" s="8" t="s">
        <v>18</v>
      </c>
      <c r="D144" s="8">
        <v>66300</v>
      </c>
    </row>
    <row r="145" spans="1:4" x14ac:dyDescent="0.2">
      <c r="A145" s="8" t="s">
        <v>16</v>
      </c>
      <c r="B145" s="8">
        <v>2019</v>
      </c>
      <c r="C145" s="8" t="s">
        <v>18</v>
      </c>
      <c r="D145" s="8">
        <v>21800</v>
      </c>
    </row>
    <row r="146" spans="1:4" x14ac:dyDescent="0.2">
      <c r="A146" s="8" t="s">
        <v>5</v>
      </c>
      <c r="B146" s="8">
        <v>1999</v>
      </c>
      <c r="C146" s="8" t="s">
        <v>19</v>
      </c>
      <c r="D146" s="8">
        <v>52200</v>
      </c>
    </row>
    <row r="147" spans="1:4" x14ac:dyDescent="0.2">
      <c r="A147" s="8" t="s">
        <v>6</v>
      </c>
      <c r="B147" s="8">
        <v>1999</v>
      </c>
      <c r="C147" s="8" t="s">
        <v>19</v>
      </c>
      <c r="D147" s="8">
        <v>64200</v>
      </c>
    </row>
    <row r="148" spans="1:4" x14ac:dyDescent="0.2">
      <c r="A148" s="8" t="s">
        <v>7</v>
      </c>
      <c r="B148" s="8">
        <v>1999</v>
      </c>
      <c r="C148" s="8" t="s">
        <v>19</v>
      </c>
      <c r="D148" s="8">
        <v>33400</v>
      </c>
    </row>
    <row r="149" spans="1:4" x14ac:dyDescent="0.2">
      <c r="A149" s="8" t="s">
        <v>8</v>
      </c>
      <c r="B149" s="8">
        <v>1999</v>
      </c>
      <c r="C149" s="8" t="s">
        <v>19</v>
      </c>
      <c r="D149" s="8">
        <v>111700</v>
      </c>
    </row>
    <row r="150" spans="1:4" x14ac:dyDescent="0.2">
      <c r="A150" s="8" t="s">
        <v>9</v>
      </c>
      <c r="B150" s="8">
        <v>1999</v>
      </c>
      <c r="C150" s="8" t="s">
        <v>19</v>
      </c>
      <c r="D150" s="8">
        <v>215100</v>
      </c>
    </row>
    <row r="151" spans="1:4" x14ac:dyDescent="0.2">
      <c r="A151" s="8" t="s">
        <v>10</v>
      </c>
      <c r="B151" s="8">
        <v>1999</v>
      </c>
      <c r="C151" s="8" t="s">
        <v>19</v>
      </c>
      <c r="D151" s="8">
        <v>32800</v>
      </c>
    </row>
    <row r="152" spans="1:4" x14ac:dyDescent="0.2">
      <c r="A152" s="8" t="s">
        <v>11</v>
      </c>
      <c r="B152" s="8">
        <v>1999</v>
      </c>
      <c r="C152" s="8" t="s">
        <v>19</v>
      </c>
      <c r="D152" s="8">
        <v>139300</v>
      </c>
    </row>
    <row r="153" spans="1:4" x14ac:dyDescent="0.2">
      <c r="A153" s="8" t="s">
        <v>12</v>
      </c>
      <c r="B153" s="8">
        <v>1999</v>
      </c>
      <c r="C153" s="8" t="s">
        <v>19</v>
      </c>
      <c r="D153" s="8">
        <v>337600</v>
      </c>
    </row>
    <row r="154" spans="1:4" x14ac:dyDescent="0.2">
      <c r="A154" s="8" t="s">
        <v>13</v>
      </c>
      <c r="B154" s="8">
        <v>1999</v>
      </c>
      <c r="C154" s="8" t="s">
        <v>19</v>
      </c>
      <c r="D154" s="8">
        <v>391100</v>
      </c>
    </row>
    <row r="155" spans="1:4" x14ac:dyDescent="0.2">
      <c r="A155" s="8" t="s">
        <v>14</v>
      </c>
      <c r="B155" s="8">
        <v>1999</v>
      </c>
      <c r="C155" s="8" t="s">
        <v>19</v>
      </c>
      <c r="D155" s="8">
        <v>43500</v>
      </c>
    </row>
    <row r="156" spans="1:4" x14ac:dyDescent="0.2">
      <c r="A156" s="8" t="s">
        <v>15</v>
      </c>
      <c r="B156" s="8">
        <v>1999</v>
      </c>
      <c r="C156" s="8" t="s">
        <v>19</v>
      </c>
      <c r="D156" s="8">
        <v>289700</v>
      </c>
    </row>
    <row r="157" spans="1:4" x14ac:dyDescent="0.2">
      <c r="A157" s="8" t="s">
        <v>16</v>
      </c>
      <c r="B157" s="8">
        <v>1999</v>
      </c>
      <c r="C157" s="8" t="s">
        <v>19</v>
      </c>
      <c r="D157" s="8">
        <v>115900</v>
      </c>
    </row>
    <row r="158" spans="1:4" x14ac:dyDescent="0.2">
      <c r="A158" s="8" t="s">
        <v>5</v>
      </c>
      <c r="B158" s="8">
        <v>2011</v>
      </c>
      <c r="C158" s="8" t="s">
        <v>19</v>
      </c>
      <c r="D158" s="8">
        <v>62400</v>
      </c>
    </row>
    <row r="159" spans="1:4" x14ac:dyDescent="0.2">
      <c r="A159" s="8" t="s">
        <v>6</v>
      </c>
      <c r="B159" s="8">
        <v>2011</v>
      </c>
      <c r="C159" s="8" t="s">
        <v>19</v>
      </c>
      <c r="D159" s="8">
        <v>65500</v>
      </c>
    </row>
    <row r="160" spans="1:4" x14ac:dyDescent="0.2">
      <c r="A160" s="8" t="s">
        <v>7</v>
      </c>
      <c r="B160" s="8">
        <v>2011</v>
      </c>
      <c r="C160" s="8" t="s">
        <v>19</v>
      </c>
      <c r="D160" s="8">
        <v>51500</v>
      </c>
    </row>
    <row r="161" spans="1:4" x14ac:dyDescent="0.2">
      <c r="A161" s="8" t="s">
        <v>8</v>
      </c>
      <c r="B161" s="8">
        <v>2011</v>
      </c>
      <c r="C161" s="8" t="s">
        <v>19</v>
      </c>
      <c r="D161" s="8">
        <v>134299.99999999997</v>
      </c>
    </row>
    <row r="162" spans="1:4" x14ac:dyDescent="0.2">
      <c r="A162" s="8" t="s">
        <v>9</v>
      </c>
      <c r="B162" s="8">
        <v>2011</v>
      </c>
      <c r="C162" s="8" t="s">
        <v>19</v>
      </c>
      <c r="D162" s="8">
        <v>243100</v>
      </c>
    </row>
    <row r="163" spans="1:4" x14ac:dyDescent="0.2">
      <c r="A163" s="8" t="s">
        <v>10</v>
      </c>
      <c r="B163" s="8">
        <v>2011</v>
      </c>
      <c r="C163" s="8" t="s">
        <v>19</v>
      </c>
      <c r="D163" s="8">
        <v>55700</v>
      </c>
    </row>
    <row r="164" spans="1:4" x14ac:dyDescent="0.2">
      <c r="A164" s="8" t="s">
        <v>11</v>
      </c>
      <c r="B164" s="8">
        <v>2011</v>
      </c>
      <c r="C164" s="8" t="s">
        <v>19</v>
      </c>
      <c r="D164" s="8">
        <v>160200</v>
      </c>
    </row>
    <row r="165" spans="1:4" x14ac:dyDescent="0.2">
      <c r="A165" s="8" t="s">
        <v>12</v>
      </c>
      <c r="B165" s="8">
        <v>2011</v>
      </c>
      <c r="C165" s="8" t="s">
        <v>19</v>
      </c>
      <c r="D165" s="8">
        <v>370100</v>
      </c>
    </row>
    <row r="166" spans="1:4" x14ac:dyDescent="0.2">
      <c r="A166" s="8" t="s">
        <v>13</v>
      </c>
      <c r="B166" s="8">
        <v>2011</v>
      </c>
      <c r="C166" s="8" t="s">
        <v>19</v>
      </c>
      <c r="D166" s="8">
        <v>431000</v>
      </c>
    </row>
    <row r="167" spans="1:4" x14ac:dyDescent="0.2">
      <c r="A167" s="8" t="s">
        <v>14</v>
      </c>
      <c r="B167" s="8">
        <v>2011</v>
      </c>
      <c r="C167" s="8" t="s">
        <v>19</v>
      </c>
      <c r="D167" s="8">
        <v>44100</v>
      </c>
    </row>
    <row r="168" spans="1:4" x14ac:dyDescent="0.2">
      <c r="A168" s="8" t="s">
        <v>15</v>
      </c>
      <c r="B168" s="8">
        <v>2011</v>
      </c>
      <c r="C168" s="8" t="s">
        <v>19</v>
      </c>
      <c r="D168" s="8">
        <v>310700</v>
      </c>
    </row>
    <row r="169" spans="1:4" x14ac:dyDescent="0.2">
      <c r="A169" s="8" t="s">
        <v>16</v>
      </c>
      <c r="B169" s="8">
        <v>2011</v>
      </c>
      <c r="C169" s="8" t="s">
        <v>19</v>
      </c>
      <c r="D169" s="8">
        <v>134600</v>
      </c>
    </row>
    <row r="170" spans="1:4" x14ac:dyDescent="0.2">
      <c r="A170" s="8" t="s">
        <v>5</v>
      </c>
      <c r="B170" s="8">
        <v>2012</v>
      </c>
      <c r="C170" s="8" t="s">
        <v>19</v>
      </c>
      <c r="D170" s="8">
        <v>60400.000000000007</v>
      </c>
    </row>
    <row r="171" spans="1:4" x14ac:dyDescent="0.2">
      <c r="A171" s="8" t="s">
        <v>6</v>
      </c>
      <c r="B171" s="8">
        <v>2012</v>
      </c>
      <c r="C171" s="8" t="s">
        <v>19</v>
      </c>
      <c r="D171" s="8">
        <v>73800</v>
      </c>
    </row>
    <row r="172" spans="1:4" x14ac:dyDescent="0.2">
      <c r="A172" s="8" t="s">
        <v>7</v>
      </c>
      <c r="B172" s="8">
        <v>2012</v>
      </c>
      <c r="C172" s="8" t="s">
        <v>19</v>
      </c>
      <c r="D172" s="8">
        <v>54599.999999999993</v>
      </c>
    </row>
    <row r="173" spans="1:4" x14ac:dyDescent="0.2">
      <c r="A173" s="8" t="s">
        <v>8</v>
      </c>
      <c r="B173" s="8">
        <v>2012</v>
      </c>
      <c r="C173" s="8" t="s">
        <v>19</v>
      </c>
      <c r="D173" s="8">
        <v>128199.99999999999</v>
      </c>
    </row>
    <row r="174" spans="1:4" x14ac:dyDescent="0.2">
      <c r="A174" s="8" t="s">
        <v>9</v>
      </c>
      <c r="B174" s="8">
        <v>2012</v>
      </c>
      <c r="C174" s="8" t="s">
        <v>19</v>
      </c>
      <c r="D174" s="8">
        <v>242500</v>
      </c>
    </row>
    <row r="175" spans="1:4" x14ac:dyDescent="0.2">
      <c r="A175" s="8" t="s">
        <v>10</v>
      </c>
      <c r="B175" s="8">
        <v>2012</v>
      </c>
      <c r="C175" s="8" t="s">
        <v>19</v>
      </c>
      <c r="D175" s="8">
        <v>58699.999999999993</v>
      </c>
    </row>
    <row r="176" spans="1:4" x14ac:dyDescent="0.2">
      <c r="A176" s="8" t="s">
        <v>11</v>
      </c>
      <c r="B176" s="8">
        <v>2012</v>
      </c>
      <c r="C176" s="8" t="s">
        <v>19</v>
      </c>
      <c r="D176" s="8">
        <v>172400</v>
      </c>
    </row>
    <row r="177" spans="1:4" x14ac:dyDescent="0.2">
      <c r="A177" s="8" t="s">
        <v>12</v>
      </c>
      <c r="B177" s="8">
        <v>2012</v>
      </c>
      <c r="C177" s="8" t="s">
        <v>19</v>
      </c>
      <c r="D177" s="8">
        <v>378400</v>
      </c>
    </row>
    <row r="178" spans="1:4" x14ac:dyDescent="0.2">
      <c r="A178" s="8" t="s">
        <v>13</v>
      </c>
      <c r="B178" s="8">
        <v>2012</v>
      </c>
      <c r="C178" s="8" t="s">
        <v>19</v>
      </c>
      <c r="D178" s="8">
        <v>428500</v>
      </c>
    </row>
    <row r="179" spans="1:4" x14ac:dyDescent="0.2">
      <c r="A179" s="8" t="s">
        <v>14</v>
      </c>
      <c r="B179" s="8">
        <v>2012</v>
      </c>
      <c r="C179" s="8" t="s">
        <v>19</v>
      </c>
      <c r="D179" s="8">
        <v>48600</v>
      </c>
    </row>
    <row r="180" spans="1:4" x14ac:dyDescent="0.2">
      <c r="A180" s="8" t="s">
        <v>15</v>
      </c>
      <c r="B180" s="8">
        <v>2012</v>
      </c>
      <c r="C180" s="8" t="s">
        <v>19</v>
      </c>
      <c r="D180" s="8">
        <v>317400.00000000006</v>
      </c>
    </row>
    <row r="181" spans="1:4" x14ac:dyDescent="0.2">
      <c r="A181" s="8" t="s">
        <v>16</v>
      </c>
      <c r="B181" s="8">
        <v>2012</v>
      </c>
      <c r="C181" s="8" t="s">
        <v>19</v>
      </c>
      <c r="D181" s="8">
        <v>138200.00000000003</v>
      </c>
    </row>
    <row r="182" spans="1:4" x14ac:dyDescent="0.2">
      <c r="A182" s="8" t="s">
        <v>5</v>
      </c>
      <c r="B182" s="8">
        <v>2019</v>
      </c>
      <c r="C182" s="8" t="s">
        <v>19</v>
      </c>
      <c r="D182" s="8">
        <v>65800</v>
      </c>
    </row>
    <row r="183" spans="1:4" x14ac:dyDescent="0.2">
      <c r="A183" s="8" t="s">
        <v>6</v>
      </c>
      <c r="B183" s="8">
        <v>2019</v>
      </c>
      <c r="C183" s="8" t="s">
        <v>19</v>
      </c>
      <c r="D183" s="8">
        <v>75300</v>
      </c>
    </row>
    <row r="184" spans="1:4" x14ac:dyDescent="0.2">
      <c r="A184" s="8" t="s">
        <v>7</v>
      </c>
      <c r="B184" s="8">
        <v>2019</v>
      </c>
      <c r="C184" s="8" t="s">
        <v>19</v>
      </c>
      <c r="D184" s="8">
        <v>54400</v>
      </c>
    </row>
    <row r="185" spans="1:4" x14ac:dyDescent="0.2">
      <c r="A185" s="8" t="s">
        <v>8</v>
      </c>
      <c r="B185" s="8">
        <v>2019</v>
      </c>
      <c r="C185" s="8" t="s">
        <v>19</v>
      </c>
      <c r="D185" s="8">
        <v>143800</v>
      </c>
    </row>
    <row r="186" spans="1:4" x14ac:dyDescent="0.2">
      <c r="A186" s="8" t="s">
        <v>9</v>
      </c>
      <c r="B186" s="8">
        <v>2019</v>
      </c>
      <c r="C186" s="8" t="s">
        <v>19</v>
      </c>
      <c r="D186" s="8">
        <v>263100</v>
      </c>
    </row>
    <row r="187" spans="1:4" x14ac:dyDescent="0.2">
      <c r="A187" s="8" t="s">
        <v>10</v>
      </c>
      <c r="B187" s="8">
        <v>2019</v>
      </c>
      <c r="C187" s="8" t="s">
        <v>19</v>
      </c>
      <c r="D187" s="8">
        <v>65200</v>
      </c>
    </row>
    <row r="188" spans="1:4" x14ac:dyDescent="0.2">
      <c r="A188" s="8" t="s">
        <v>11</v>
      </c>
      <c r="B188" s="8">
        <v>2019</v>
      </c>
      <c r="C188" s="8" t="s">
        <v>19</v>
      </c>
      <c r="D188" s="8">
        <v>174100.00000000003</v>
      </c>
    </row>
    <row r="189" spans="1:4" x14ac:dyDescent="0.2">
      <c r="A189" s="8" t="s">
        <v>12</v>
      </c>
      <c r="B189" s="8">
        <v>2019</v>
      </c>
      <c r="C189" s="8" t="s">
        <v>19</v>
      </c>
      <c r="D189" s="8">
        <v>394000</v>
      </c>
    </row>
    <row r="190" spans="1:4" x14ac:dyDescent="0.2">
      <c r="A190" s="8" t="s">
        <v>13</v>
      </c>
      <c r="B190" s="8">
        <v>2019</v>
      </c>
      <c r="C190" s="8" t="s">
        <v>19</v>
      </c>
      <c r="D190" s="8">
        <v>485500</v>
      </c>
    </row>
    <row r="191" spans="1:4" x14ac:dyDescent="0.2">
      <c r="A191" s="8" t="s">
        <v>14</v>
      </c>
      <c r="B191" s="8">
        <v>2019</v>
      </c>
      <c r="C191" s="8" t="s">
        <v>19</v>
      </c>
      <c r="D191" s="8">
        <v>50000</v>
      </c>
    </row>
    <row r="192" spans="1:4" x14ac:dyDescent="0.2">
      <c r="A192" s="8" t="s">
        <v>15</v>
      </c>
      <c r="B192" s="8">
        <v>2019</v>
      </c>
      <c r="C192" s="8" t="s">
        <v>19</v>
      </c>
      <c r="D192" s="8">
        <v>355800</v>
      </c>
    </row>
    <row r="193" spans="1:4" x14ac:dyDescent="0.2">
      <c r="A193" s="8" t="s">
        <v>16</v>
      </c>
      <c r="B193" s="8">
        <v>2019</v>
      </c>
      <c r="C193" s="8" t="s">
        <v>19</v>
      </c>
      <c r="D193" s="8">
        <v>141400</v>
      </c>
    </row>
    <row r="194" spans="1:4" x14ac:dyDescent="0.2">
      <c r="A194" s="8" t="s">
        <v>5</v>
      </c>
      <c r="B194" s="8">
        <v>1999</v>
      </c>
      <c r="C194" s="8" t="s">
        <v>20</v>
      </c>
      <c r="D194" s="8">
        <v>34700</v>
      </c>
    </row>
    <row r="195" spans="1:4" x14ac:dyDescent="0.2">
      <c r="A195" s="8" t="s">
        <v>6</v>
      </c>
      <c r="B195" s="8">
        <v>1999</v>
      </c>
      <c r="C195" s="8" t="s">
        <v>20</v>
      </c>
      <c r="D195" s="8">
        <v>31100</v>
      </c>
    </row>
    <row r="196" spans="1:4" x14ac:dyDescent="0.2">
      <c r="A196" s="8" t="s">
        <v>7</v>
      </c>
      <c r="B196" s="8">
        <v>1999</v>
      </c>
      <c r="C196" s="8" t="s">
        <v>20</v>
      </c>
      <c r="D196" s="8">
        <v>18600</v>
      </c>
    </row>
    <row r="197" spans="1:4" x14ac:dyDescent="0.2">
      <c r="A197" s="8" t="s">
        <v>8</v>
      </c>
      <c r="B197" s="8">
        <v>1999</v>
      </c>
      <c r="C197" s="8" t="s">
        <v>20</v>
      </c>
      <c r="D197" s="8">
        <v>54600</v>
      </c>
    </row>
    <row r="198" spans="1:4" x14ac:dyDescent="0.2">
      <c r="A198" s="8" t="s">
        <v>9</v>
      </c>
      <c r="B198" s="8">
        <v>1999</v>
      </c>
      <c r="C198" s="8" t="s">
        <v>20</v>
      </c>
      <c r="D198" s="8">
        <v>121500</v>
      </c>
    </row>
    <row r="199" spans="1:4" x14ac:dyDescent="0.2">
      <c r="A199" s="8" t="s">
        <v>10</v>
      </c>
      <c r="B199" s="8">
        <v>1999</v>
      </c>
      <c r="C199" s="8" t="s">
        <v>20</v>
      </c>
      <c r="D199" s="8">
        <v>29700</v>
      </c>
    </row>
    <row r="200" spans="1:4" x14ac:dyDescent="0.2">
      <c r="A200" s="8" t="s">
        <v>11</v>
      </c>
      <c r="B200" s="8">
        <v>1999</v>
      </c>
      <c r="C200" s="8" t="s">
        <v>20</v>
      </c>
      <c r="D200" s="8">
        <v>108600</v>
      </c>
    </row>
    <row r="201" spans="1:4" x14ac:dyDescent="0.2">
      <c r="A201" s="8" t="s">
        <v>12</v>
      </c>
      <c r="B201" s="8">
        <v>1999</v>
      </c>
      <c r="C201" s="8" t="s">
        <v>20</v>
      </c>
      <c r="D201" s="8">
        <v>216600</v>
      </c>
    </row>
    <row r="202" spans="1:4" x14ac:dyDescent="0.2">
      <c r="A202" s="8" t="s">
        <v>13</v>
      </c>
      <c r="B202" s="8">
        <v>1999</v>
      </c>
      <c r="C202" s="8" t="s">
        <v>20</v>
      </c>
      <c r="D202" s="8">
        <v>284500</v>
      </c>
    </row>
    <row r="203" spans="1:4" x14ac:dyDescent="0.2">
      <c r="A203" s="8" t="s">
        <v>14</v>
      </c>
      <c r="B203" s="8">
        <v>1999</v>
      </c>
      <c r="C203" s="8" t="s">
        <v>20</v>
      </c>
      <c r="D203" s="8">
        <v>19300</v>
      </c>
    </row>
    <row r="204" spans="1:4" x14ac:dyDescent="0.2">
      <c r="A204" s="8" t="s">
        <v>15</v>
      </c>
      <c r="B204" s="8">
        <v>1999</v>
      </c>
      <c r="C204" s="8" t="s">
        <v>20</v>
      </c>
      <c r="D204" s="8">
        <v>147700</v>
      </c>
    </row>
    <row r="205" spans="1:4" x14ac:dyDescent="0.2">
      <c r="A205" s="8" t="s">
        <v>16</v>
      </c>
      <c r="B205" s="8">
        <v>1999</v>
      </c>
      <c r="C205" s="8" t="s">
        <v>20</v>
      </c>
      <c r="D205" s="8">
        <v>66000</v>
      </c>
    </row>
    <row r="206" spans="1:4" x14ac:dyDescent="0.2">
      <c r="A206" s="8" t="s">
        <v>5</v>
      </c>
      <c r="B206" s="8">
        <v>2011</v>
      </c>
      <c r="C206" s="8" t="s">
        <v>20</v>
      </c>
      <c r="D206" s="8">
        <v>27200.000000000004</v>
      </c>
    </row>
    <row r="207" spans="1:4" x14ac:dyDescent="0.2">
      <c r="A207" s="8" t="s">
        <v>6</v>
      </c>
      <c r="B207" s="8">
        <v>2011</v>
      </c>
      <c r="C207" s="8" t="s">
        <v>20</v>
      </c>
      <c r="D207" s="8">
        <v>34300</v>
      </c>
    </row>
    <row r="208" spans="1:4" x14ac:dyDescent="0.2">
      <c r="A208" s="8" t="s">
        <v>7</v>
      </c>
      <c r="B208" s="8">
        <v>2011</v>
      </c>
      <c r="C208" s="8" t="s">
        <v>20</v>
      </c>
      <c r="D208" s="8">
        <v>24000</v>
      </c>
    </row>
    <row r="209" spans="1:4" x14ac:dyDescent="0.2">
      <c r="A209" s="8" t="s">
        <v>8</v>
      </c>
      <c r="B209" s="8">
        <v>2011</v>
      </c>
      <c r="C209" s="8" t="s">
        <v>20</v>
      </c>
      <c r="D209" s="8">
        <v>56099.999999999993</v>
      </c>
    </row>
    <row r="210" spans="1:4" x14ac:dyDescent="0.2">
      <c r="A210" s="8" t="s">
        <v>9</v>
      </c>
      <c r="B210" s="8">
        <v>2011</v>
      </c>
      <c r="C210" s="8" t="s">
        <v>20</v>
      </c>
      <c r="D210" s="8">
        <v>111800</v>
      </c>
    </row>
    <row r="211" spans="1:4" x14ac:dyDescent="0.2">
      <c r="A211" s="8" t="s">
        <v>10</v>
      </c>
      <c r="B211" s="8">
        <v>2011</v>
      </c>
      <c r="C211" s="8" t="s">
        <v>20</v>
      </c>
      <c r="D211" s="8">
        <v>27800</v>
      </c>
    </row>
    <row r="212" spans="1:4" x14ac:dyDescent="0.2">
      <c r="A212" s="8" t="s">
        <v>11</v>
      </c>
      <c r="B212" s="8">
        <v>2011</v>
      </c>
      <c r="C212" s="8" t="s">
        <v>20</v>
      </c>
      <c r="D212" s="8">
        <v>92300</v>
      </c>
    </row>
    <row r="213" spans="1:4" x14ac:dyDescent="0.2">
      <c r="A213" s="8" t="s">
        <v>12</v>
      </c>
      <c r="B213" s="8">
        <v>2011</v>
      </c>
      <c r="C213" s="8" t="s">
        <v>20</v>
      </c>
      <c r="D213" s="8">
        <v>210399.99999999997</v>
      </c>
    </row>
    <row r="214" spans="1:4" x14ac:dyDescent="0.2">
      <c r="A214" s="8" t="s">
        <v>13</v>
      </c>
      <c r="B214" s="8">
        <v>2011</v>
      </c>
      <c r="C214" s="8" t="s">
        <v>20</v>
      </c>
      <c r="D214" s="8">
        <v>234600.00000000003</v>
      </c>
    </row>
    <row r="215" spans="1:4" x14ac:dyDescent="0.2">
      <c r="A215" s="8" t="s">
        <v>14</v>
      </c>
      <c r="B215" s="8">
        <v>2011</v>
      </c>
      <c r="C215" s="8" t="s">
        <v>20</v>
      </c>
      <c r="D215" s="8">
        <v>16600</v>
      </c>
    </row>
    <row r="216" spans="1:4" x14ac:dyDescent="0.2">
      <c r="A216" s="8" t="s">
        <v>15</v>
      </c>
      <c r="B216" s="8">
        <v>2011</v>
      </c>
      <c r="C216" s="8" t="s">
        <v>20</v>
      </c>
      <c r="D216" s="8">
        <v>136100</v>
      </c>
    </row>
    <row r="217" spans="1:4" x14ac:dyDescent="0.2">
      <c r="A217" s="8" t="s">
        <v>16</v>
      </c>
      <c r="B217" s="8">
        <v>2011</v>
      </c>
      <c r="C217" s="8" t="s">
        <v>20</v>
      </c>
      <c r="D217" s="8">
        <v>54800</v>
      </c>
    </row>
    <row r="218" spans="1:4" x14ac:dyDescent="0.2">
      <c r="A218" s="8" t="s">
        <v>5</v>
      </c>
      <c r="B218" s="8">
        <v>2012</v>
      </c>
      <c r="C218" s="8" t="s">
        <v>20</v>
      </c>
      <c r="D218" s="8">
        <v>30799.999999999996</v>
      </c>
    </row>
    <row r="219" spans="1:4" x14ac:dyDescent="0.2">
      <c r="A219" s="8" t="s">
        <v>6</v>
      </c>
      <c r="B219" s="8">
        <v>2012</v>
      </c>
      <c r="C219" s="8" t="s">
        <v>20</v>
      </c>
      <c r="D219" s="8">
        <v>33100</v>
      </c>
    </row>
    <row r="220" spans="1:4" x14ac:dyDescent="0.2">
      <c r="A220" s="8" t="s">
        <v>7</v>
      </c>
      <c r="B220" s="8">
        <v>2012</v>
      </c>
      <c r="C220" s="8" t="s">
        <v>20</v>
      </c>
      <c r="D220" s="8">
        <v>24100</v>
      </c>
    </row>
    <row r="221" spans="1:4" x14ac:dyDescent="0.2">
      <c r="A221" s="8" t="s">
        <v>8</v>
      </c>
      <c r="B221" s="8">
        <v>2012</v>
      </c>
      <c r="C221" s="8" t="s">
        <v>20</v>
      </c>
      <c r="D221" s="8">
        <v>53099.999999999993</v>
      </c>
    </row>
    <row r="222" spans="1:4" x14ac:dyDescent="0.2">
      <c r="A222" s="8" t="s">
        <v>9</v>
      </c>
      <c r="B222" s="8">
        <v>2012</v>
      </c>
      <c r="C222" s="8" t="s">
        <v>20</v>
      </c>
      <c r="D222" s="8">
        <v>120800.00000000001</v>
      </c>
    </row>
    <row r="223" spans="1:4" x14ac:dyDescent="0.2">
      <c r="A223" s="8" t="s">
        <v>10</v>
      </c>
      <c r="B223" s="8">
        <v>2012</v>
      </c>
      <c r="C223" s="8" t="s">
        <v>20</v>
      </c>
      <c r="D223" s="8">
        <v>25299.999999999996</v>
      </c>
    </row>
    <row r="224" spans="1:4" x14ac:dyDescent="0.2">
      <c r="A224" s="8" t="s">
        <v>11</v>
      </c>
      <c r="B224" s="8">
        <v>2012</v>
      </c>
      <c r="C224" s="8" t="s">
        <v>20</v>
      </c>
      <c r="D224" s="8">
        <v>96500</v>
      </c>
    </row>
    <row r="225" spans="1:4" x14ac:dyDescent="0.2">
      <c r="A225" s="8" t="s">
        <v>12</v>
      </c>
      <c r="B225" s="8">
        <v>2012</v>
      </c>
      <c r="C225" s="8" t="s">
        <v>20</v>
      </c>
      <c r="D225" s="8">
        <v>213600</v>
      </c>
    </row>
    <row r="226" spans="1:4" x14ac:dyDescent="0.2">
      <c r="A226" s="8" t="s">
        <v>13</v>
      </c>
      <c r="B226" s="8">
        <v>2012</v>
      </c>
      <c r="C226" s="8" t="s">
        <v>20</v>
      </c>
      <c r="D226" s="8">
        <v>247600.00000000003</v>
      </c>
    </row>
    <row r="227" spans="1:4" x14ac:dyDescent="0.2">
      <c r="A227" s="8" t="s">
        <v>14</v>
      </c>
      <c r="B227" s="8">
        <v>2012</v>
      </c>
      <c r="C227" s="8" t="s">
        <v>20</v>
      </c>
      <c r="D227" s="8">
        <v>14500</v>
      </c>
    </row>
    <row r="228" spans="1:4" x14ac:dyDescent="0.2">
      <c r="A228" s="8" t="s">
        <v>15</v>
      </c>
      <c r="B228" s="8">
        <v>2012</v>
      </c>
      <c r="C228" s="8" t="s">
        <v>20</v>
      </c>
      <c r="D228" s="8">
        <v>143900</v>
      </c>
    </row>
    <row r="229" spans="1:4" x14ac:dyDescent="0.2">
      <c r="A229" s="8" t="s">
        <v>16</v>
      </c>
      <c r="B229" s="8">
        <v>2012</v>
      </c>
      <c r="C229" s="8" t="s">
        <v>20</v>
      </c>
      <c r="D229" s="8">
        <v>54599.999999999993</v>
      </c>
    </row>
    <row r="230" spans="1:4" x14ac:dyDescent="0.2">
      <c r="A230" s="8" t="s">
        <v>5</v>
      </c>
      <c r="B230" s="8">
        <v>2019</v>
      </c>
      <c r="C230" s="8" t="s">
        <v>20</v>
      </c>
      <c r="D230" s="8">
        <v>38700</v>
      </c>
    </row>
    <row r="231" spans="1:4" x14ac:dyDescent="0.2">
      <c r="A231" s="8" t="s">
        <v>6</v>
      </c>
      <c r="B231" s="8">
        <v>2019</v>
      </c>
      <c r="C231" s="8" t="s">
        <v>20</v>
      </c>
      <c r="D231" s="8">
        <v>41300</v>
      </c>
    </row>
    <row r="232" spans="1:4" x14ac:dyDescent="0.2">
      <c r="A232" s="8" t="s">
        <v>7</v>
      </c>
      <c r="B232" s="8">
        <v>2019</v>
      </c>
      <c r="C232" s="8" t="s">
        <v>20</v>
      </c>
      <c r="D232" s="8">
        <v>32400</v>
      </c>
    </row>
    <row r="233" spans="1:4" x14ac:dyDescent="0.2">
      <c r="A233" s="8" t="s">
        <v>8</v>
      </c>
      <c r="B233" s="8">
        <v>2019</v>
      </c>
      <c r="C233" s="8" t="s">
        <v>20</v>
      </c>
      <c r="D233" s="8">
        <v>74800</v>
      </c>
    </row>
    <row r="234" spans="1:4" x14ac:dyDescent="0.2">
      <c r="A234" s="8" t="s">
        <v>9</v>
      </c>
      <c r="B234" s="8">
        <v>2019</v>
      </c>
      <c r="C234" s="8" t="s">
        <v>20</v>
      </c>
      <c r="D234" s="8">
        <v>148300</v>
      </c>
    </row>
    <row r="235" spans="1:4" x14ac:dyDescent="0.2">
      <c r="A235" s="8" t="s">
        <v>10</v>
      </c>
      <c r="B235" s="8">
        <v>2019</v>
      </c>
      <c r="C235" s="8" t="s">
        <v>20</v>
      </c>
      <c r="D235" s="8">
        <v>34400</v>
      </c>
    </row>
    <row r="236" spans="1:4" x14ac:dyDescent="0.2">
      <c r="A236" s="8" t="s">
        <v>11</v>
      </c>
      <c r="B236" s="8">
        <v>2019</v>
      </c>
      <c r="C236" s="8" t="s">
        <v>20</v>
      </c>
      <c r="D236" s="8">
        <v>122300</v>
      </c>
    </row>
    <row r="237" spans="1:4" x14ac:dyDescent="0.2">
      <c r="A237" s="8" t="s">
        <v>12</v>
      </c>
      <c r="B237" s="8">
        <v>2019</v>
      </c>
      <c r="C237" s="8" t="s">
        <v>20</v>
      </c>
      <c r="D237" s="8">
        <v>298500</v>
      </c>
    </row>
    <row r="238" spans="1:4" x14ac:dyDescent="0.2">
      <c r="A238" s="8" t="s">
        <v>13</v>
      </c>
      <c r="B238" s="8">
        <v>2019</v>
      </c>
      <c r="C238" s="8" t="s">
        <v>20</v>
      </c>
      <c r="D238" s="8">
        <v>309900</v>
      </c>
    </row>
    <row r="239" spans="1:4" x14ac:dyDescent="0.2">
      <c r="A239" s="8" t="s">
        <v>14</v>
      </c>
      <c r="B239" s="8">
        <v>2019</v>
      </c>
      <c r="C239" s="8" t="s">
        <v>20</v>
      </c>
      <c r="D239" s="8">
        <v>18900</v>
      </c>
    </row>
    <row r="240" spans="1:4" x14ac:dyDescent="0.2">
      <c r="A240" s="8" t="s">
        <v>15</v>
      </c>
      <c r="B240" s="8">
        <v>2019</v>
      </c>
      <c r="C240" s="8" t="s">
        <v>20</v>
      </c>
      <c r="D240" s="8">
        <v>195700</v>
      </c>
    </row>
    <row r="241" spans="1:4" x14ac:dyDescent="0.2">
      <c r="A241" s="8" t="s">
        <v>16</v>
      </c>
      <c r="B241" s="8">
        <v>2019</v>
      </c>
      <c r="C241" s="8" t="s">
        <v>20</v>
      </c>
      <c r="D241" s="8">
        <v>66300</v>
      </c>
    </row>
    <row r="242" spans="1:4" x14ac:dyDescent="0.2">
      <c r="A242" s="8" t="s">
        <v>5</v>
      </c>
      <c r="B242" s="8">
        <v>1999</v>
      </c>
      <c r="C242" s="8" t="s">
        <v>21</v>
      </c>
      <c r="D242" s="8">
        <v>85800</v>
      </c>
    </row>
    <row r="243" spans="1:4" x14ac:dyDescent="0.2">
      <c r="A243" s="8" t="s">
        <v>6</v>
      </c>
      <c r="B243" s="8">
        <v>1999</v>
      </c>
      <c r="C243" s="8" t="s">
        <v>21</v>
      </c>
      <c r="D243" s="8">
        <v>93400</v>
      </c>
    </row>
    <row r="244" spans="1:4" x14ac:dyDescent="0.2">
      <c r="A244" s="8" t="s">
        <v>7</v>
      </c>
      <c r="B244" s="8">
        <v>1999</v>
      </c>
      <c r="C244" s="8" t="s">
        <v>21</v>
      </c>
      <c r="D244" s="8">
        <v>79200</v>
      </c>
    </row>
    <row r="245" spans="1:4" x14ac:dyDescent="0.2">
      <c r="A245" s="8" t="s">
        <v>8</v>
      </c>
      <c r="B245" s="8">
        <v>1999</v>
      </c>
      <c r="C245" s="8" t="s">
        <v>21</v>
      </c>
      <c r="D245" s="8">
        <v>147200</v>
      </c>
    </row>
    <row r="246" spans="1:4" x14ac:dyDescent="0.2">
      <c r="A246" s="8" t="s">
        <v>9</v>
      </c>
      <c r="B246" s="8">
        <v>1999</v>
      </c>
      <c r="C246" s="8" t="s">
        <v>21</v>
      </c>
      <c r="D246" s="8">
        <v>298200</v>
      </c>
    </row>
    <row r="247" spans="1:4" x14ac:dyDescent="0.2">
      <c r="A247" s="8" t="s">
        <v>10</v>
      </c>
      <c r="B247" s="8">
        <v>1999</v>
      </c>
      <c r="C247" s="8" t="s">
        <v>21</v>
      </c>
      <c r="D247" s="8">
        <v>48100</v>
      </c>
    </row>
    <row r="248" spans="1:4" x14ac:dyDescent="0.2">
      <c r="A248" s="8" t="s">
        <v>11</v>
      </c>
      <c r="B248" s="8">
        <v>1999</v>
      </c>
      <c r="C248" s="8" t="s">
        <v>21</v>
      </c>
      <c r="D248" s="8">
        <v>188200</v>
      </c>
    </row>
    <row r="249" spans="1:4" x14ac:dyDescent="0.2">
      <c r="A249" s="8" t="s">
        <v>12</v>
      </c>
      <c r="B249" s="8">
        <v>1999</v>
      </c>
      <c r="C249" s="8" t="s">
        <v>21</v>
      </c>
      <c r="D249" s="8">
        <v>401400</v>
      </c>
    </row>
    <row r="250" spans="1:4" x14ac:dyDescent="0.2">
      <c r="A250" s="8" t="s">
        <v>13</v>
      </c>
      <c r="B250" s="8">
        <v>1999</v>
      </c>
      <c r="C250" s="8" t="s">
        <v>21</v>
      </c>
      <c r="D250" s="8">
        <v>547000</v>
      </c>
    </row>
    <row r="251" spans="1:4" x14ac:dyDescent="0.2">
      <c r="A251" s="8" t="s">
        <v>14</v>
      </c>
      <c r="B251" s="8">
        <v>1999</v>
      </c>
      <c r="C251" s="8" t="s">
        <v>21</v>
      </c>
      <c r="D251" s="8">
        <v>43200</v>
      </c>
    </row>
    <row r="252" spans="1:4" x14ac:dyDescent="0.2">
      <c r="A252" s="8" t="s">
        <v>15</v>
      </c>
      <c r="B252" s="8">
        <v>1999</v>
      </c>
      <c r="C252" s="8" t="s">
        <v>21</v>
      </c>
      <c r="D252" s="8">
        <v>299700</v>
      </c>
    </row>
    <row r="253" spans="1:4" x14ac:dyDescent="0.2">
      <c r="A253" s="8" t="s">
        <v>16</v>
      </c>
      <c r="B253" s="8">
        <v>1999</v>
      </c>
      <c r="C253" s="8" t="s">
        <v>21</v>
      </c>
      <c r="D253" s="8">
        <v>151200</v>
      </c>
    </row>
    <row r="254" spans="1:4" x14ac:dyDescent="0.2">
      <c r="A254" s="8" t="s">
        <v>5</v>
      </c>
      <c r="B254" s="8">
        <v>2011</v>
      </c>
      <c r="C254" s="8" t="s">
        <v>21</v>
      </c>
      <c r="D254" s="8">
        <v>106800.00000000001</v>
      </c>
    </row>
    <row r="255" spans="1:4" x14ac:dyDescent="0.2">
      <c r="A255" s="8" t="s">
        <v>6</v>
      </c>
      <c r="B255" s="8">
        <v>2011</v>
      </c>
      <c r="C255" s="8" t="s">
        <v>21</v>
      </c>
      <c r="D255" s="8">
        <v>109899.99999999999</v>
      </c>
    </row>
    <row r="256" spans="1:4" x14ac:dyDescent="0.2">
      <c r="A256" s="8" t="s">
        <v>7</v>
      </c>
      <c r="B256" s="8">
        <v>2011</v>
      </c>
      <c r="C256" s="8" t="s">
        <v>21</v>
      </c>
      <c r="D256" s="8">
        <v>78000</v>
      </c>
    </row>
    <row r="257" spans="1:4" x14ac:dyDescent="0.2">
      <c r="A257" s="8" t="s">
        <v>8</v>
      </c>
      <c r="B257" s="8">
        <v>2011</v>
      </c>
      <c r="C257" s="8" t="s">
        <v>21</v>
      </c>
      <c r="D257" s="8">
        <v>187700</v>
      </c>
    </row>
    <row r="258" spans="1:4" x14ac:dyDescent="0.2">
      <c r="A258" s="8" t="s">
        <v>9</v>
      </c>
      <c r="B258" s="8">
        <v>2011</v>
      </c>
      <c r="C258" s="8" t="s">
        <v>21</v>
      </c>
      <c r="D258" s="8">
        <v>339200.00000000006</v>
      </c>
    </row>
    <row r="259" spans="1:4" x14ac:dyDescent="0.2">
      <c r="A259" s="8" t="s">
        <v>10</v>
      </c>
      <c r="B259" s="8">
        <v>2011</v>
      </c>
      <c r="C259" s="8" t="s">
        <v>21</v>
      </c>
      <c r="D259" s="8">
        <v>60500</v>
      </c>
    </row>
    <row r="260" spans="1:4" x14ac:dyDescent="0.2">
      <c r="A260" s="8" t="s">
        <v>11</v>
      </c>
      <c r="B260" s="8">
        <v>2011</v>
      </c>
      <c r="C260" s="8" t="s">
        <v>21</v>
      </c>
      <c r="D260" s="8">
        <v>224500</v>
      </c>
    </row>
    <row r="261" spans="1:4" x14ac:dyDescent="0.2">
      <c r="A261" s="8" t="s">
        <v>12</v>
      </c>
      <c r="B261" s="8">
        <v>2011</v>
      </c>
      <c r="C261" s="8" t="s">
        <v>21</v>
      </c>
      <c r="D261" s="8">
        <v>441000</v>
      </c>
    </row>
    <row r="262" spans="1:4" x14ac:dyDescent="0.2">
      <c r="A262" s="8" t="s">
        <v>13</v>
      </c>
      <c r="B262" s="8">
        <v>2011</v>
      </c>
      <c r="C262" s="8" t="s">
        <v>21</v>
      </c>
      <c r="D262" s="8">
        <v>603300</v>
      </c>
    </row>
    <row r="263" spans="1:4" x14ac:dyDescent="0.2">
      <c r="A263" s="8" t="s">
        <v>14</v>
      </c>
      <c r="B263" s="8">
        <v>2011</v>
      </c>
      <c r="C263" s="8" t="s">
        <v>21</v>
      </c>
      <c r="D263" s="8">
        <v>59199.999999999993</v>
      </c>
    </row>
    <row r="264" spans="1:4" x14ac:dyDescent="0.2">
      <c r="A264" s="8" t="s">
        <v>15</v>
      </c>
      <c r="B264" s="8">
        <v>2011</v>
      </c>
      <c r="C264" s="8" t="s">
        <v>21</v>
      </c>
      <c r="D264" s="8">
        <v>363500</v>
      </c>
    </row>
    <row r="265" spans="1:4" x14ac:dyDescent="0.2">
      <c r="A265" s="8" t="s">
        <v>16</v>
      </c>
      <c r="B265" s="8">
        <v>2011</v>
      </c>
      <c r="C265" s="8" t="s">
        <v>21</v>
      </c>
      <c r="D265" s="8">
        <v>170700.00000000003</v>
      </c>
    </row>
    <row r="266" spans="1:4" x14ac:dyDescent="0.2">
      <c r="A266" s="8" t="s">
        <v>5</v>
      </c>
      <c r="B266" s="8">
        <v>2012</v>
      </c>
      <c r="C266" s="8" t="s">
        <v>21</v>
      </c>
      <c r="D266" s="8">
        <v>106900</v>
      </c>
    </row>
    <row r="267" spans="1:4" x14ac:dyDescent="0.2">
      <c r="A267" s="8" t="s">
        <v>6</v>
      </c>
      <c r="B267" s="8">
        <v>2012</v>
      </c>
      <c r="C267" s="8" t="s">
        <v>21</v>
      </c>
      <c r="D267" s="8">
        <v>102600</v>
      </c>
    </row>
    <row r="268" spans="1:4" x14ac:dyDescent="0.2">
      <c r="A268" s="8" t="s">
        <v>7</v>
      </c>
      <c r="B268" s="8">
        <v>2012</v>
      </c>
      <c r="C268" s="8" t="s">
        <v>21</v>
      </c>
      <c r="D268" s="8">
        <v>79500</v>
      </c>
    </row>
    <row r="269" spans="1:4" x14ac:dyDescent="0.2">
      <c r="A269" s="8" t="s">
        <v>8</v>
      </c>
      <c r="B269" s="8">
        <v>2012</v>
      </c>
      <c r="C269" s="8" t="s">
        <v>21</v>
      </c>
      <c r="D269" s="8">
        <v>188500</v>
      </c>
    </row>
    <row r="270" spans="1:4" x14ac:dyDescent="0.2">
      <c r="A270" s="8" t="s">
        <v>9</v>
      </c>
      <c r="B270" s="8">
        <v>2012</v>
      </c>
      <c r="C270" s="8" t="s">
        <v>21</v>
      </c>
      <c r="D270" s="8">
        <v>334099.99999999994</v>
      </c>
    </row>
    <row r="271" spans="1:4" x14ac:dyDescent="0.2">
      <c r="A271" s="8" t="s">
        <v>10</v>
      </c>
      <c r="B271" s="8">
        <v>2012</v>
      </c>
      <c r="C271" s="8" t="s">
        <v>21</v>
      </c>
      <c r="D271" s="8">
        <v>60300</v>
      </c>
    </row>
    <row r="272" spans="1:4" x14ac:dyDescent="0.2">
      <c r="A272" s="8" t="s">
        <v>11</v>
      </c>
      <c r="B272" s="8">
        <v>2012</v>
      </c>
      <c r="C272" s="8" t="s">
        <v>21</v>
      </c>
      <c r="D272" s="8">
        <v>222000</v>
      </c>
    </row>
    <row r="273" spans="1:4" x14ac:dyDescent="0.2">
      <c r="A273" s="8" t="s">
        <v>12</v>
      </c>
      <c r="B273" s="8">
        <v>2012</v>
      </c>
      <c r="C273" s="8" t="s">
        <v>21</v>
      </c>
      <c r="D273" s="8">
        <v>446200</v>
      </c>
    </row>
    <row r="274" spans="1:4" x14ac:dyDescent="0.2">
      <c r="A274" s="8" t="s">
        <v>13</v>
      </c>
      <c r="B274" s="8">
        <v>2012</v>
      </c>
      <c r="C274" s="8" t="s">
        <v>21</v>
      </c>
      <c r="D274" s="8">
        <v>598100</v>
      </c>
    </row>
    <row r="275" spans="1:4" x14ac:dyDescent="0.2">
      <c r="A275" s="8" t="s">
        <v>14</v>
      </c>
      <c r="B275" s="8">
        <v>2012</v>
      </c>
      <c r="C275" s="8" t="s">
        <v>21</v>
      </c>
      <c r="D275" s="8">
        <v>56900</v>
      </c>
    </row>
    <row r="276" spans="1:4" x14ac:dyDescent="0.2">
      <c r="A276" s="8" t="s">
        <v>15</v>
      </c>
      <c r="B276" s="8">
        <v>2012</v>
      </c>
      <c r="C276" s="8" t="s">
        <v>21</v>
      </c>
      <c r="D276" s="8">
        <v>367000</v>
      </c>
    </row>
    <row r="277" spans="1:4" x14ac:dyDescent="0.2">
      <c r="A277" s="8" t="s">
        <v>16</v>
      </c>
      <c r="B277" s="8">
        <v>2012</v>
      </c>
      <c r="C277" s="8" t="s">
        <v>21</v>
      </c>
      <c r="D277" s="8">
        <v>176500</v>
      </c>
    </row>
    <row r="278" spans="1:4" x14ac:dyDescent="0.2">
      <c r="A278" s="8" t="s">
        <v>5</v>
      </c>
      <c r="B278" s="8">
        <v>2019</v>
      </c>
      <c r="C278" s="8" t="s">
        <v>21</v>
      </c>
      <c r="D278" s="8">
        <v>102600</v>
      </c>
    </row>
    <row r="279" spans="1:4" x14ac:dyDescent="0.2">
      <c r="A279" s="8" t="s">
        <v>6</v>
      </c>
      <c r="B279" s="8">
        <v>2019</v>
      </c>
      <c r="C279" s="8" t="s">
        <v>21</v>
      </c>
      <c r="D279" s="8">
        <v>103500</v>
      </c>
    </row>
    <row r="280" spans="1:4" x14ac:dyDescent="0.2">
      <c r="A280" s="8" t="s">
        <v>7</v>
      </c>
      <c r="B280" s="8">
        <v>2019</v>
      </c>
      <c r="C280" s="8" t="s">
        <v>21</v>
      </c>
      <c r="D280" s="8">
        <v>78000</v>
      </c>
    </row>
    <row r="281" spans="1:4" x14ac:dyDescent="0.2">
      <c r="A281" s="8" t="s">
        <v>8</v>
      </c>
      <c r="B281" s="8">
        <v>2019</v>
      </c>
      <c r="C281" s="8" t="s">
        <v>21</v>
      </c>
      <c r="D281" s="8">
        <v>185100</v>
      </c>
    </row>
    <row r="282" spans="1:4" x14ac:dyDescent="0.2">
      <c r="A282" s="8" t="s">
        <v>9</v>
      </c>
      <c r="B282" s="8">
        <v>2019</v>
      </c>
      <c r="C282" s="8" t="s">
        <v>21</v>
      </c>
      <c r="D282" s="8">
        <v>339700</v>
      </c>
    </row>
    <row r="283" spans="1:4" x14ac:dyDescent="0.2">
      <c r="A283" s="8" t="s">
        <v>10</v>
      </c>
      <c r="B283" s="8">
        <v>2019</v>
      </c>
      <c r="C283" s="8" t="s">
        <v>21</v>
      </c>
      <c r="D283" s="8">
        <v>66700</v>
      </c>
    </row>
    <row r="284" spans="1:4" x14ac:dyDescent="0.2">
      <c r="A284" s="8" t="s">
        <v>11</v>
      </c>
      <c r="B284" s="8">
        <v>2019</v>
      </c>
      <c r="C284" s="8" t="s">
        <v>21</v>
      </c>
      <c r="D284" s="8">
        <v>236500</v>
      </c>
    </row>
    <row r="285" spans="1:4" x14ac:dyDescent="0.2">
      <c r="A285" s="8" t="s">
        <v>12</v>
      </c>
      <c r="B285" s="8">
        <v>2019</v>
      </c>
      <c r="C285" s="8" t="s">
        <v>21</v>
      </c>
      <c r="D285" s="8">
        <v>449400</v>
      </c>
    </row>
    <row r="286" spans="1:4" x14ac:dyDescent="0.2">
      <c r="A286" s="8" t="s">
        <v>13</v>
      </c>
      <c r="B286" s="8">
        <v>2019</v>
      </c>
      <c r="C286" s="8" t="s">
        <v>21</v>
      </c>
      <c r="D286" s="8">
        <v>594800</v>
      </c>
    </row>
    <row r="287" spans="1:4" x14ac:dyDescent="0.2">
      <c r="A287" s="8" t="s">
        <v>14</v>
      </c>
      <c r="B287" s="8">
        <v>2019</v>
      </c>
      <c r="C287" s="8" t="s">
        <v>21</v>
      </c>
      <c r="D287" s="8">
        <v>57400</v>
      </c>
    </row>
    <row r="288" spans="1:4" x14ac:dyDescent="0.2">
      <c r="A288" s="8" t="s">
        <v>15</v>
      </c>
      <c r="B288" s="8">
        <v>2019</v>
      </c>
      <c r="C288" s="8" t="s">
        <v>21</v>
      </c>
      <c r="D288" s="8">
        <v>366500</v>
      </c>
    </row>
    <row r="289" spans="1:4" x14ac:dyDescent="0.2">
      <c r="A289" s="8" t="s">
        <v>16</v>
      </c>
      <c r="B289" s="8">
        <v>2019</v>
      </c>
      <c r="C289" s="8" t="s">
        <v>21</v>
      </c>
      <c r="D289" s="8">
        <v>168200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30D6-D383-E344-8E3D-3FC5AC5E776C}">
  <dimension ref="A1:J25"/>
  <sheetViews>
    <sheetView workbookViewId="0">
      <selection activeCell="H27" sqref="H27"/>
    </sheetView>
  </sheetViews>
  <sheetFormatPr baseColWidth="10" defaultRowHeight="16" x14ac:dyDescent="0.2"/>
  <cols>
    <col min="1" max="2" width="10.83203125" style="1"/>
    <col min="3" max="3" width="16.83203125" style="3" bestFit="1" customWidth="1"/>
    <col min="4" max="4" width="10.83203125" style="1"/>
  </cols>
  <sheetData>
    <row r="1" spans="1:10" s="5" customFormat="1" x14ac:dyDescent="0.2">
      <c r="A1" s="6" t="s">
        <v>1</v>
      </c>
      <c r="B1" s="6" t="s">
        <v>2</v>
      </c>
      <c r="C1" s="7" t="s">
        <v>3</v>
      </c>
      <c r="D1" s="4"/>
    </row>
    <row r="2" spans="1:10" x14ac:dyDescent="0.2">
      <c r="A2" s="8">
        <v>1999</v>
      </c>
      <c r="B2" s="8" t="s">
        <v>4</v>
      </c>
      <c r="C2" s="9">
        <v>77134471</v>
      </c>
    </row>
    <row r="3" spans="1:10" x14ac:dyDescent="0.2">
      <c r="A3" s="8">
        <v>1999</v>
      </c>
      <c r="B3" s="8" t="s">
        <v>17</v>
      </c>
      <c r="C3" s="9">
        <v>3683427867</v>
      </c>
    </row>
    <row r="4" spans="1:10" x14ac:dyDescent="0.2">
      <c r="A4" s="8">
        <v>1999</v>
      </c>
      <c r="B4" s="8" t="s">
        <v>18</v>
      </c>
      <c r="C4" s="9">
        <v>0</v>
      </c>
    </row>
    <row r="5" spans="1:10" x14ac:dyDescent="0.2">
      <c r="A5" s="8">
        <v>1999</v>
      </c>
      <c r="B5" s="8" t="s">
        <v>19</v>
      </c>
      <c r="C5" s="9">
        <v>0</v>
      </c>
    </row>
    <row r="6" spans="1:10" x14ac:dyDescent="0.2">
      <c r="A6" s="8">
        <v>1999</v>
      </c>
      <c r="B6" s="8" t="s">
        <v>20</v>
      </c>
      <c r="C6" s="9">
        <v>9663</v>
      </c>
    </row>
    <row r="7" spans="1:10" x14ac:dyDescent="0.2">
      <c r="A7" s="8">
        <v>1999</v>
      </c>
      <c r="B7" s="8" t="s">
        <v>21</v>
      </c>
      <c r="C7" s="9">
        <v>61617830</v>
      </c>
    </row>
    <row r="8" spans="1:10" x14ac:dyDescent="0.2">
      <c r="A8" s="8">
        <v>2011</v>
      </c>
      <c r="B8" s="8" t="s">
        <v>4</v>
      </c>
      <c r="C8" s="9">
        <v>412381208.41300005</v>
      </c>
    </row>
    <row r="9" spans="1:10" x14ac:dyDescent="0.2">
      <c r="A9" s="8">
        <v>2011</v>
      </c>
      <c r="B9" s="8" t="s">
        <v>17</v>
      </c>
      <c r="C9" s="9">
        <v>42165925355.589012</v>
      </c>
    </row>
    <row r="10" spans="1:10" x14ac:dyDescent="0.2">
      <c r="A10" s="8">
        <v>2011</v>
      </c>
      <c r="B10" s="8" t="s">
        <v>18</v>
      </c>
      <c r="C10" s="9">
        <v>0</v>
      </c>
    </row>
    <row r="11" spans="1:10" x14ac:dyDescent="0.2">
      <c r="A11" s="8">
        <v>2011</v>
      </c>
      <c r="B11" s="8" t="s">
        <v>19</v>
      </c>
      <c r="C11" s="9">
        <v>0</v>
      </c>
    </row>
    <row r="12" spans="1:10" x14ac:dyDescent="0.2">
      <c r="A12" s="8">
        <v>2011</v>
      </c>
      <c r="B12" s="8" t="s">
        <v>20</v>
      </c>
      <c r="C12" s="9">
        <v>164761.07500000001</v>
      </c>
    </row>
    <row r="13" spans="1:10" x14ac:dyDescent="0.2">
      <c r="A13" s="8">
        <v>2011</v>
      </c>
      <c r="B13" s="8" t="s">
        <v>21</v>
      </c>
      <c r="C13" s="9">
        <v>237254925.14500001</v>
      </c>
      <c r="H13" s="1"/>
      <c r="I13" s="1"/>
      <c r="J13" s="1"/>
    </row>
    <row r="14" spans="1:10" x14ac:dyDescent="0.2">
      <c r="A14" s="8">
        <v>2012</v>
      </c>
      <c r="B14" s="8" t="s">
        <v>4</v>
      </c>
      <c r="C14" s="9">
        <v>348480880.87500006</v>
      </c>
      <c r="H14" s="1"/>
      <c r="I14" s="1"/>
      <c r="J14" s="1"/>
    </row>
    <row r="15" spans="1:10" x14ac:dyDescent="0.2">
      <c r="A15" s="8">
        <v>2012</v>
      </c>
      <c r="B15" s="8" t="s">
        <v>17</v>
      </c>
      <c r="C15" s="9">
        <v>40508860650.498978</v>
      </c>
      <c r="H15" s="1"/>
      <c r="I15" s="1"/>
      <c r="J15" s="1"/>
    </row>
    <row r="16" spans="1:10" x14ac:dyDescent="0.2">
      <c r="A16" s="8">
        <v>2012</v>
      </c>
      <c r="B16" s="8" t="s">
        <v>18</v>
      </c>
      <c r="C16" s="9">
        <v>0</v>
      </c>
      <c r="H16" s="1"/>
      <c r="I16" s="1"/>
      <c r="J16" s="1"/>
    </row>
    <row r="17" spans="1:10" x14ac:dyDescent="0.2">
      <c r="A17" s="8">
        <v>2012</v>
      </c>
      <c r="B17" s="8" t="s">
        <v>19</v>
      </c>
      <c r="C17" s="9">
        <v>0</v>
      </c>
      <c r="H17" s="1"/>
      <c r="I17" s="1"/>
      <c r="J17" s="1"/>
    </row>
    <row r="18" spans="1:10" x14ac:dyDescent="0.2">
      <c r="A18" s="8">
        <v>2012</v>
      </c>
      <c r="B18" s="8" t="s">
        <v>20</v>
      </c>
      <c r="C18" s="9">
        <v>206968.18100000001</v>
      </c>
      <c r="H18" s="1"/>
      <c r="I18" s="1"/>
      <c r="J18" s="1"/>
    </row>
    <row r="19" spans="1:10" x14ac:dyDescent="0.2">
      <c r="A19" s="8">
        <v>2012</v>
      </c>
      <c r="B19" s="8" t="s">
        <v>21</v>
      </c>
      <c r="C19" s="9">
        <v>5846268.7640000004</v>
      </c>
      <c r="H19" s="1"/>
      <c r="I19" s="1"/>
      <c r="J19" s="1"/>
    </row>
    <row r="20" spans="1:10" x14ac:dyDescent="0.2">
      <c r="A20" s="8">
        <v>2019</v>
      </c>
      <c r="B20" s="8" t="s">
        <v>4</v>
      </c>
      <c r="C20" s="9">
        <v>127976760.11299999</v>
      </c>
    </row>
    <row r="21" spans="1:10" x14ac:dyDescent="0.2">
      <c r="A21" s="8">
        <v>2019</v>
      </c>
      <c r="B21" s="8" t="s">
        <v>17</v>
      </c>
      <c r="C21" s="9">
        <v>47285504035.513977</v>
      </c>
    </row>
    <row r="22" spans="1:10" x14ac:dyDescent="0.2">
      <c r="A22" s="8">
        <v>2019</v>
      </c>
      <c r="B22" s="8" t="s">
        <v>18</v>
      </c>
      <c r="C22" s="9">
        <v>0</v>
      </c>
    </row>
    <row r="23" spans="1:10" x14ac:dyDescent="0.2">
      <c r="A23" s="8">
        <v>2019</v>
      </c>
      <c r="B23" s="8" t="s">
        <v>19</v>
      </c>
      <c r="C23" s="9">
        <v>0</v>
      </c>
    </row>
    <row r="24" spans="1:10" x14ac:dyDescent="0.2">
      <c r="A24" s="8">
        <v>2019</v>
      </c>
      <c r="B24" s="8" t="s">
        <v>20</v>
      </c>
      <c r="C24" s="9">
        <v>20430.035</v>
      </c>
    </row>
    <row r="25" spans="1:10" x14ac:dyDescent="0.2">
      <c r="A25" s="8">
        <v>2019</v>
      </c>
      <c r="B25" s="8" t="s">
        <v>21</v>
      </c>
      <c r="C25" s="9">
        <v>2634948.3060000003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637F-261C-ED4F-8193-0E324F78C684}">
  <dimension ref="A1:C25"/>
  <sheetViews>
    <sheetView workbookViewId="0">
      <selection activeCell="G26" sqref="G26"/>
    </sheetView>
  </sheetViews>
  <sheetFormatPr baseColWidth="10" defaultRowHeight="16" x14ac:dyDescent="0.2"/>
  <cols>
    <col min="1" max="3" width="10.83203125" style="1"/>
  </cols>
  <sheetData>
    <row r="1" spans="1:3" s="5" customFormat="1" x14ac:dyDescent="0.2">
      <c r="A1" s="6" t="s">
        <v>1</v>
      </c>
      <c r="B1" s="6" t="s">
        <v>2</v>
      </c>
      <c r="C1" s="6" t="s">
        <v>22</v>
      </c>
    </row>
    <row r="2" spans="1:3" x14ac:dyDescent="0.2">
      <c r="A2" s="8">
        <v>1999</v>
      </c>
      <c r="B2" s="8" t="s">
        <v>4</v>
      </c>
      <c r="C2" s="8">
        <f>SUM(employment!D2:D13)</f>
        <v>226100</v>
      </c>
    </row>
    <row r="3" spans="1:3" x14ac:dyDescent="0.2">
      <c r="A3" s="8">
        <v>1999</v>
      </c>
      <c r="B3" s="8" t="s">
        <v>17</v>
      </c>
      <c r="C3" s="8">
        <f>SUM(employment!D50:D61)</f>
        <v>1144400</v>
      </c>
    </row>
    <row r="4" spans="1:3" x14ac:dyDescent="0.2">
      <c r="A4" s="8">
        <v>1999</v>
      </c>
      <c r="B4" s="8" t="s">
        <v>18</v>
      </c>
      <c r="C4" s="8">
        <f>SUM(employment!D98:D109)</f>
        <v>460500</v>
      </c>
    </row>
    <row r="5" spans="1:3" x14ac:dyDescent="0.2">
      <c r="A5" s="8">
        <v>1999</v>
      </c>
      <c r="B5" s="8" t="s">
        <v>19</v>
      </c>
      <c r="C5" s="8">
        <f>SUM(employment!D146:D157)</f>
        <v>1826500</v>
      </c>
    </row>
    <row r="6" spans="1:3" x14ac:dyDescent="0.2">
      <c r="A6" s="8">
        <v>1999</v>
      </c>
      <c r="B6" s="8" t="s">
        <v>20</v>
      </c>
      <c r="C6" s="8">
        <f>SUM(employment!D194:D205)</f>
        <v>1132900</v>
      </c>
    </row>
    <row r="7" spans="1:3" x14ac:dyDescent="0.2">
      <c r="A7" s="8">
        <v>1999</v>
      </c>
      <c r="B7" s="8" t="s">
        <v>21</v>
      </c>
      <c r="C7" s="8">
        <f>SUM(employment!D242:D253)</f>
        <v>2382600</v>
      </c>
    </row>
    <row r="8" spans="1:3" x14ac:dyDescent="0.2">
      <c r="A8" s="8">
        <v>2011</v>
      </c>
      <c r="B8" s="8" t="s">
        <v>4</v>
      </c>
      <c r="C8" s="8">
        <f>SUM(employment!D14:D25)</f>
        <v>194100</v>
      </c>
    </row>
    <row r="9" spans="1:3" x14ac:dyDescent="0.2">
      <c r="A9" s="8">
        <v>2011</v>
      </c>
      <c r="B9" s="8" t="s">
        <v>17</v>
      </c>
      <c r="C9" s="8">
        <f>SUM(employment!D62:D73)</f>
        <v>828000</v>
      </c>
    </row>
    <row r="10" spans="1:3" x14ac:dyDescent="0.2">
      <c r="A10" s="8">
        <v>2011</v>
      </c>
      <c r="B10" s="8" t="s">
        <v>18</v>
      </c>
      <c r="C10" s="8">
        <f>SUM(employment!D110:D121)</f>
        <v>430500</v>
      </c>
    </row>
    <row r="11" spans="1:3" x14ac:dyDescent="0.2">
      <c r="A11" s="8">
        <v>2011</v>
      </c>
      <c r="B11" s="8" t="s">
        <v>19</v>
      </c>
      <c r="C11" s="8">
        <f>SUM(employment!D158:D169)</f>
        <v>2063200</v>
      </c>
    </row>
    <row r="12" spans="1:3" x14ac:dyDescent="0.2">
      <c r="A12" s="8">
        <v>2011</v>
      </c>
      <c r="B12" s="8" t="s">
        <v>20</v>
      </c>
      <c r="C12" s="8">
        <f>SUM(employment!D206:D217)</f>
        <v>1026000</v>
      </c>
    </row>
    <row r="13" spans="1:3" x14ac:dyDescent="0.2">
      <c r="A13" s="8">
        <v>2011</v>
      </c>
      <c r="B13" s="8" t="s">
        <v>21</v>
      </c>
      <c r="C13" s="8">
        <f>SUM(employment!D254:D265)</f>
        <v>2744300</v>
      </c>
    </row>
    <row r="14" spans="1:3" x14ac:dyDescent="0.2">
      <c r="A14" s="8">
        <v>2012</v>
      </c>
      <c r="B14" s="8" t="s">
        <v>4</v>
      </c>
      <c r="C14" s="8">
        <f>SUM(employment!D26:D37)</f>
        <v>192400</v>
      </c>
    </row>
    <row r="15" spans="1:3" x14ac:dyDescent="0.2">
      <c r="A15" s="8">
        <v>2012</v>
      </c>
      <c r="B15" s="8" t="s">
        <v>17</v>
      </c>
      <c r="C15" s="8">
        <f>SUM(employment!D74:D85)</f>
        <v>844100</v>
      </c>
    </row>
    <row r="16" spans="1:3" x14ac:dyDescent="0.2">
      <c r="A16" s="8">
        <v>2012</v>
      </c>
      <c r="B16" s="8" t="s">
        <v>18</v>
      </c>
      <c r="C16" s="8">
        <f>SUM(employment!D122:D133)</f>
        <v>434000</v>
      </c>
    </row>
    <row r="17" spans="1:3" x14ac:dyDescent="0.2">
      <c r="A17" s="8">
        <v>2012</v>
      </c>
      <c r="B17" s="8" t="s">
        <v>19</v>
      </c>
      <c r="C17" s="8">
        <f>SUM(employment!D170:D181)</f>
        <v>2101700</v>
      </c>
    </row>
    <row r="18" spans="1:3" x14ac:dyDescent="0.2">
      <c r="A18" s="8">
        <v>2012</v>
      </c>
      <c r="B18" s="8" t="s">
        <v>20</v>
      </c>
      <c r="C18" s="8">
        <f>SUM(employment!D218:D229)</f>
        <v>1057900</v>
      </c>
    </row>
    <row r="19" spans="1:3" x14ac:dyDescent="0.2">
      <c r="A19" s="8">
        <v>2012</v>
      </c>
      <c r="B19" s="8" t="s">
        <v>21</v>
      </c>
      <c r="C19" s="8">
        <f>SUM(employment!D266:D277)</f>
        <v>2738600</v>
      </c>
    </row>
    <row r="20" spans="1:3" x14ac:dyDescent="0.2">
      <c r="A20" s="8">
        <v>2019</v>
      </c>
      <c r="B20" s="8" t="s">
        <v>4</v>
      </c>
      <c r="C20" s="8">
        <f>SUM(employment!D38:D49)</f>
        <v>154400</v>
      </c>
    </row>
    <row r="21" spans="1:3" x14ac:dyDescent="0.2">
      <c r="A21" s="8">
        <v>2019</v>
      </c>
      <c r="B21" s="8" t="s">
        <v>17</v>
      </c>
      <c r="C21" s="8">
        <f>SUM(employment!D86:D97)</f>
        <v>866500</v>
      </c>
    </row>
    <row r="22" spans="1:3" x14ac:dyDescent="0.2">
      <c r="A22" s="8">
        <v>2019</v>
      </c>
      <c r="B22" s="8" t="s">
        <v>18</v>
      </c>
      <c r="C22" s="8">
        <f>SUM(employment!D134:D145)</f>
        <v>402300</v>
      </c>
    </row>
    <row r="23" spans="1:3" x14ac:dyDescent="0.2">
      <c r="A23" s="8">
        <v>2019</v>
      </c>
      <c r="B23" s="8" t="s">
        <v>19</v>
      </c>
      <c r="C23" s="8">
        <f>SUM(employment!D182:D193)</f>
        <v>2268400</v>
      </c>
    </row>
    <row r="24" spans="1:3" x14ac:dyDescent="0.2">
      <c r="A24" s="8">
        <v>2019</v>
      </c>
      <c r="B24" s="8" t="s">
        <v>20</v>
      </c>
      <c r="C24" s="8">
        <f>SUM(employment!D230:D241)</f>
        <v>1381500</v>
      </c>
    </row>
    <row r="25" spans="1:3" x14ac:dyDescent="0.2">
      <c r="A25" s="8">
        <v>2019</v>
      </c>
      <c r="B25" s="8" t="s">
        <v>21</v>
      </c>
      <c r="C25" s="8">
        <f>SUM(employment!D278:D289)</f>
        <v>2748400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C88B-591E-F84B-B1D5-B31DA0806B0A}">
  <dimension ref="A1:C13"/>
  <sheetViews>
    <sheetView workbookViewId="0">
      <selection activeCell="F10" sqref="F10:F11"/>
    </sheetView>
  </sheetViews>
  <sheetFormatPr baseColWidth="10" defaultRowHeight="16" x14ac:dyDescent="0.2"/>
  <cols>
    <col min="3" max="3" width="16.83203125" style="1" bestFit="1" customWidth="1"/>
  </cols>
  <sheetData>
    <row r="1" spans="1:3" s="5" customFormat="1" x14ac:dyDescent="0.2">
      <c r="A1" s="10" t="s">
        <v>23</v>
      </c>
      <c r="B1" s="10" t="s">
        <v>2</v>
      </c>
      <c r="C1" s="6" t="s">
        <v>26</v>
      </c>
    </row>
    <row r="2" spans="1:3" x14ac:dyDescent="0.2">
      <c r="A2" s="17" t="s">
        <v>24</v>
      </c>
      <c r="B2" s="17" t="s">
        <v>4</v>
      </c>
      <c r="C2" s="9">
        <f>import!C8-import!C2</f>
        <v>335246737.41300005</v>
      </c>
    </row>
    <row r="3" spans="1:3" x14ac:dyDescent="0.2">
      <c r="A3" s="17" t="s">
        <v>24</v>
      </c>
      <c r="B3" s="17" t="s">
        <v>17</v>
      </c>
      <c r="C3" s="9">
        <f>import!C9-import!C3</f>
        <v>38482497488.589012</v>
      </c>
    </row>
    <row r="4" spans="1:3" x14ac:dyDescent="0.2">
      <c r="A4" s="17" t="s">
        <v>24</v>
      </c>
      <c r="B4" s="17" t="s">
        <v>18</v>
      </c>
      <c r="C4" s="9">
        <f>import!C10-import!C4</f>
        <v>0</v>
      </c>
    </row>
    <row r="5" spans="1:3" x14ac:dyDescent="0.2">
      <c r="A5" s="17" t="s">
        <v>24</v>
      </c>
      <c r="B5" s="17" t="s">
        <v>19</v>
      </c>
      <c r="C5" s="9">
        <f>import!C11-import!C5</f>
        <v>0</v>
      </c>
    </row>
    <row r="6" spans="1:3" x14ac:dyDescent="0.2">
      <c r="A6" s="17" t="s">
        <v>24</v>
      </c>
      <c r="B6" s="17" t="s">
        <v>20</v>
      </c>
      <c r="C6" s="9">
        <f>import!C12-import!C6</f>
        <v>155098.07500000001</v>
      </c>
    </row>
    <row r="7" spans="1:3" x14ac:dyDescent="0.2">
      <c r="A7" s="17" t="s">
        <v>24</v>
      </c>
      <c r="B7" s="17" t="s">
        <v>21</v>
      </c>
      <c r="C7" s="9">
        <f>import!C13-import!C7</f>
        <v>175637095.14500001</v>
      </c>
    </row>
    <row r="8" spans="1:3" x14ac:dyDescent="0.2">
      <c r="A8" s="17" t="s">
        <v>25</v>
      </c>
      <c r="B8" s="17" t="s">
        <v>4</v>
      </c>
      <c r="C8" s="9">
        <f>import!C20-import!C14</f>
        <v>-220504120.76200008</v>
      </c>
    </row>
    <row r="9" spans="1:3" x14ac:dyDescent="0.2">
      <c r="A9" s="17" t="s">
        <v>25</v>
      </c>
      <c r="B9" s="17" t="s">
        <v>17</v>
      </c>
      <c r="C9" s="9">
        <f>import!C21-import!C15</f>
        <v>6776643385.0149994</v>
      </c>
    </row>
    <row r="10" spans="1:3" x14ac:dyDescent="0.2">
      <c r="A10" s="17" t="s">
        <v>25</v>
      </c>
      <c r="B10" s="17" t="s">
        <v>18</v>
      </c>
      <c r="C10" s="9">
        <f>import!C22-import!C16</f>
        <v>0</v>
      </c>
    </row>
    <row r="11" spans="1:3" x14ac:dyDescent="0.2">
      <c r="A11" s="17" t="s">
        <v>25</v>
      </c>
      <c r="B11" s="17" t="s">
        <v>19</v>
      </c>
      <c r="C11" s="9">
        <f>import!C23-import!C17</f>
        <v>0</v>
      </c>
    </row>
    <row r="12" spans="1:3" x14ac:dyDescent="0.2">
      <c r="A12" s="17" t="s">
        <v>25</v>
      </c>
      <c r="B12" s="17" t="s">
        <v>20</v>
      </c>
      <c r="C12" s="9">
        <f>import!C24-import!C18</f>
        <v>-186538.14600000001</v>
      </c>
    </row>
    <row r="13" spans="1:3" x14ac:dyDescent="0.2">
      <c r="A13" s="17" t="s">
        <v>25</v>
      </c>
      <c r="B13" s="17" t="s">
        <v>21</v>
      </c>
      <c r="C13" s="9">
        <f>import!C25-import!C19</f>
        <v>-3211320.4580000001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A029-09E8-EF4B-A044-64D9AA140CD4}">
  <dimension ref="A1:E13"/>
  <sheetViews>
    <sheetView workbookViewId="0">
      <selection activeCell="J17" sqref="J17:K17"/>
    </sheetView>
  </sheetViews>
  <sheetFormatPr baseColWidth="10" defaultRowHeight="16" x14ac:dyDescent="0.2"/>
  <cols>
    <col min="3" max="3" width="11" style="2" bestFit="1" customWidth="1"/>
    <col min="4" max="4" width="16.83203125" style="2" bestFit="1" customWidth="1"/>
    <col min="5" max="5" width="13.33203125" style="1" bestFit="1" customWidth="1"/>
  </cols>
  <sheetData>
    <row r="1" spans="1:5" s="5" customFormat="1" x14ac:dyDescent="0.2">
      <c r="A1" s="6" t="s">
        <v>23</v>
      </c>
      <c r="B1" s="10" t="s">
        <v>2</v>
      </c>
      <c r="C1" s="14" t="s">
        <v>27</v>
      </c>
      <c r="D1" s="14" t="s">
        <v>26</v>
      </c>
      <c r="E1" s="6" t="s">
        <v>28</v>
      </c>
    </row>
    <row r="2" spans="1:5" x14ac:dyDescent="0.2">
      <c r="A2" s="8" t="s">
        <v>24</v>
      </c>
      <c r="B2" s="8" t="s">
        <v>4</v>
      </c>
      <c r="C2" s="11">
        <f>L_i!C2</f>
        <v>226100</v>
      </c>
      <c r="D2" s="9">
        <f>delta_M!C2</f>
        <v>335246737.41300005</v>
      </c>
      <c r="E2" s="9">
        <f>D2/C2</f>
        <v>1482.7365652941178</v>
      </c>
    </row>
    <row r="3" spans="1:5" x14ac:dyDescent="0.2">
      <c r="A3" s="8" t="s">
        <v>24</v>
      </c>
      <c r="B3" s="8" t="s">
        <v>17</v>
      </c>
      <c r="C3" s="11">
        <f>L_i!C3</f>
        <v>1144400</v>
      </c>
      <c r="D3" s="9">
        <f>delta_M!C3</f>
        <v>38482497488.589012</v>
      </c>
      <c r="E3" s="9">
        <f t="shared" ref="E3:E13" si="0">D3/C3</f>
        <v>33626.789137180189</v>
      </c>
    </row>
    <row r="4" spans="1:5" x14ac:dyDescent="0.2">
      <c r="A4" s="8" t="s">
        <v>24</v>
      </c>
      <c r="B4" s="8" t="s">
        <v>18</v>
      </c>
      <c r="C4" s="11">
        <f>L_i!C4</f>
        <v>460500</v>
      </c>
      <c r="D4" s="9">
        <f>delta_M!C4</f>
        <v>0</v>
      </c>
      <c r="E4" s="9">
        <f t="shared" si="0"/>
        <v>0</v>
      </c>
    </row>
    <row r="5" spans="1:5" x14ac:dyDescent="0.2">
      <c r="A5" s="8" t="s">
        <v>24</v>
      </c>
      <c r="B5" s="8" t="s">
        <v>19</v>
      </c>
      <c r="C5" s="11">
        <f>L_i!C5</f>
        <v>1826500</v>
      </c>
      <c r="D5" s="9">
        <f>delta_M!C5</f>
        <v>0</v>
      </c>
      <c r="E5" s="9">
        <f t="shared" si="0"/>
        <v>0</v>
      </c>
    </row>
    <row r="6" spans="1:5" x14ac:dyDescent="0.2">
      <c r="A6" s="8" t="s">
        <v>24</v>
      </c>
      <c r="B6" s="8" t="s">
        <v>20</v>
      </c>
      <c r="C6" s="11">
        <f>L_i!C6</f>
        <v>1132900</v>
      </c>
      <c r="D6" s="9">
        <f>delta_M!C6</f>
        <v>155098.07500000001</v>
      </c>
      <c r="E6" s="9">
        <f t="shared" si="0"/>
        <v>0.1369035881366405</v>
      </c>
    </row>
    <row r="7" spans="1:5" x14ac:dyDescent="0.2">
      <c r="A7" s="8" t="s">
        <v>24</v>
      </c>
      <c r="B7" s="8" t="s">
        <v>21</v>
      </c>
      <c r="C7" s="11">
        <f>L_i!C7</f>
        <v>2382600</v>
      </c>
      <c r="D7" s="9">
        <f>delta_M!C7</f>
        <v>175637095.14500001</v>
      </c>
      <c r="E7" s="9">
        <f t="shared" si="0"/>
        <v>73.716568095777731</v>
      </c>
    </row>
    <row r="8" spans="1:5" x14ac:dyDescent="0.2">
      <c r="A8" s="8" t="s">
        <v>25</v>
      </c>
      <c r="B8" s="8" t="s">
        <v>4</v>
      </c>
      <c r="C8" s="11">
        <f>L_i!C14</f>
        <v>192400</v>
      </c>
      <c r="D8" s="9">
        <f>delta_M!C8</f>
        <v>-220504120.76200008</v>
      </c>
      <c r="E8" s="9">
        <f t="shared" si="0"/>
        <v>-1146.0713137318091</v>
      </c>
    </row>
    <row r="9" spans="1:5" x14ac:dyDescent="0.2">
      <c r="A9" s="8" t="s">
        <v>25</v>
      </c>
      <c r="B9" s="8" t="s">
        <v>17</v>
      </c>
      <c r="C9" s="11">
        <f>L_i!C15</f>
        <v>844100</v>
      </c>
      <c r="D9" s="9">
        <f>delta_M!C9</f>
        <v>6776643385.0149994</v>
      </c>
      <c r="E9" s="9">
        <f t="shared" si="0"/>
        <v>8028.2471093650038</v>
      </c>
    </row>
    <row r="10" spans="1:5" x14ac:dyDescent="0.2">
      <c r="A10" s="8" t="s">
        <v>25</v>
      </c>
      <c r="B10" s="8" t="s">
        <v>18</v>
      </c>
      <c r="C10" s="11">
        <f>L_i!C16</f>
        <v>434000</v>
      </c>
      <c r="D10" s="9">
        <f>delta_M!C10</f>
        <v>0</v>
      </c>
      <c r="E10" s="9">
        <f t="shared" si="0"/>
        <v>0</v>
      </c>
    </row>
    <row r="11" spans="1:5" x14ac:dyDescent="0.2">
      <c r="A11" s="8" t="s">
        <v>25</v>
      </c>
      <c r="B11" s="8" t="s">
        <v>19</v>
      </c>
      <c r="C11" s="11">
        <f>L_i!C17</f>
        <v>2101700</v>
      </c>
      <c r="D11" s="9">
        <f>delta_M!C11</f>
        <v>0</v>
      </c>
      <c r="E11" s="9">
        <f t="shared" si="0"/>
        <v>0</v>
      </c>
    </row>
    <row r="12" spans="1:5" x14ac:dyDescent="0.2">
      <c r="A12" s="8" t="s">
        <v>25</v>
      </c>
      <c r="B12" s="8" t="s">
        <v>20</v>
      </c>
      <c r="C12" s="11">
        <f>L_i!C18</f>
        <v>1057900</v>
      </c>
      <c r="D12" s="9">
        <f>delta_M!C12</f>
        <v>-186538.14600000001</v>
      </c>
      <c r="E12" s="9">
        <f t="shared" si="0"/>
        <v>-0.17632871348898763</v>
      </c>
    </row>
    <row r="13" spans="1:5" x14ac:dyDescent="0.2">
      <c r="A13" s="8" t="s">
        <v>25</v>
      </c>
      <c r="B13" s="8" t="s">
        <v>21</v>
      </c>
      <c r="C13" s="11">
        <f>L_i!C19</f>
        <v>2738600</v>
      </c>
      <c r="D13" s="9">
        <f>delta_M!C13</f>
        <v>-3211320.4580000001</v>
      </c>
      <c r="E13" s="9">
        <f t="shared" si="0"/>
        <v>-1.1726139114876215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EA6C-2753-DB4E-A022-6CA252B5734E}">
  <dimension ref="A1:R14"/>
  <sheetViews>
    <sheetView workbookViewId="0">
      <selection activeCell="E19" sqref="E19"/>
    </sheetView>
  </sheetViews>
  <sheetFormatPr baseColWidth="10" defaultRowHeight="16" x14ac:dyDescent="0.2"/>
  <cols>
    <col min="1" max="1" width="22.33203125" bestFit="1" customWidth="1"/>
    <col min="11" max="11" width="22.33203125" bestFit="1" customWidth="1"/>
  </cols>
  <sheetData>
    <row r="1" spans="1:18" s="5" customFormat="1" x14ac:dyDescent="0.2">
      <c r="A1" s="18">
        <v>1999</v>
      </c>
      <c r="B1" s="18"/>
      <c r="C1" s="18"/>
      <c r="D1" s="18"/>
      <c r="E1" s="18"/>
      <c r="F1" s="18"/>
      <c r="G1" s="18"/>
      <c r="H1" s="18"/>
      <c r="K1" s="18">
        <v>2012</v>
      </c>
      <c r="L1" s="18"/>
      <c r="M1" s="18"/>
      <c r="N1" s="18"/>
      <c r="O1" s="18"/>
      <c r="P1" s="18"/>
      <c r="Q1" s="18"/>
      <c r="R1" s="18"/>
    </row>
    <row r="2" spans="1:18" s="5" customFormat="1" x14ac:dyDescent="0.2">
      <c r="A2" s="10"/>
      <c r="B2" s="6" t="s">
        <v>4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29</v>
      </c>
      <c r="K2" s="10"/>
      <c r="L2" s="10" t="s">
        <v>4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30</v>
      </c>
    </row>
    <row r="3" spans="1:18" x14ac:dyDescent="0.2">
      <c r="A3" s="10" t="s">
        <v>5</v>
      </c>
      <c r="B3" s="11">
        <f>employment!D2</f>
        <v>5600</v>
      </c>
      <c r="C3" s="11">
        <f>employment!D50</f>
        <v>46600</v>
      </c>
      <c r="D3" s="11">
        <f>employment!D98</f>
        <v>13500</v>
      </c>
      <c r="E3" s="11">
        <f>employment!D146</f>
        <v>52200</v>
      </c>
      <c r="F3" s="11">
        <f>employment!D194</f>
        <v>34700</v>
      </c>
      <c r="G3" s="11">
        <f>employment!D242</f>
        <v>85800</v>
      </c>
      <c r="H3" s="11">
        <f>SUM(B3:G3)</f>
        <v>238400</v>
      </c>
      <c r="K3" s="10" t="s">
        <v>5</v>
      </c>
      <c r="L3" s="11">
        <f>employment!D26</f>
        <v>7900</v>
      </c>
      <c r="M3" s="11">
        <f>employment!D74</f>
        <v>33000</v>
      </c>
      <c r="N3" s="11">
        <f>employment!D122</f>
        <v>11500</v>
      </c>
      <c r="O3" s="11">
        <f>employment!D170</f>
        <v>60400.000000000007</v>
      </c>
      <c r="P3" s="11">
        <f>employment!D218</f>
        <v>30799.999999999996</v>
      </c>
      <c r="Q3" s="11">
        <f>employment!D266</f>
        <v>106900</v>
      </c>
      <c r="R3" s="11">
        <f>SUM(L3:Q3)</f>
        <v>250500</v>
      </c>
    </row>
    <row r="4" spans="1:18" x14ac:dyDescent="0.2">
      <c r="A4" s="10" t="s">
        <v>6</v>
      </c>
      <c r="B4" s="11">
        <f>employment!D3</f>
        <v>10600</v>
      </c>
      <c r="C4" s="11">
        <f>employment!D51</f>
        <v>56300</v>
      </c>
      <c r="D4" s="11">
        <f>employment!D99</f>
        <v>19600</v>
      </c>
      <c r="E4" s="11">
        <f>employment!D147</f>
        <v>64200</v>
      </c>
      <c r="F4" s="11">
        <f>employment!D195</f>
        <v>31100</v>
      </c>
      <c r="G4" s="11">
        <f>employment!D243</f>
        <v>93400</v>
      </c>
      <c r="H4" s="11">
        <f t="shared" ref="H4:H14" si="0">SUM(B4:G4)</f>
        <v>275200</v>
      </c>
      <c r="K4" s="10" t="s">
        <v>6</v>
      </c>
      <c r="L4" s="11">
        <f>employment!D27</f>
        <v>12000</v>
      </c>
      <c r="M4" s="11">
        <f>employment!D75</f>
        <v>33000</v>
      </c>
      <c r="N4" s="11">
        <f>employment!D123</f>
        <v>21200</v>
      </c>
      <c r="O4" s="11">
        <f>employment!D171</f>
        <v>73800</v>
      </c>
      <c r="P4" s="11">
        <f>employment!D219</f>
        <v>33100</v>
      </c>
      <c r="Q4" s="11">
        <f>employment!D267</f>
        <v>102600</v>
      </c>
      <c r="R4" s="11">
        <f t="shared" ref="R4:R14" si="1">SUM(L4:Q4)</f>
        <v>275700</v>
      </c>
    </row>
    <row r="5" spans="1:18" x14ac:dyDescent="0.2">
      <c r="A5" s="10" t="s">
        <v>7</v>
      </c>
      <c r="B5" s="11">
        <f>employment!D4</f>
        <v>12000</v>
      </c>
      <c r="C5" s="11">
        <f>employment!D52</f>
        <v>37700</v>
      </c>
      <c r="D5" s="11">
        <f>employment!D100</f>
        <v>13100</v>
      </c>
      <c r="E5" s="11">
        <f>employment!D148</f>
        <v>33400</v>
      </c>
      <c r="F5" s="11">
        <f>employment!D196</f>
        <v>18600</v>
      </c>
      <c r="G5" s="11">
        <f>employment!D244</f>
        <v>79200</v>
      </c>
      <c r="H5" s="11">
        <f t="shared" si="0"/>
        <v>194000</v>
      </c>
      <c r="K5" s="10" t="s">
        <v>7</v>
      </c>
      <c r="L5" s="11">
        <f>employment!D28</f>
        <v>7700</v>
      </c>
      <c r="M5" s="11">
        <f>employment!D76</f>
        <v>27900</v>
      </c>
      <c r="N5" s="11">
        <f>employment!D124</f>
        <v>13900</v>
      </c>
      <c r="O5" s="11">
        <f>employment!D172</f>
        <v>54599.999999999993</v>
      </c>
      <c r="P5" s="11">
        <f>employment!D220</f>
        <v>24100</v>
      </c>
      <c r="Q5" s="11">
        <f>employment!D268</f>
        <v>79500</v>
      </c>
      <c r="R5" s="11">
        <f t="shared" si="1"/>
        <v>207700</v>
      </c>
    </row>
    <row r="6" spans="1:18" x14ac:dyDescent="0.2">
      <c r="A6" s="10" t="s">
        <v>8</v>
      </c>
      <c r="B6" s="11">
        <f>employment!D5</f>
        <v>19500</v>
      </c>
      <c r="C6" s="11">
        <f>employment!D53</f>
        <v>106700</v>
      </c>
      <c r="D6" s="11">
        <f>employment!D101</f>
        <v>37800</v>
      </c>
      <c r="E6" s="11">
        <f>employment!D149</f>
        <v>111700</v>
      </c>
      <c r="F6" s="11">
        <f>employment!D197</f>
        <v>54600</v>
      </c>
      <c r="G6" s="11">
        <f>employment!D245</f>
        <v>147200</v>
      </c>
      <c r="H6" s="11">
        <f t="shared" si="0"/>
        <v>477500</v>
      </c>
      <c r="K6" s="10" t="s">
        <v>8</v>
      </c>
      <c r="L6" s="11">
        <f>employment!D29</f>
        <v>16900</v>
      </c>
      <c r="M6" s="11">
        <f>employment!D77</f>
        <v>74200</v>
      </c>
      <c r="N6" s="11">
        <f>employment!D125</f>
        <v>32800</v>
      </c>
      <c r="O6" s="11">
        <f>employment!D173</f>
        <v>128199.99999999999</v>
      </c>
      <c r="P6" s="11">
        <f>employment!D221</f>
        <v>53099.999999999993</v>
      </c>
      <c r="Q6" s="11">
        <f>employment!D269</f>
        <v>188500</v>
      </c>
      <c r="R6" s="11">
        <f t="shared" si="1"/>
        <v>493700</v>
      </c>
    </row>
    <row r="7" spans="1:18" x14ac:dyDescent="0.2">
      <c r="A7" s="10" t="s">
        <v>9</v>
      </c>
      <c r="B7" s="11">
        <f>employment!D6</f>
        <v>30100</v>
      </c>
      <c r="C7" s="11">
        <f>employment!D54</f>
        <v>139100</v>
      </c>
      <c r="D7" s="11">
        <f>employment!D102</f>
        <v>58600</v>
      </c>
      <c r="E7" s="11">
        <f>employment!D150</f>
        <v>215100</v>
      </c>
      <c r="F7" s="11">
        <f>employment!D198</f>
        <v>121500</v>
      </c>
      <c r="G7" s="11">
        <f>employment!D246</f>
        <v>298200</v>
      </c>
      <c r="H7" s="11">
        <f t="shared" si="0"/>
        <v>862600</v>
      </c>
      <c r="K7" s="10" t="s">
        <v>9</v>
      </c>
      <c r="L7" s="11">
        <f>employment!D30</f>
        <v>25000</v>
      </c>
      <c r="M7" s="11">
        <f>employment!D78</f>
        <v>103800</v>
      </c>
      <c r="N7" s="11">
        <f>employment!D126</f>
        <v>56100</v>
      </c>
      <c r="O7" s="11">
        <f>employment!D174</f>
        <v>242500</v>
      </c>
      <c r="P7" s="11">
        <f>employment!D222</f>
        <v>120800.00000000001</v>
      </c>
      <c r="Q7" s="11">
        <f>employment!D270</f>
        <v>334099.99999999994</v>
      </c>
      <c r="R7" s="11">
        <f t="shared" si="1"/>
        <v>882300</v>
      </c>
    </row>
    <row r="8" spans="1:18" x14ac:dyDescent="0.2">
      <c r="A8" s="10" t="s">
        <v>10</v>
      </c>
      <c r="B8" s="11">
        <f>employment!D7</f>
        <v>4600</v>
      </c>
      <c r="C8" s="11">
        <f>employment!D55</f>
        <v>22300</v>
      </c>
      <c r="D8" s="11">
        <f>employment!D103</f>
        <v>6200</v>
      </c>
      <c r="E8" s="11">
        <f>employment!D151</f>
        <v>32800</v>
      </c>
      <c r="F8" s="11">
        <f>employment!D199</f>
        <v>29700</v>
      </c>
      <c r="G8" s="11">
        <f>employment!D247</f>
        <v>48100</v>
      </c>
      <c r="H8" s="11">
        <f t="shared" si="0"/>
        <v>143700</v>
      </c>
      <c r="K8" s="10" t="s">
        <v>10</v>
      </c>
      <c r="L8" s="11">
        <f>employment!D31</f>
        <v>5300</v>
      </c>
      <c r="M8" s="11">
        <f>employment!D79</f>
        <v>17700</v>
      </c>
      <c r="N8" s="11">
        <f>employment!D127</f>
        <v>10000</v>
      </c>
      <c r="O8" s="11">
        <f>employment!D175</f>
        <v>58699.999999999993</v>
      </c>
      <c r="P8" s="11">
        <f>employment!D223</f>
        <v>25299.999999999996</v>
      </c>
      <c r="Q8" s="11">
        <f>employment!D271</f>
        <v>60300</v>
      </c>
      <c r="R8" s="11">
        <f t="shared" si="1"/>
        <v>177300</v>
      </c>
    </row>
    <row r="9" spans="1:18" x14ac:dyDescent="0.2">
      <c r="A9" s="10" t="s">
        <v>11</v>
      </c>
      <c r="B9" s="11">
        <f>employment!D8</f>
        <v>6100</v>
      </c>
      <c r="C9" s="11">
        <f>employment!D56</f>
        <v>56700</v>
      </c>
      <c r="D9" s="11">
        <f>employment!D104</f>
        <v>31000</v>
      </c>
      <c r="E9" s="11">
        <f>employment!D152</f>
        <v>139300</v>
      </c>
      <c r="F9" s="11">
        <f>employment!D200</f>
        <v>108600</v>
      </c>
      <c r="G9" s="11">
        <f>employment!D248</f>
        <v>188200</v>
      </c>
      <c r="H9" s="11">
        <f t="shared" si="0"/>
        <v>529900</v>
      </c>
      <c r="K9" s="10" t="s">
        <v>11</v>
      </c>
      <c r="L9" s="11">
        <f>employment!D32</f>
        <v>7300</v>
      </c>
      <c r="M9" s="11">
        <f>employment!D80</f>
        <v>42800</v>
      </c>
      <c r="N9" s="11">
        <f>employment!D128</f>
        <v>28900</v>
      </c>
      <c r="O9" s="11">
        <f>employment!D176</f>
        <v>172400</v>
      </c>
      <c r="P9" s="11">
        <f>employment!D224</f>
        <v>96500</v>
      </c>
      <c r="Q9" s="11">
        <f>employment!D272</f>
        <v>222000</v>
      </c>
      <c r="R9" s="11">
        <f t="shared" si="1"/>
        <v>569900</v>
      </c>
    </row>
    <row r="10" spans="1:18" x14ac:dyDescent="0.2">
      <c r="A10" s="10" t="s">
        <v>12</v>
      </c>
      <c r="B10" s="11">
        <f>employment!D9</f>
        <v>28100</v>
      </c>
      <c r="C10" s="11">
        <f>employment!D57</f>
        <v>123300</v>
      </c>
      <c r="D10" s="11">
        <f>employment!D105</f>
        <v>59500</v>
      </c>
      <c r="E10" s="11">
        <f>employment!D153</f>
        <v>337600</v>
      </c>
      <c r="F10" s="11">
        <f>employment!D201</f>
        <v>216600</v>
      </c>
      <c r="G10" s="11">
        <f>employment!D249</f>
        <v>401400</v>
      </c>
      <c r="H10" s="11">
        <f t="shared" si="0"/>
        <v>1166500</v>
      </c>
      <c r="K10" s="10" t="s">
        <v>12</v>
      </c>
      <c r="L10" s="11">
        <f>employment!D33</f>
        <v>19400</v>
      </c>
      <c r="M10" s="11">
        <f>employment!D81</f>
        <v>101400</v>
      </c>
      <c r="N10" s="11">
        <f>employment!D129</f>
        <v>59900</v>
      </c>
      <c r="O10" s="11">
        <f>employment!D177</f>
        <v>378400</v>
      </c>
      <c r="P10" s="11">
        <f>employment!D225</f>
        <v>213600</v>
      </c>
      <c r="Q10" s="11">
        <f>employment!D273</f>
        <v>446200</v>
      </c>
      <c r="R10" s="11">
        <f t="shared" si="1"/>
        <v>1218900</v>
      </c>
    </row>
    <row r="11" spans="1:18" x14ac:dyDescent="0.2">
      <c r="A11" s="10" t="s">
        <v>13</v>
      </c>
      <c r="B11" s="11">
        <f>employment!D10</f>
        <v>41900</v>
      </c>
      <c r="C11" s="11">
        <f>employment!D58</f>
        <v>168900</v>
      </c>
      <c r="D11" s="11">
        <f>employment!D106</f>
        <v>96500</v>
      </c>
      <c r="E11" s="11">
        <f>employment!D154</f>
        <v>391100</v>
      </c>
      <c r="F11" s="11">
        <f>employment!D202</f>
        <v>284500</v>
      </c>
      <c r="G11" s="11">
        <f>employment!D250</f>
        <v>547000</v>
      </c>
      <c r="H11" s="11">
        <f t="shared" si="0"/>
        <v>1529900</v>
      </c>
      <c r="K11" s="10" t="s">
        <v>13</v>
      </c>
      <c r="L11" s="11">
        <f>employment!D34</f>
        <v>36300</v>
      </c>
      <c r="M11" s="11">
        <f>employment!D82</f>
        <v>142100</v>
      </c>
      <c r="N11" s="11">
        <f>employment!D130</f>
        <v>88700</v>
      </c>
      <c r="O11" s="11">
        <f>employment!D178</f>
        <v>428500</v>
      </c>
      <c r="P11" s="11">
        <f>employment!D226</f>
        <v>247600.00000000003</v>
      </c>
      <c r="Q11" s="11">
        <f>employment!D274</f>
        <v>598100</v>
      </c>
      <c r="R11" s="11">
        <f t="shared" si="1"/>
        <v>1541300</v>
      </c>
    </row>
    <row r="12" spans="1:18" x14ac:dyDescent="0.2">
      <c r="A12" s="10" t="s">
        <v>14</v>
      </c>
      <c r="B12" s="11">
        <f>employment!D11</f>
        <v>5800</v>
      </c>
      <c r="C12" s="11">
        <f>employment!D59</f>
        <v>34900</v>
      </c>
      <c r="D12" s="11">
        <f>employment!D107</f>
        <v>9200</v>
      </c>
      <c r="E12" s="11">
        <f>employment!D155</f>
        <v>43500</v>
      </c>
      <c r="F12" s="11">
        <f>employment!D203</f>
        <v>19300</v>
      </c>
      <c r="G12" s="11">
        <f>employment!D251</f>
        <v>43200</v>
      </c>
      <c r="H12" s="11">
        <f t="shared" si="0"/>
        <v>155900</v>
      </c>
      <c r="K12" s="10" t="s">
        <v>14</v>
      </c>
      <c r="L12" s="11">
        <f>employment!D35</f>
        <v>5500</v>
      </c>
      <c r="M12" s="11">
        <f>employment!D83</f>
        <v>27900</v>
      </c>
      <c r="N12" s="11">
        <f>employment!D131</f>
        <v>11600</v>
      </c>
      <c r="O12" s="11">
        <f>employment!D179</f>
        <v>48600</v>
      </c>
      <c r="P12" s="11">
        <f>employment!D227</f>
        <v>14500</v>
      </c>
      <c r="Q12" s="11">
        <f>employment!D275</f>
        <v>56900</v>
      </c>
      <c r="R12" s="11">
        <f t="shared" si="1"/>
        <v>165000</v>
      </c>
    </row>
    <row r="13" spans="1:18" x14ac:dyDescent="0.2">
      <c r="A13" s="10" t="s">
        <v>15</v>
      </c>
      <c r="B13" s="11">
        <f>employment!D12</f>
        <v>41200</v>
      </c>
      <c r="C13" s="11">
        <f>employment!D60</f>
        <v>231700</v>
      </c>
      <c r="D13" s="11">
        <f>employment!D108</f>
        <v>86300</v>
      </c>
      <c r="E13" s="11">
        <f>employment!D156</f>
        <v>289700</v>
      </c>
      <c r="F13" s="11">
        <f>employment!D204</f>
        <v>147700</v>
      </c>
      <c r="G13" s="11">
        <f>employment!D252</f>
        <v>299700</v>
      </c>
      <c r="H13" s="11">
        <f t="shared" si="0"/>
        <v>1096300</v>
      </c>
      <c r="K13" s="10" t="s">
        <v>15</v>
      </c>
      <c r="L13" s="11">
        <f>employment!D36</f>
        <v>34000</v>
      </c>
      <c r="M13" s="11">
        <f>employment!D84</f>
        <v>167500</v>
      </c>
      <c r="N13" s="11">
        <f>employment!D132</f>
        <v>74700</v>
      </c>
      <c r="O13" s="11">
        <f>employment!D180</f>
        <v>317400.00000000006</v>
      </c>
      <c r="P13" s="11">
        <f>employment!D228</f>
        <v>143900</v>
      </c>
      <c r="Q13" s="11">
        <f>employment!D276</f>
        <v>367000</v>
      </c>
      <c r="R13" s="11">
        <f t="shared" si="1"/>
        <v>1104500</v>
      </c>
    </row>
    <row r="14" spans="1:18" x14ac:dyDescent="0.2">
      <c r="A14" s="10" t="s">
        <v>16</v>
      </c>
      <c r="B14" s="11">
        <f>employment!D13</f>
        <v>20600</v>
      </c>
      <c r="C14" s="11">
        <f>employment!D61</f>
        <v>120200</v>
      </c>
      <c r="D14" s="11">
        <f>employment!D109</f>
        <v>29200</v>
      </c>
      <c r="E14" s="11">
        <f>employment!D157</f>
        <v>115900</v>
      </c>
      <c r="F14" s="11">
        <f>employment!D205</f>
        <v>66000</v>
      </c>
      <c r="G14" s="11">
        <f>employment!D253</f>
        <v>151200</v>
      </c>
      <c r="H14" s="11">
        <f t="shared" si="0"/>
        <v>503100</v>
      </c>
      <c r="K14" s="10" t="s">
        <v>16</v>
      </c>
      <c r="L14" s="11">
        <f>employment!D37</f>
        <v>15100</v>
      </c>
      <c r="M14" s="11">
        <f>employment!D85</f>
        <v>72800</v>
      </c>
      <c r="N14" s="11">
        <f>employment!D133</f>
        <v>24700</v>
      </c>
      <c r="O14" s="11">
        <f>employment!D181</f>
        <v>138200.00000000003</v>
      </c>
      <c r="P14" s="11">
        <f>employment!D229</f>
        <v>54599.999999999993</v>
      </c>
      <c r="Q14" s="11">
        <f>employment!D277</f>
        <v>176500</v>
      </c>
      <c r="R14" s="11">
        <f t="shared" si="1"/>
        <v>481900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D0DF-BE9C-EC45-8B91-08B73C21E620}">
  <dimension ref="A1:P14"/>
  <sheetViews>
    <sheetView workbookViewId="0">
      <selection activeCell="I23" sqref="I23"/>
    </sheetView>
  </sheetViews>
  <sheetFormatPr baseColWidth="10" defaultRowHeight="16" x14ac:dyDescent="0.2"/>
  <cols>
    <col min="1" max="1" width="22.33203125" bestFit="1" customWidth="1"/>
    <col min="10" max="10" width="22.33203125" style="5" bestFit="1" customWidth="1"/>
  </cols>
  <sheetData>
    <row r="1" spans="1:16" s="5" customFormat="1" x14ac:dyDescent="0.2">
      <c r="A1" s="18">
        <v>1999</v>
      </c>
      <c r="B1" s="18"/>
      <c r="C1" s="18"/>
      <c r="D1" s="18"/>
      <c r="E1" s="18"/>
      <c r="F1" s="18"/>
      <c r="G1" s="18"/>
      <c r="J1" s="18">
        <v>2012</v>
      </c>
      <c r="K1" s="18"/>
      <c r="L1" s="18"/>
      <c r="M1" s="18"/>
      <c r="N1" s="18"/>
      <c r="O1" s="18"/>
      <c r="P1" s="18"/>
    </row>
    <row r="2" spans="1:16" s="5" customFormat="1" x14ac:dyDescent="0.2">
      <c r="A2" s="10"/>
      <c r="B2" s="10" t="s">
        <v>4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J2" s="10"/>
      <c r="K2" s="10" t="s">
        <v>4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21</v>
      </c>
    </row>
    <row r="3" spans="1:16" x14ac:dyDescent="0.2">
      <c r="A3" s="10" t="s">
        <v>5</v>
      </c>
      <c r="B3" s="16">
        <f>L_r!B3/L_r!$H3</f>
        <v>2.3489932885906041E-2</v>
      </c>
      <c r="C3" s="16">
        <f>L_r!C3/L_r!$H3</f>
        <v>0.19546979865771813</v>
      </c>
      <c r="D3" s="16">
        <f>L_r!D3/L_r!$H3</f>
        <v>5.6627516778523491E-2</v>
      </c>
      <c r="E3" s="16">
        <f>L_r!E3/L_r!$H3</f>
        <v>0.21895973154362416</v>
      </c>
      <c r="F3" s="16">
        <f>L_r!F3/L_r!$H3</f>
        <v>0.14555369127516779</v>
      </c>
      <c r="G3" s="16">
        <f>L_r!G3/L_r!$H3</f>
        <v>0.3598993288590604</v>
      </c>
      <c r="J3" s="10" t="s">
        <v>5</v>
      </c>
      <c r="K3" s="16">
        <f>L_r!L3/L_r!$R3</f>
        <v>3.1536926147704591E-2</v>
      </c>
      <c r="L3" s="16">
        <f>L_r!M3/L_r!$R3</f>
        <v>0.1317365269461078</v>
      </c>
      <c r="M3" s="16">
        <f>L_r!N3/L_r!$R3</f>
        <v>4.590818363273453E-2</v>
      </c>
      <c r="N3" s="16">
        <f>L_r!O3/L_r!$R3</f>
        <v>0.24111776447105793</v>
      </c>
      <c r="O3" s="16">
        <f>L_r!P3/L_r!$R3</f>
        <v>0.12295409181636725</v>
      </c>
      <c r="P3" s="16">
        <f>L_r!Q3/L_r!$R3</f>
        <v>0.42674650698602795</v>
      </c>
    </row>
    <row r="4" spans="1:16" x14ac:dyDescent="0.2">
      <c r="A4" s="10" t="s">
        <v>6</v>
      </c>
      <c r="B4" s="16">
        <f>L_r!B4/L_r!$H4</f>
        <v>3.8517441860465115E-2</v>
      </c>
      <c r="C4" s="16">
        <f>L_r!C4/L_r!$H4</f>
        <v>0.20457848837209303</v>
      </c>
      <c r="D4" s="16">
        <f>L_r!D4/L_r!$H4</f>
        <v>7.1220930232558141E-2</v>
      </c>
      <c r="E4" s="16">
        <f>L_r!E4/L_r!$H4</f>
        <v>0.23328488372093023</v>
      </c>
      <c r="F4" s="16">
        <f>L_r!F4/L_r!$H4</f>
        <v>0.11300872093023256</v>
      </c>
      <c r="G4" s="16">
        <f>L_r!G4/L_r!$H4</f>
        <v>0.33938953488372092</v>
      </c>
      <c r="J4" s="10" t="s">
        <v>6</v>
      </c>
      <c r="K4" s="16">
        <f>L_r!L4/L_r!$R4</f>
        <v>4.3525571273122961E-2</v>
      </c>
      <c r="L4" s="16">
        <f>L_r!M4/L_r!$R4</f>
        <v>0.11969532100108814</v>
      </c>
      <c r="M4" s="16">
        <f>L_r!N4/L_r!$R4</f>
        <v>7.6895175915850558E-2</v>
      </c>
      <c r="N4" s="16">
        <f>L_r!O4/L_r!$R4</f>
        <v>0.26768226332970618</v>
      </c>
      <c r="O4" s="16">
        <f>L_r!P4/L_r!$R4</f>
        <v>0.12005803409503082</v>
      </c>
      <c r="P4" s="16">
        <f>L_r!Q4/L_r!$R4</f>
        <v>0.37214363438520132</v>
      </c>
    </row>
    <row r="5" spans="1:16" x14ac:dyDescent="0.2">
      <c r="A5" s="10" t="s">
        <v>7</v>
      </c>
      <c r="B5" s="16">
        <f>L_r!B5/L_r!$H5</f>
        <v>6.1855670103092786E-2</v>
      </c>
      <c r="C5" s="16">
        <f>L_r!C5/L_r!$H5</f>
        <v>0.1943298969072165</v>
      </c>
      <c r="D5" s="16">
        <f>L_r!D5/L_r!$H5</f>
        <v>6.7525773195876285E-2</v>
      </c>
      <c r="E5" s="16">
        <f>L_r!E5/L_r!$H5</f>
        <v>0.17216494845360825</v>
      </c>
      <c r="F5" s="16">
        <f>L_r!F5/L_r!$H5</f>
        <v>9.5876288659793821E-2</v>
      </c>
      <c r="G5" s="16">
        <f>L_r!G5/L_r!$H5</f>
        <v>0.40824742268041236</v>
      </c>
      <c r="J5" s="10" t="s">
        <v>7</v>
      </c>
      <c r="K5" s="16">
        <f>L_r!L5/L_r!$R5</f>
        <v>3.7072701011073662E-2</v>
      </c>
      <c r="L5" s="16">
        <f>L_r!M5/L_r!$R5</f>
        <v>0.13432835820895522</v>
      </c>
      <c r="M5" s="16">
        <f>L_r!N5/L_r!$R5</f>
        <v>6.6923447279730375E-2</v>
      </c>
      <c r="N5" s="16">
        <f>L_r!O5/L_r!$R5</f>
        <v>0.26287915262397687</v>
      </c>
      <c r="O5" s="16">
        <f>L_r!P5/L_r!$R5</f>
        <v>0.11603273952816562</v>
      </c>
      <c r="P5" s="16">
        <f>L_r!Q5/L_r!$R5</f>
        <v>0.38276360134809823</v>
      </c>
    </row>
    <row r="6" spans="1:16" x14ac:dyDescent="0.2">
      <c r="A6" s="10" t="s">
        <v>8</v>
      </c>
      <c r="B6" s="16">
        <f>L_r!B6/L_r!$H6</f>
        <v>4.0837696335078534E-2</v>
      </c>
      <c r="C6" s="16">
        <f>L_r!C6/L_r!$H6</f>
        <v>0.22345549738219894</v>
      </c>
      <c r="D6" s="16">
        <f>L_r!D6/L_r!$H6</f>
        <v>7.9162303664921468E-2</v>
      </c>
      <c r="E6" s="16">
        <f>L_r!E6/L_r!$H6</f>
        <v>0.23392670157068063</v>
      </c>
      <c r="F6" s="16">
        <f>L_r!F6/L_r!$H6</f>
        <v>0.11434554973821989</v>
      </c>
      <c r="G6" s="16">
        <f>L_r!G6/L_r!$H6</f>
        <v>0.30827225130890051</v>
      </c>
      <c r="J6" s="10" t="s">
        <v>8</v>
      </c>
      <c r="K6" s="16">
        <f>L_r!L6/L_r!$R6</f>
        <v>3.42313145635001E-2</v>
      </c>
      <c r="L6" s="16">
        <f>L_r!M6/L_r!$R6</f>
        <v>0.1502937006279117</v>
      </c>
      <c r="M6" s="16">
        <f>L_r!N6/L_r!$R6</f>
        <v>6.6437107555195468E-2</v>
      </c>
      <c r="N6" s="16">
        <f>L_r!O6/L_r!$R6</f>
        <v>0.25967186550536758</v>
      </c>
      <c r="O6" s="16">
        <f>L_r!P6/L_r!$R6</f>
        <v>0.10755519546283167</v>
      </c>
      <c r="P6" s="16">
        <f>L_r!Q6/L_r!$R6</f>
        <v>0.38181081628519342</v>
      </c>
    </row>
    <row r="7" spans="1:16" x14ac:dyDescent="0.2">
      <c r="A7" s="10" t="s">
        <v>9</v>
      </c>
      <c r="B7" s="16">
        <f>L_r!B7/L_r!$H7</f>
        <v>3.4894504984929284E-2</v>
      </c>
      <c r="C7" s="16">
        <f>L_r!C7/L_r!$H7</f>
        <v>0.16125666589380941</v>
      </c>
      <c r="D7" s="16">
        <f>L_r!D7/L_r!$H7</f>
        <v>6.7934152562021788E-2</v>
      </c>
      <c r="E7" s="16">
        <f>L_r!E7/L_r!$H7</f>
        <v>0.2493623927660561</v>
      </c>
      <c r="F7" s="16">
        <f>L_r!F7/L_r!$H7</f>
        <v>0.14085323440760492</v>
      </c>
      <c r="G7" s="16">
        <f>L_r!G7/L_r!$H7</f>
        <v>0.34569904938557849</v>
      </c>
      <c r="J7" s="10" t="s">
        <v>9</v>
      </c>
      <c r="K7" s="16">
        <f>L_r!L7/L_r!$R7</f>
        <v>2.8335033435339455E-2</v>
      </c>
      <c r="L7" s="16">
        <f>L_r!M7/L_r!$R7</f>
        <v>0.11764705882352941</v>
      </c>
      <c r="M7" s="16">
        <f>L_r!N7/L_r!$R7</f>
        <v>6.358381502890173E-2</v>
      </c>
      <c r="N7" s="16">
        <f>L_r!O7/L_r!$R7</f>
        <v>0.2748498243227927</v>
      </c>
      <c r="O7" s="16">
        <f>L_r!P7/L_r!$R7</f>
        <v>0.13691488155956025</v>
      </c>
      <c r="P7" s="16">
        <f>L_r!Q7/L_r!$R7</f>
        <v>0.37866938682987639</v>
      </c>
    </row>
    <row r="8" spans="1:16" x14ac:dyDescent="0.2">
      <c r="A8" s="10" t="s">
        <v>10</v>
      </c>
      <c r="B8" s="16">
        <f>L_r!B8/L_r!$H8</f>
        <v>3.2011134307585246E-2</v>
      </c>
      <c r="C8" s="16">
        <f>L_r!C8/L_r!$H8</f>
        <v>0.15518441196938065</v>
      </c>
      <c r="D8" s="16">
        <f>L_r!D8/L_r!$H8</f>
        <v>4.3145441892832287E-2</v>
      </c>
      <c r="E8" s="16">
        <f>L_r!E8/L_r!$H8</f>
        <v>0.22825330549756437</v>
      </c>
      <c r="F8" s="16">
        <f>L_r!F8/L_r!$H8</f>
        <v>0.20668058455114824</v>
      </c>
      <c r="G8" s="16">
        <f>L_r!G8/L_r!$H8</f>
        <v>0.33472512178148922</v>
      </c>
      <c r="J8" s="10" t="s">
        <v>10</v>
      </c>
      <c r="K8" s="16">
        <f>L_r!L8/L_r!$R8</f>
        <v>2.9892836999435984E-2</v>
      </c>
      <c r="L8" s="16">
        <f>L_r!M8/L_r!$R8</f>
        <v>9.9830795262267347E-2</v>
      </c>
      <c r="M8" s="16">
        <f>L_r!N8/L_r!$R8</f>
        <v>5.640157924421884E-2</v>
      </c>
      <c r="N8" s="16">
        <f>L_r!O8/L_r!$R8</f>
        <v>0.33107727016356453</v>
      </c>
      <c r="O8" s="16">
        <f>L_r!P8/L_r!$R8</f>
        <v>0.14269599548787365</v>
      </c>
      <c r="P8" s="16">
        <f>L_r!Q8/L_r!$R8</f>
        <v>0.34010152284263961</v>
      </c>
    </row>
    <row r="9" spans="1:16" x14ac:dyDescent="0.2">
      <c r="A9" s="10" t="s">
        <v>11</v>
      </c>
      <c r="B9" s="16">
        <f>L_r!B9/L_r!$H9</f>
        <v>1.1511605963389319E-2</v>
      </c>
      <c r="C9" s="16">
        <f>L_r!C9/L_r!$H9</f>
        <v>0.10700132100396301</v>
      </c>
      <c r="D9" s="16">
        <f>L_r!D9/L_r!$H9</f>
        <v>5.8501604076240797E-2</v>
      </c>
      <c r="E9" s="16">
        <f>L_r!E9/L_r!$H9</f>
        <v>0.2628797886393659</v>
      </c>
      <c r="F9" s="16">
        <f>L_r!F9/L_r!$H9</f>
        <v>0.20494432911870164</v>
      </c>
      <c r="G9" s="16">
        <f>L_r!G9/L_r!$H9</f>
        <v>0.3551613511983393</v>
      </c>
      <c r="J9" s="10" t="s">
        <v>11</v>
      </c>
      <c r="K9" s="16">
        <f>L_r!L9/L_r!$R9</f>
        <v>1.2809264783295315E-2</v>
      </c>
      <c r="L9" s="16">
        <f>L_r!M9/L_r!$R9</f>
        <v>7.510089489384103E-2</v>
      </c>
      <c r="M9" s="16">
        <f>L_r!N9/L_r!$R9</f>
        <v>5.0710650991401998E-2</v>
      </c>
      <c r="N9" s="16">
        <f>L_r!O9/L_r!$R9</f>
        <v>0.30250921214248111</v>
      </c>
      <c r="O9" s="16">
        <f>L_r!P9/L_r!$R9</f>
        <v>0.16932795227232847</v>
      </c>
      <c r="P9" s="16">
        <f>L_r!Q9/L_r!$R9</f>
        <v>0.38954202491665202</v>
      </c>
    </row>
    <row r="10" spans="1:16" x14ac:dyDescent="0.2">
      <c r="A10" s="10" t="s">
        <v>12</v>
      </c>
      <c r="B10" s="16">
        <f>L_r!B10/L_r!$H10</f>
        <v>2.4089155593656236E-2</v>
      </c>
      <c r="C10" s="16">
        <f>L_r!C10/L_r!$H10</f>
        <v>0.10570081440205743</v>
      </c>
      <c r="D10" s="16">
        <f>L_r!D10/L_r!$H10</f>
        <v>5.100728675525075E-2</v>
      </c>
      <c r="E10" s="16">
        <f>L_r!E10/L_r!$H10</f>
        <v>0.28941277325332188</v>
      </c>
      <c r="F10" s="16">
        <f>L_r!F10/L_r!$H10</f>
        <v>0.18568366909558509</v>
      </c>
      <c r="G10" s="16">
        <f>L_r!G10/L_r!$H10</f>
        <v>0.34410630090012861</v>
      </c>
      <c r="J10" s="10" t="s">
        <v>12</v>
      </c>
      <c r="K10" s="16">
        <f>L_r!L10/L_r!$R10</f>
        <v>1.5915989826893101E-2</v>
      </c>
      <c r="L10" s="16">
        <f>L_r!M10/L_r!$R10</f>
        <v>8.3189761260152595E-2</v>
      </c>
      <c r="M10" s="16">
        <f>L_r!N10/L_r!$R10</f>
        <v>4.9142669620149314E-2</v>
      </c>
      <c r="N10" s="16">
        <f>L_r!O10/L_r!$R10</f>
        <v>0.31044384280909015</v>
      </c>
      <c r="O10" s="16">
        <f>L_r!P10/L_r!$R10</f>
        <v>0.17523997046517351</v>
      </c>
      <c r="P10" s="16">
        <f>L_r!Q10/L_r!$R10</f>
        <v>0.3660677660185413</v>
      </c>
    </row>
    <row r="11" spans="1:16" x14ac:dyDescent="0.2">
      <c r="A11" s="10" t="s">
        <v>13</v>
      </c>
      <c r="B11" s="16">
        <f>L_r!B11/L_r!$H11</f>
        <v>2.7387410941891628E-2</v>
      </c>
      <c r="C11" s="16">
        <f>L_r!C11/L_r!$H11</f>
        <v>0.11039937250800706</v>
      </c>
      <c r="D11" s="16">
        <f>L_r!D11/L_r!$H11</f>
        <v>6.3076018040394796E-2</v>
      </c>
      <c r="E11" s="16">
        <f>L_r!E11/L_r!$H11</f>
        <v>0.25563762337407675</v>
      </c>
      <c r="F11" s="16">
        <f>L_r!F11/L_r!$H11</f>
        <v>0.1859598666579515</v>
      </c>
      <c r="G11" s="16">
        <f>L_r!G11/L_r!$H11</f>
        <v>0.3575397084776783</v>
      </c>
      <c r="J11" s="10" t="s">
        <v>13</v>
      </c>
      <c r="K11" s="16">
        <f>L_r!L11/L_r!$R11</f>
        <v>2.3551547395056122E-2</v>
      </c>
      <c r="L11" s="16">
        <f>L_r!M11/L_r!$R11</f>
        <v>9.2194900408745867E-2</v>
      </c>
      <c r="M11" s="16">
        <f>L_r!N11/L_r!$R11</f>
        <v>5.754882242263025E-2</v>
      </c>
      <c r="N11" s="16">
        <f>L_r!O11/L_r!$R11</f>
        <v>0.27801206773502884</v>
      </c>
      <c r="O11" s="16">
        <f>L_r!P11/L_r!$R11</f>
        <v>0.16064361253487316</v>
      </c>
      <c r="P11" s="16">
        <f>L_r!Q11/L_r!$R11</f>
        <v>0.38804904950366576</v>
      </c>
    </row>
    <row r="12" spans="1:16" x14ac:dyDescent="0.2">
      <c r="A12" s="10" t="s">
        <v>14</v>
      </c>
      <c r="B12" s="16">
        <f>L_r!B12/L_r!$H12</f>
        <v>3.7203335471456059E-2</v>
      </c>
      <c r="C12" s="16">
        <f>L_r!C12/L_r!$H12</f>
        <v>0.22386144964720975</v>
      </c>
      <c r="D12" s="16">
        <f>L_r!D12/L_r!$H12</f>
        <v>5.9012187299550996E-2</v>
      </c>
      <c r="E12" s="16">
        <f>L_r!E12/L_r!$H12</f>
        <v>0.27902501603592045</v>
      </c>
      <c r="F12" s="16">
        <f>L_r!F12/L_r!$H12</f>
        <v>0.12379730596536241</v>
      </c>
      <c r="G12" s="16">
        <f>L_r!G12/L_r!$H12</f>
        <v>0.27710070558050032</v>
      </c>
      <c r="J12" s="10" t="s">
        <v>14</v>
      </c>
      <c r="K12" s="16">
        <f>L_r!L12/L_r!$R12</f>
        <v>3.3333333333333333E-2</v>
      </c>
      <c r="L12" s="16">
        <f>L_r!M12/L_r!$R12</f>
        <v>0.1690909090909091</v>
      </c>
      <c r="M12" s="16">
        <f>L_r!N12/L_r!$R12</f>
        <v>7.0303030303030298E-2</v>
      </c>
      <c r="N12" s="16">
        <f>L_r!O12/L_r!$R12</f>
        <v>0.29454545454545455</v>
      </c>
      <c r="O12" s="16">
        <f>L_r!P12/L_r!$R12</f>
        <v>8.7878787878787876E-2</v>
      </c>
      <c r="P12" s="16">
        <f>L_r!Q12/L_r!$R12</f>
        <v>0.34484848484848485</v>
      </c>
    </row>
    <row r="13" spans="1:16" x14ac:dyDescent="0.2">
      <c r="A13" s="10" t="s">
        <v>15</v>
      </c>
      <c r="B13" s="16">
        <f>L_r!B13/L_r!$H13</f>
        <v>3.7580954118398249E-2</v>
      </c>
      <c r="C13" s="16">
        <f>L_r!C13/L_r!$H13</f>
        <v>0.21134725896196296</v>
      </c>
      <c r="D13" s="16">
        <f>L_r!D13/L_r!$H13</f>
        <v>7.8719328650916714E-2</v>
      </c>
      <c r="E13" s="16">
        <f>L_r!E13/L_r!$H13</f>
        <v>0.26425248563349446</v>
      </c>
      <c r="F13" s="16">
        <f>L_r!F13/L_r!$H13</f>
        <v>0.13472589619629663</v>
      </c>
      <c r="G13" s="16">
        <f>L_r!G13/L_r!$H13</f>
        <v>0.27337407643893097</v>
      </c>
      <c r="J13" s="10" t="s">
        <v>15</v>
      </c>
      <c r="K13" s="16">
        <f>L_r!L13/L_r!$R13</f>
        <v>3.0783159800814849E-2</v>
      </c>
      <c r="L13" s="16">
        <f>L_r!M13/L_r!$R13</f>
        <v>0.1516523313716614</v>
      </c>
      <c r="M13" s="16">
        <f>L_r!N13/L_r!$R13</f>
        <v>6.7632412856496155E-2</v>
      </c>
      <c r="N13" s="16">
        <f>L_r!O13/L_r!$R13</f>
        <v>0.28736985061113629</v>
      </c>
      <c r="O13" s="16">
        <f>L_r!P13/L_r!$R13</f>
        <v>0.13028519692168403</v>
      </c>
      <c r="P13" s="16">
        <f>L_r!Q13/L_r!$R13</f>
        <v>0.33227704843820732</v>
      </c>
    </row>
    <row r="14" spans="1:16" x14ac:dyDescent="0.2">
      <c r="A14" s="10" t="s">
        <v>16</v>
      </c>
      <c r="B14" s="16">
        <f>L_r!B14/L_r!$H14</f>
        <v>4.0946133969389786E-2</v>
      </c>
      <c r="C14" s="16">
        <f>L_r!C14/L_r!$H14</f>
        <v>0.23891870403498311</v>
      </c>
      <c r="D14" s="16">
        <f>L_r!D14/L_r!$H14</f>
        <v>5.8040151063406875E-2</v>
      </c>
      <c r="E14" s="16">
        <f>L_r!E14/L_r!$H14</f>
        <v>0.23037169548797456</v>
      </c>
      <c r="F14" s="16">
        <f>L_r!F14/L_r!$H14</f>
        <v>0.13118664281454978</v>
      </c>
      <c r="G14" s="16">
        <f>L_r!G14/L_r!$H14</f>
        <v>0.30053667262969591</v>
      </c>
      <c r="J14" s="10" t="s">
        <v>16</v>
      </c>
      <c r="K14" s="16">
        <f>L_r!L14/L_r!$R14</f>
        <v>3.1334301722349037E-2</v>
      </c>
      <c r="L14" s="16">
        <f>L_r!M14/L_r!$R14</f>
        <v>0.15106868644947086</v>
      </c>
      <c r="M14" s="16">
        <f>L_r!N14/L_r!$R14</f>
        <v>5.1255447188213323E-2</v>
      </c>
      <c r="N14" s="16">
        <f>L_r!O14/L_r!$R14</f>
        <v>0.28678148993567137</v>
      </c>
      <c r="O14" s="16">
        <f>L_r!P14/L_r!$R14</f>
        <v>0.11330151483710311</v>
      </c>
      <c r="P14" s="16">
        <f>L_r!Q14/L_r!$R14</f>
        <v>0.36625855986719236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9EED-D806-E549-842E-59B66016AA7B}">
  <dimension ref="A1:R14"/>
  <sheetViews>
    <sheetView tabSelected="1" workbookViewId="0">
      <selection activeCell="F27" sqref="F27"/>
    </sheetView>
  </sheetViews>
  <sheetFormatPr baseColWidth="10" defaultRowHeight="16" x14ac:dyDescent="0.2"/>
  <cols>
    <col min="1" max="1" width="22.33203125" style="5" bestFit="1" customWidth="1"/>
    <col min="2" max="2" width="11.6640625" bestFit="1" customWidth="1"/>
    <col min="3" max="3" width="13.6640625" bestFit="1" customWidth="1"/>
    <col min="4" max="7" width="11" bestFit="1" customWidth="1"/>
    <col min="8" max="8" width="14.83203125" bestFit="1" customWidth="1"/>
    <col min="11" max="11" width="22.33203125" bestFit="1" customWidth="1"/>
    <col min="18" max="18" width="14.83203125" bestFit="1" customWidth="1"/>
  </cols>
  <sheetData>
    <row r="1" spans="1:18" x14ac:dyDescent="0.2">
      <c r="A1" s="18" t="s">
        <v>31</v>
      </c>
      <c r="B1" s="18"/>
      <c r="C1" s="18"/>
      <c r="D1" s="18"/>
      <c r="E1" s="18"/>
      <c r="F1" s="18"/>
      <c r="G1" s="18"/>
      <c r="H1" s="18"/>
      <c r="K1" s="18" t="s">
        <v>32</v>
      </c>
      <c r="L1" s="18"/>
      <c r="M1" s="18"/>
      <c r="N1" s="18"/>
      <c r="O1" s="18"/>
      <c r="P1" s="18"/>
      <c r="Q1" s="18"/>
      <c r="R1" s="18"/>
    </row>
    <row r="2" spans="1:18" x14ac:dyDescent="0.2">
      <c r="A2" s="10"/>
      <c r="B2" s="6" t="s">
        <v>4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35</v>
      </c>
      <c r="K2" s="10"/>
      <c r="L2" s="10" t="s">
        <v>4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36</v>
      </c>
    </row>
    <row r="3" spans="1:18" x14ac:dyDescent="0.2">
      <c r="A3" s="10" t="s">
        <v>5</v>
      </c>
      <c r="B3" s="11">
        <f>s_ri!B3*shock_i!$E$2</f>
        <v>34.82938240623767</v>
      </c>
      <c r="C3" s="11">
        <f>s_ri!C3*shock_i!$E$3</f>
        <v>6573.0217021501549</v>
      </c>
      <c r="D3" s="11">
        <f>s_ri!D3*shock_i!$E$4</f>
        <v>0</v>
      </c>
      <c r="E3" s="11">
        <f>s_ri!E3*shock_i!$E$5</f>
        <v>0</v>
      </c>
      <c r="F3" s="11">
        <f>s_ri!F3*shock_i!$E$6</f>
        <v>1.9926822602103295E-2</v>
      </c>
      <c r="G3" s="11">
        <f>s_ri!G3*shock_i!$E$7</f>
        <v>26.53054338346363</v>
      </c>
      <c r="H3" s="11">
        <f>SUM(B3:G3)/1000</f>
        <v>6.6344015547624586</v>
      </c>
      <c r="K3" s="10" t="s">
        <v>5</v>
      </c>
      <c r="L3" s="11">
        <f>s_ri!K3*shock_i!$E$8</f>
        <v>-36.143566381162842</v>
      </c>
      <c r="M3" s="11">
        <f>s_ri!L3*shock_i!$E$9</f>
        <v>1057.613391652875</v>
      </c>
      <c r="N3" s="11">
        <f>s_ri!M3*shock_i!$E$10</f>
        <v>0</v>
      </c>
      <c r="O3" s="11">
        <f>s_ri!N3*shock_i!$E$11</f>
        <v>0</v>
      </c>
      <c r="P3" s="11">
        <f>s_ri!O3*shock_i!$E$12</f>
        <v>-2.1680336828186899E-2</v>
      </c>
      <c r="Q3" s="11">
        <f>s_ri!P3*shock_i!$E$13</f>
        <v>-0.50040889077056583</v>
      </c>
      <c r="R3" s="11">
        <f>SUM(L3:Q3)/1000</f>
        <v>1.0209477360441133</v>
      </c>
    </row>
    <row r="4" spans="1:18" x14ac:dyDescent="0.2">
      <c r="A4" s="10" t="s">
        <v>6</v>
      </c>
      <c r="B4" s="11">
        <f>s_ri!B4*shock_i!$E$2</f>
        <v>57.11121944810192</v>
      </c>
      <c r="C4" s="11">
        <f>s_ri!C4*shock_i!$E$3</f>
        <v>6879.3176904914417</v>
      </c>
      <c r="D4" s="11">
        <f>s_ri!D4*shock_i!$E$4</f>
        <v>0</v>
      </c>
      <c r="E4" s="11">
        <f>s_ri!E4*shock_i!$E$5</f>
        <v>0</v>
      </c>
      <c r="F4" s="11">
        <f>s_ri!F4*shock_i!$E$6</f>
        <v>1.5471299386081104E-2</v>
      </c>
      <c r="G4" s="11">
        <f>s_ri!G4*shock_i!$E$7</f>
        <v>25.018631759250145</v>
      </c>
      <c r="H4" s="11">
        <f t="shared" ref="H4:H14" si="0">SUM(B4:G4)/1000</f>
        <v>6.9614630129981796</v>
      </c>
      <c r="K4" s="10" t="s">
        <v>6</v>
      </c>
      <c r="L4" s="11">
        <f>s_ri!K4*shock_i!$E$8</f>
        <v>-49.883408649915523</v>
      </c>
      <c r="M4" s="11">
        <f>s_ri!L4*shock_i!$E$9</f>
        <v>960.94361483150203</v>
      </c>
      <c r="N4" s="11">
        <f>s_ri!M4*shock_i!$E$10</f>
        <v>0</v>
      </c>
      <c r="O4" s="11">
        <f>s_ri!N4*shock_i!$E$11</f>
        <v>0</v>
      </c>
      <c r="P4" s="11">
        <f>s_ri!O4*shock_i!$E$12</f>
        <v>-2.1169678695993798E-2</v>
      </c>
      <c r="Q4" s="11">
        <f>s_ri!P4*shock_i!$E$13</f>
        <v>-0.43638080275165025</v>
      </c>
      <c r="R4" s="11">
        <f t="shared" ref="R4:R14" si="1">SUM(L4:Q4)/1000</f>
        <v>0.91060265570013899</v>
      </c>
    </row>
    <row r="5" spans="1:18" x14ac:dyDescent="0.2">
      <c r="A5" s="10" t="s">
        <v>7</v>
      </c>
      <c r="B5" s="11">
        <f>s_ri!B5*shock_i!$E$2</f>
        <v>91.71566383262585</v>
      </c>
      <c r="C5" s="11">
        <f>s_ri!C5*shock_i!$E$3</f>
        <v>6534.690466348934</v>
      </c>
      <c r="D5" s="11">
        <f>s_ri!D5*shock_i!$E$4</f>
        <v>0</v>
      </c>
      <c r="E5" s="11">
        <f>s_ri!E5*shock_i!$E$5</f>
        <v>0</v>
      </c>
      <c r="F5" s="11">
        <f>s_ri!F5*shock_i!$E$6</f>
        <v>1.3125807934750069E-2</v>
      </c>
      <c r="G5" s="11">
        <f>s_ri!G5*shock_i!$E$7</f>
        <v>30.094598933946372</v>
      </c>
      <c r="H5" s="11">
        <f t="shared" si="0"/>
        <v>6.6565138549234408</v>
      </c>
      <c r="K5" s="10" t="s">
        <v>7</v>
      </c>
      <c r="L5" s="11">
        <f>s_ri!K5*shock_i!$E$8</f>
        <v>-42.487959151347759</v>
      </c>
      <c r="M5" s="11">
        <f>s_ri!L5*shock_i!$E$9</f>
        <v>1078.4212534967915</v>
      </c>
      <c r="N5" s="11">
        <f>s_ri!M5*shock_i!$E$10</f>
        <v>0</v>
      </c>
      <c r="O5" s="11">
        <f>s_ri!N5*shock_i!$E$11</f>
        <v>0</v>
      </c>
      <c r="P5" s="11">
        <f>s_ri!O5*shock_i!$E$12</f>
        <v>-2.0459903683604244E-2</v>
      </c>
      <c r="Q5" s="11">
        <f>s_ri!P5*shock_i!$E$13</f>
        <v>-0.44883392375188208</v>
      </c>
      <c r="R5" s="11">
        <f t="shared" si="1"/>
        <v>1.0354640005180082</v>
      </c>
    </row>
    <row r="6" spans="1:18" x14ac:dyDescent="0.2">
      <c r="A6" s="10" t="s">
        <v>8</v>
      </c>
      <c r="B6" s="11">
        <f>s_ri!B6*shock_i!$E$2</f>
        <v>60.551545598398526</v>
      </c>
      <c r="C6" s="11">
        <f>s_ri!C6*shock_i!$E$3</f>
        <v>7514.0908920149232</v>
      </c>
      <c r="D6" s="11">
        <f>s_ri!D6*shock_i!$E$4</f>
        <v>0</v>
      </c>
      <c r="E6" s="11">
        <f>s_ri!E6*shock_i!$E$5</f>
        <v>0</v>
      </c>
      <c r="F6" s="11">
        <f>s_ri!F6*shock_i!$E$6</f>
        <v>1.5654316046618998E-2</v>
      </c>
      <c r="G6" s="11">
        <f>s_ri!G6*shock_i!$E$7</f>
        <v>22.724772405651269</v>
      </c>
      <c r="H6" s="11">
        <f t="shared" si="0"/>
        <v>7.5973828643350201</v>
      </c>
      <c r="K6" s="10" t="s">
        <v>8</v>
      </c>
      <c r="L6" s="11">
        <f>s_ri!K6*shock_i!$E$8</f>
        <v>-39.231527652557368</v>
      </c>
      <c r="M6" s="11">
        <f>s_ri!L6*shock_i!$E$9</f>
        <v>1206.5949676218013</v>
      </c>
      <c r="N6" s="11">
        <f>s_ri!M6*shock_i!$E$10</f>
        <v>0</v>
      </c>
      <c r="O6" s="11">
        <f>s_ri!N6*shock_i!$E$11</f>
        <v>0</v>
      </c>
      <c r="P6" s="11">
        <f>s_ri!O6*shock_i!$E$12</f>
        <v>-1.8965069245017709E-2</v>
      </c>
      <c r="Q6" s="11">
        <f>s_ri!P6*shock_i!$E$13</f>
        <v>-0.44771667473246229</v>
      </c>
      <c r="R6" s="11">
        <f t="shared" si="1"/>
        <v>1.1668967582252665</v>
      </c>
    </row>
    <row r="7" spans="1:18" x14ac:dyDescent="0.2">
      <c r="A7" s="10" t="s">
        <v>9</v>
      </c>
      <c r="B7" s="11">
        <f>s_ri!B7*shock_i!$E$2</f>
        <v>51.739358468992521</v>
      </c>
      <c r="C7" s="11">
        <f>s_ri!C7*shock_i!$E$3</f>
        <v>5422.5439009758456</v>
      </c>
      <c r="D7" s="11">
        <f>s_ri!D7*shock_i!$E$4</f>
        <v>0</v>
      </c>
      <c r="E7" s="11">
        <f>s_ri!E7*shock_i!$E$5</f>
        <v>0</v>
      </c>
      <c r="F7" s="11">
        <f>s_ri!F7*shock_i!$E$6</f>
        <v>1.9283313191052424E-2</v>
      </c>
      <c r="G7" s="11">
        <f>s_ri!G7*shock_i!$E$7</f>
        <v>25.483747514677624</v>
      </c>
      <c r="H7" s="11">
        <f t="shared" si="0"/>
        <v>5.4997862902727075</v>
      </c>
      <c r="K7" s="10" t="s">
        <v>9</v>
      </c>
      <c r="L7" s="11">
        <f>s_ri!K7*shock_i!$E$8</f>
        <v>-32.473968993874223</v>
      </c>
      <c r="M7" s="11">
        <f>s_ri!L7*shock_i!$E$9</f>
        <v>944.49965992529451</v>
      </c>
      <c r="N7" s="11">
        <f>s_ri!M7*shock_i!$E$10</f>
        <v>0</v>
      </c>
      <c r="O7" s="11">
        <f>s_ri!N7*shock_i!$E$11</f>
        <v>0</v>
      </c>
      <c r="P7" s="11">
        <f>s_ri!O7*shock_i!$E$12</f>
        <v>-2.4142024922894374E-2</v>
      </c>
      <c r="Q7" s="11">
        <f>s_ri!P7*shock_i!$E$13</f>
        <v>-0.44403299085120057</v>
      </c>
      <c r="R7" s="11">
        <f t="shared" si="1"/>
        <v>0.91155751591564627</v>
      </c>
    </row>
    <row r="8" spans="1:18" x14ac:dyDescent="0.2">
      <c r="A8" s="10" t="s">
        <v>10</v>
      </c>
      <c r="B8" s="11">
        <f>s_ri!B8*shock_i!$E$2</f>
        <v>47.464079334397645</v>
      </c>
      <c r="C8" s="11">
        <f>s_ri!C8*shock_i!$E$3</f>
        <v>5218.353498671665</v>
      </c>
      <c r="D8" s="11">
        <f>s_ri!D8*shock_i!$E$4</f>
        <v>0</v>
      </c>
      <c r="E8" s="11">
        <f>s_ri!E8*shock_i!$E$5</f>
        <v>0</v>
      </c>
      <c r="F8" s="11">
        <f>s_ri!F8*shock_i!$E$6</f>
        <v>2.8295313623230501E-2</v>
      </c>
      <c r="G8" s="11">
        <f>s_ri!G8*shock_i!$E$7</f>
        <v>24.674787233172644</v>
      </c>
      <c r="H8" s="11">
        <f t="shared" si="0"/>
        <v>5.2905206605528585</v>
      </c>
      <c r="K8" s="10" t="s">
        <v>10</v>
      </c>
      <c r="L8" s="11">
        <f>s_ri!K8*shock_i!$E$8</f>
        <v>-34.259322971114429</v>
      </c>
      <c r="M8" s="11">
        <f>s_ri!L8*shock_i!$E$9</f>
        <v>801.46629348990734</v>
      </c>
      <c r="N8" s="11">
        <f>s_ri!M8*shock_i!$E$10</f>
        <v>0</v>
      </c>
      <c r="O8" s="11">
        <f>s_ri!N8*shock_i!$E$11</f>
        <v>0</v>
      </c>
      <c r="P8" s="11">
        <f>s_ri!O8*shock_i!$E$12</f>
        <v>-2.5161401304407145E-2</v>
      </c>
      <c r="Q8" s="11">
        <f>s_ri!P8*shock_i!$E$13</f>
        <v>-0.39880777700340431</v>
      </c>
      <c r="R8" s="11">
        <f t="shared" si="1"/>
        <v>0.76678300134048505</v>
      </c>
    </row>
    <row r="9" spans="1:18" x14ac:dyDescent="0.2">
      <c r="A9" s="10" t="s">
        <v>11</v>
      </c>
      <c r="B9" s="11">
        <f>s_ri!B9*shock_i!$E$2</f>
        <v>17.068679087175163</v>
      </c>
      <c r="C9" s="11">
        <f>s_ri!C9*shock_i!$E$3</f>
        <v>3598.1108587999938</v>
      </c>
      <c r="D9" s="11">
        <f>s_ri!D9*shock_i!$E$4</f>
        <v>0</v>
      </c>
      <c r="E9" s="11">
        <f>s_ri!E9*shock_i!$E$5</f>
        <v>0</v>
      </c>
      <c r="F9" s="11">
        <f>s_ri!F9*shock_i!$E$6</f>
        <v>2.8057614024606829E-2</v>
      </c>
      <c r="G9" s="11">
        <f>s_ri!G9*shock_i!$E$7</f>
        <v>26.181275930600808</v>
      </c>
      <c r="H9" s="11">
        <f t="shared" si="0"/>
        <v>3.6413888714317939</v>
      </c>
      <c r="K9" s="10" t="s">
        <v>11</v>
      </c>
      <c r="L9" s="11">
        <f>s_ri!K9*shock_i!$E$8</f>
        <v>-14.68033091812986</v>
      </c>
      <c r="M9" s="11">
        <f>s_ri!L9*shock_i!$E$9</f>
        <v>602.9285423422042</v>
      </c>
      <c r="N9" s="11">
        <f>s_ri!M9*shock_i!$E$10</f>
        <v>0</v>
      </c>
      <c r="O9" s="11">
        <f>s_ri!N9*shock_i!$E$11</f>
        <v>0</v>
      </c>
      <c r="P9" s="11">
        <f>s_ri!O9*shock_i!$E$12</f>
        <v>-2.9857379981904377E-2</v>
      </c>
      <c r="Q9" s="11">
        <f>s_ri!P9*shock_i!$E$13</f>
        <v>-0.45678239752632382</v>
      </c>
      <c r="R9" s="11">
        <f t="shared" si="1"/>
        <v>0.58776157164656617</v>
      </c>
    </row>
    <row r="10" spans="1:18" x14ac:dyDescent="0.2">
      <c r="A10" s="10" t="s">
        <v>12</v>
      </c>
      <c r="B10" s="11">
        <f>s_ri!B10*shock_i!$E$2</f>
        <v>35.717871825773436</v>
      </c>
      <c r="C10" s="11">
        <f>s_ri!C10*shock_i!$E$3</f>
        <v>3554.3789975262043</v>
      </c>
      <c r="D10" s="11">
        <f>s_ri!D10*shock_i!$E$4</f>
        <v>0</v>
      </c>
      <c r="E10" s="11">
        <f>s_ri!E10*shock_i!$E$5</f>
        <v>0</v>
      </c>
      <c r="F10" s="11">
        <f>s_ri!F10*shock_i!$E$6</f>
        <v>2.5420760557562223E-2</v>
      </c>
      <c r="G10" s="11">
        <f>s_ri!G10*shock_i!$E$7</f>
        <v>25.366335562490512</v>
      </c>
      <c r="H10" s="11">
        <f t="shared" si="0"/>
        <v>3.6154886256750256</v>
      </c>
      <c r="K10" s="10" t="s">
        <v>12</v>
      </c>
      <c r="L10" s="11">
        <f>s_ri!K10*shock_i!$E$8</f>
        <v>-18.240859370249485</v>
      </c>
      <c r="M10" s="11">
        <f>s_ri!L10*shock_i!$E$9</f>
        <v>667.86796036558485</v>
      </c>
      <c r="N10" s="11">
        <f>s_ri!M10*shock_i!$E$10</f>
        <v>0</v>
      </c>
      <c r="O10" s="11">
        <f>s_ri!N10*shock_i!$E$11</f>
        <v>0</v>
      </c>
      <c r="P10" s="11">
        <f>s_ri!O10*shock_i!$E$12</f>
        <v>-3.0899838543972234E-2</v>
      </c>
      <c r="Q10" s="11">
        <f>s_ri!P10*shock_i!$E$13</f>
        <v>-0.4292561549805371</v>
      </c>
      <c r="R10" s="11">
        <f t="shared" si="1"/>
        <v>0.64916694500181082</v>
      </c>
    </row>
    <row r="11" spans="1:18" x14ac:dyDescent="0.2">
      <c r="A11" s="10" t="s">
        <v>13</v>
      </c>
      <c r="B11" s="11">
        <f>s_ri!B11*shock_i!$E$2</f>
        <v>40.608315632278931</v>
      </c>
      <c r="C11" s="11">
        <f>s_ri!C11*shock_i!$E$3</f>
        <v>3712.376420203761</v>
      </c>
      <c r="D11" s="11">
        <f>s_ri!D11*shock_i!$E$4</f>
        <v>0</v>
      </c>
      <c r="E11" s="11">
        <f>s_ri!E11*shock_i!$E$5</f>
        <v>0</v>
      </c>
      <c r="F11" s="11">
        <f>s_ri!F11*shock_i!$E$6</f>
        <v>2.5458572994884777E-2</v>
      </c>
      <c r="G11" s="11">
        <f>s_ri!G11*shock_i!$E$7</f>
        <v>26.356600266939292</v>
      </c>
      <c r="H11" s="11">
        <f t="shared" si="0"/>
        <v>3.7793667946759744</v>
      </c>
      <c r="K11" s="10" t="s">
        <v>13</v>
      </c>
      <c r="L11" s="11">
        <f>s_ri!K11*shock_i!$E$8</f>
        <v>-26.991752863468939</v>
      </c>
      <c r="M11" s="11">
        <f>s_ri!L11*shock_i!$E$9</f>
        <v>740.16344270470836</v>
      </c>
      <c r="N11" s="11">
        <f>s_ri!M11*shock_i!$E$10</f>
        <v>0</v>
      </c>
      <c r="O11" s="11">
        <f>s_ri!N11*shock_i!$E$11</f>
        <v>0</v>
      </c>
      <c r="P11" s="11">
        <f>s_ri!O11*shock_i!$E$12</f>
        <v>-2.8326081528497592E-2</v>
      </c>
      <c r="Q11" s="11">
        <f>s_ri!P11*shock_i!$E$13</f>
        <v>-0.4550317137875472</v>
      </c>
      <c r="R11" s="11">
        <f t="shared" si="1"/>
        <v>0.71268833204592341</v>
      </c>
    </row>
    <row r="12" spans="1:18" x14ac:dyDescent="0.2">
      <c r="A12" s="10" t="s">
        <v>14</v>
      </c>
      <c r="B12" s="11">
        <f>s_ri!B12*shock_i!$E$2</f>
        <v>55.162745854431577</v>
      </c>
      <c r="C12" s="11">
        <f>s_ri!C12*shock_i!$E$3</f>
        <v>7527.7417632302022</v>
      </c>
      <c r="D12" s="11">
        <f>s_ri!D12*shock_i!$E$4</f>
        <v>0</v>
      </c>
      <c r="E12" s="11">
        <f>s_ri!E12*shock_i!$E$5</f>
        <v>0</v>
      </c>
      <c r="F12" s="11">
        <f>s_ri!F12*shock_i!$E$6</f>
        <v>1.6948295388307642E-2</v>
      </c>
      <c r="G12" s="11">
        <f>s_ri!G12*shock_i!$E$7</f>
        <v>20.426913032313006</v>
      </c>
      <c r="H12" s="11">
        <f t="shared" si="0"/>
        <v>7.603348370412335</v>
      </c>
      <c r="K12" s="10" t="s">
        <v>14</v>
      </c>
      <c r="L12" s="11">
        <f>s_ri!K12*shock_i!$E$8</f>
        <v>-38.202377124393635</v>
      </c>
      <c r="M12" s="11">
        <f>s_ri!L12*shock_i!$E$9</f>
        <v>1357.5036021289916</v>
      </c>
      <c r="N12" s="11">
        <f>s_ri!M12*shock_i!$E$10</f>
        <v>0</v>
      </c>
      <c r="O12" s="11">
        <f>s_ri!N12*shock_i!$E$11</f>
        <v>0</v>
      </c>
      <c r="P12" s="11">
        <f>s_ri!O12*shock_i!$E$12</f>
        <v>-1.5495553609638306E-2</v>
      </c>
      <c r="Q12" s="11">
        <f>s_ri!P12*shock_i!$E$13</f>
        <v>-0.4043741306887616</v>
      </c>
      <c r="R12" s="11">
        <f t="shared" si="1"/>
        <v>1.3188813553202996</v>
      </c>
    </row>
    <row r="13" spans="1:18" x14ac:dyDescent="0.2">
      <c r="A13" s="10" t="s">
        <v>15</v>
      </c>
      <c r="B13" s="11">
        <f>s_ri!B13*shock_i!$E$2</f>
        <v>55.722654829989651</v>
      </c>
      <c r="C13" s="11">
        <f>s_ri!C13*shock_i!$E$3</f>
        <v>7106.9297118349441</v>
      </c>
      <c r="D13" s="11">
        <f>s_ri!D13*shock_i!$E$4</f>
        <v>0</v>
      </c>
      <c r="E13" s="11">
        <f>s_ri!E13*shock_i!$E$5</f>
        <v>0</v>
      </c>
      <c r="F13" s="11">
        <f>s_ri!F13*shock_i!$E$6</f>
        <v>1.8444458604197574E-2</v>
      </c>
      <c r="G13" s="11">
        <f>s_ri!G13*shock_i!$E$7</f>
        <v>20.1521987214308</v>
      </c>
      <c r="H13" s="11">
        <f t="shared" si="0"/>
        <v>7.1828230098449684</v>
      </c>
      <c r="K13" s="10" t="s">
        <v>15</v>
      </c>
      <c r="L13" s="11">
        <f>s_ri!K13*shock_i!$E$8</f>
        <v>-35.279696393736089</v>
      </c>
      <c r="M13" s="11">
        <f>s_ri!L13*shock_i!$E$9</f>
        <v>1217.5023909630042</v>
      </c>
      <c r="N13" s="11">
        <f>s_ri!M13*shock_i!$E$10</f>
        <v>0</v>
      </c>
      <c r="O13" s="11">
        <f>s_ri!N13*shock_i!$E$11</f>
        <v>0</v>
      </c>
      <c r="P13" s="11">
        <f>s_ri!O13*shock_i!$E$12</f>
        <v>-2.2973021159859955E-2</v>
      </c>
      <c r="Q13" s="11">
        <f>s_ri!P13*shock_i!$E$13</f>
        <v>-0.38963268946668816</v>
      </c>
      <c r="R13" s="11">
        <f t="shared" si="1"/>
        <v>1.1818100888586416</v>
      </c>
    </row>
    <row r="14" spans="1:18" x14ac:dyDescent="0.2">
      <c r="A14" s="10" t="s">
        <v>16</v>
      </c>
      <c r="B14" s="11">
        <f>s_ri!B14*shock_i!$E$2</f>
        <v>60.71233004384581</v>
      </c>
      <c r="C14" s="11">
        <f>s_ri!C14*shock_i!$E$3</f>
        <v>8034.0688815127387</v>
      </c>
      <c r="D14" s="11">
        <f>s_ri!D14*shock_i!$E$4</f>
        <v>0</v>
      </c>
      <c r="E14" s="11">
        <f>s_ri!E14*shock_i!$E$5</f>
        <v>0</v>
      </c>
      <c r="F14" s="11">
        <f>s_ri!F14*shock_i!$E$6</f>
        <v>1.7959922116911692E-2</v>
      </c>
      <c r="G14" s="11">
        <f>s_ri!G14*shock_i!$E$7</f>
        <v>22.154532093185438</v>
      </c>
      <c r="H14" s="11">
        <f t="shared" si="0"/>
        <v>8.1169537035718875</v>
      </c>
      <c r="K14" s="10" t="s">
        <v>16</v>
      </c>
      <c r="L14" s="11">
        <f>s_ri!K14*shock_i!$E$8</f>
        <v>-35.911344339801452</v>
      </c>
      <c r="M14" s="11">
        <f>s_ri!L14*shock_i!$E$9</f>
        <v>1212.8167453035326</v>
      </c>
      <c r="N14" s="11">
        <f>s_ri!M14*shock_i!$E$10</f>
        <v>0</v>
      </c>
      <c r="O14" s="11">
        <f>s_ri!N14*shock_i!$E$11</f>
        <v>0</v>
      </c>
      <c r="P14" s="11">
        <f>s_ri!O14*shock_i!$E$12</f>
        <v>-1.9978310347579836E-2</v>
      </c>
      <c r="Q14" s="11">
        <f>s_ri!P14*shock_i!$E$13</f>
        <v>-0.42947988250169161</v>
      </c>
      <c r="R14" s="11">
        <f t="shared" si="1"/>
        <v>1.1764559427708818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E25C-232B-2041-8B31-32CCBD2619CD}">
  <dimension ref="A1:X40"/>
  <sheetViews>
    <sheetView topLeftCell="G1" workbookViewId="0">
      <selection activeCell="X13" sqref="X13"/>
    </sheetView>
  </sheetViews>
  <sheetFormatPr baseColWidth="10" defaultRowHeight="16" x14ac:dyDescent="0.2"/>
  <cols>
    <col min="1" max="2" width="10.83203125" style="1"/>
    <col min="3" max="3" width="17.5" style="3" bestFit="1" customWidth="1"/>
    <col min="4" max="6" width="10.83203125" style="1"/>
    <col min="7" max="7" width="17.83203125" style="3" bestFit="1" customWidth="1"/>
    <col min="8" max="10" width="10.83203125" style="1"/>
    <col min="11" max="11" width="17.83203125" style="3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  <col min="24" max="24" width="10.83203125" style="1"/>
  </cols>
  <sheetData>
    <row r="1" spans="1:24" s="13" customFormat="1" x14ac:dyDescent="0.2">
      <c r="A1" s="18" t="s">
        <v>37</v>
      </c>
      <c r="B1" s="18"/>
      <c r="C1" s="18"/>
      <c r="E1" s="18" t="s">
        <v>38</v>
      </c>
      <c r="F1" s="18"/>
      <c r="G1" s="18"/>
      <c r="I1" s="18" t="s">
        <v>39</v>
      </c>
      <c r="J1" s="18"/>
      <c r="K1" s="18"/>
      <c r="M1" s="18" t="s">
        <v>40</v>
      </c>
      <c r="N1" s="18"/>
      <c r="O1" s="18"/>
      <c r="Q1" s="18" t="s">
        <v>41</v>
      </c>
      <c r="R1" s="18"/>
      <c r="S1" s="18"/>
      <c r="U1" s="18" t="s">
        <v>42</v>
      </c>
      <c r="V1" s="18"/>
      <c r="W1" s="18"/>
    </row>
    <row r="2" spans="1:24" s="5" customFormat="1" x14ac:dyDescent="0.2">
      <c r="A2" s="6" t="s">
        <v>1</v>
      </c>
      <c r="B2" s="6" t="s">
        <v>2</v>
      </c>
      <c r="C2" s="7" t="s">
        <v>3</v>
      </c>
      <c r="D2" s="4"/>
      <c r="E2" s="6" t="s">
        <v>1</v>
      </c>
      <c r="F2" s="6" t="s">
        <v>2</v>
      </c>
      <c r="G2" s="7" t="s">
        <v>3</v>
      </c>
      <c r="H2" s="4"/>
      <c r="I2" s="6" t="s">
        <v>1</v>
      </c>
      <c r="J2" s="6" t="s">
        <v>2</v>
      </c>
      <c r="K2" s="7" t="s">
        <v>3</v>
      </c>
      <c r="L2" s="4"/>
      <c r="M2" s="6" t="s">
        <v>1</v>
      </c>
      <c r="N2" s="6" t="s">
        <v>2</v>
      </c>
      <c r="O2" s="14" t="s">
        <v>3</v>
      </c>
      <c r="P2" s="4"/>
      <c r="Q2" s="6" t="s">
        <v>1</v>
      </c>
      <c r="R2" s="6" t="s">
        <v>2</v>
      </c>
      <c r="S2" s="6" t="s">
        <v>3</v>
      </c>
      <c r="T2" s="4"/>
      <c r="U2" s="6" t="s">
        <v>1</v>
      </c>
      <c r="V2" s="6" t="s">
        <v>2</v>
      </c>
      <c r="W2" s="14" t="s">
        <v>3</v>
      </c>
      <c r="X2" s="4"/>
    </row>
    <row r="3" spans="1:24" x14ac:dyDescent="0.2">
      <c r="A3" s="8">
        <v>1999</v>
      </c>
      <c r="B3" s="8" t="s">
        <v>4</v>
      </c>
      <c r="C3" s="9">
        <v>31366299</v>
      </c>
      <c r="E3" s="8">
        <v>1999</v>
      </c>
      <c r="F3" s="8" t="s">
        <v>4</v>
      </c>
      <c r="G3" s="9">
        <v>1907415</v>
      </c>
      <c r="I3" s="8">
        <v>1999</v>
      </c>
      <c r="J3" s="8" t="s">
        <v>4</v>
      </c>
      <c r="K3" s="9">
        <v>1643501884</v>
      </c>
      <c r="M3" s="8">
        <v>1999</v>
      </c>
      <c r="N3" s="8" t="s">
        <v>4</v>
      </c>
      <c r="O3" s="9">
        <v>1125099</v>
      </c>
      <c r="Q3" s="8">
        <v>1999</v>
      </c>
      <c r="R3" s="8" t="s">
        <v>4</v>
      </c>
      <c r="S3" s="9">
        <v>8132064</v>
      </c>
      <c r="U3" s="8">
        <v>1999</v>
      </c>
      <c r="V3" s="8" t="s">
        <v>4</v>
      </c>
      <c r="W3" s="9">
        <v>1414721</v>
      </c>
    </row>
    <row r="4" spans="1:24" x14ac:dyDescent="0.2">
      <c r="A4" s="8">
        <v>1999</v>
      </c>
      <c r="B4" s="8" t="s">
        <v>17</v>
      </c>
      <c r="C4" s="9">
        <v>4170822649</v>
      </c>
      <c r="E4" s="8">
        <v>1999</v>
      </c>
      <c r="F4" s="8" t="s">
        <v>17</v>
      </c>
      <c r="G4" s="9">
        <v>723830435</v>
      </c>
      <c r="I4" s="8">
        <v>1999</v>
      </c>
      <c r="J4" s="8" t="s">
        <v>17</v>
      </c>
      <c r="K4" s="9">
        <v>40528188750</v>
      </c>
      <c r="M4" s="8">
        <v>1999</v>
      </c>
      <c r="N4" s="8" t="s">
        <v>17</v>
      </c>
      <c r="O4" s="9">
        <v>920711827</v>
      </c>
      <c r="Q4" s="8">
        <v>1999</v>
      </c>
      <c r="R4" s="8" t="s">
        <v>17</v>
      </c>
      <c r="S4" s="9">
        <v>745304253</v>
      </c>
      <c r="U4" s="8">
        <v>1999</v>
      </c>
      <c r="V4" s="8" t="s">
        <v>17</v>
      </c>
      <c r="W4" s="9">
        <v>757645750</v>
      </c>
    </row>
    <row r="5" spans="1:24" x14ac:dyDescent="0.2">
      <c r="A5" s="8">
        <v>1999</v>
      </c>
      <c r="B5" s="8" t="s">
        <v>18</v>
      </c>
      <c r="C5" s="9">
        <v>0</v>
      </c>
      <c r="E5" s="8">
        <v>1999</v>
      </c>
      <c r="F5" s="8" t="s">
        <v>18</v>
      </c>
      <c r="G5" s="9">
        <v>0</v>
      </c>
      <c r="I5" s="8">
        <v>1999</v>
      </c>
      <c r="J5" s="8" t="s">
        <v>18</v>
      </c>
      <c r="K5" s="9">
        <v>0</v>
      </c>
      <c r="M5" s="8">
        <v>1999</v>
      </c>
      <c r="N5" s="8" t="s">
        <v>18</v>
      </c>
      <c r="O5" s="9">
        <v>0</v>
      </c>
      <c r="Q5" s="8">
        <v>1999</v>
      </c>
      <c r="R5" s="8" t="s">
        <v>18</v>
      </c>
      <c r="S5" s="9">
        <v>0</v>
      </c>
      <c r="U5" s="8">
        <v>1999</v>
      </c>
      <c r="V5" s="8" t="s">
        <v>18</v>
      </c>
      <c r="W5" s="9">
        <v>0</v>
      </c>
    </row>
    <row r="6" spans="1:24" x14ac:dyDescent="0.2">
      <c r="A6" s="8">
        <v>1999</v>
      </c>
      <c r="B6" s="8" t="s">
        <v>19</v>
      </c>
      <c r="C6" s="9">
        <v>0</v>
      </c>
      <c r="E6" s="8">
        <v>1999</v>
      </c>
      <c r="F6" s="8" t="s">
        <v>19</v>
      </c>
      <c r="G6" s="9">
        <v>0</v>
      </c>
      <c r="I6" s="8">
        <v>1999</v>
      </c>
      <c r="J6" s="8" t="s">
        <v>19</v>
      </c>
      <c r="K6" s="9">
        <v>0</v>
      </c>
      <c r="M6" s="8">
        <v>1999</v>
      </c>
      <c r="N6" s="8" t="s">
        <v>19</v>
      </c>
      <c r="O6" s="9">
        <v>0</v>
      </c>
      <c r="Q6" s="8">
        <v>1999</v>
      </c>
      <c r="R6" s="8" t="s">
        <v>19</v>
      </c>
      <c r="S6" s="9">
        <v>0</v>
      </c>
      <c r="U6" s="8">
        <v>1999</v>
      </c>
      <c r="V6" s="8" t="s">
        <v>19</v>
      </c>
      <c r="W6" s="9">
        <v>0</v>
      </c>
    </row>
    <row r="7" spans="1:24" x14ac:dyDescent="0.2">
      <c r="A7" s="8">
        <v>1999</v>
      </c>
      <c r="B7" s="8" t="s">
        <v>20</v>
      </c>
      <c r="C7" s="9">
        <v>13735</v>
      </c>
      <c r="E7" s="8">
        <v>1999</v>
      </c>
      <c r="F7" s="8" t="s">
        <v>20</v>
      </c>
      <c r="G7" s="9">
        <v>0</v>
      </c>
      <c r="I7" s="8">
        <v>1999</v>
      </c>
      <c r="J7" s="8" t="s">
        <v>20</v>
      </c>
      <c r="K7" s="9">
        <v>399015</v>
      </c>
      <c r="M7" s="8">
        <v>1999</v>
      </c>
      <c r="N7" s="8" t="s">
        <v>20</v>
      </c>
      <c r="O7" s="9">
        <v>4382</v>
      </c>
      <c r="Q7" s="8">
        <v>1999</v>
      </c>
      <c r="R7" s="8" t="s">
        <v>20</v>
      </c>
      <c r="S7" s="9">
        <v>0</v>
      </c>
      <c r="U7" s="8">
        <v>1999</v>
      </c>
      <c r="V7" s="8" t="s">
        <v>20</v>
      </c>
      <c r="W7" s="9">
        <v>1451</v>
      </c>
    </row>
    <row r="8" spans="1:24" x14ac:dyDescent="0.2">
      <c r="A8" s="8">
        <v>1999</v>
      </c>
      <c r="B8" s="8" t="s">
        <v>21</v>
      </c>
      <c r="C8" s="9">
        <v>11992818</v>
      </c>
      <c r="E8" s="8">
        <v>1999</v>
      </c>
      <c r="F8" s="8" t="s">
        <v>21</v>
      </c>
      <c r="G8" s="9">
        <v>916058</v>
      </c>
      <c r="I8" s="8">
        <v>1999</v>
      </c>
      <c r="J8" s="8" t="s">
        <v>21</v>
      </c>
      <c r="K8" s="9">
        <v>313452422</v>
      </c>
      <c r="M8" s="8">
        <v>1999</v>
      </c>
      <c r="N8" s="8" t="s">
        <v>21</v>
      </c>
      <c r="O8" s="9">
        <v>310766</v>
      </c>
      <c r="Q8" s="8">
        <v>1999</v>
      </c>
      <c r="R8" s="8" t="s">
        <v>21</v>
      </c>
      <c r="S8" s="9">
        <v>1466967</v>
      </c>
      <c r="U8" s="8">
        <v>1999</v>
      </c>
      <c r="V8" s="8" t="s">
        <v>21</v>
      </c>
      <c r="W8" s="9">
        <v>2039185</v>
      </c>
    </row>
    <row r="9" spans="1:24" x14ac:dyDescent="0.2">
      <c r="A9" s="8">
        <v>2011</v>
      </c>
      <c r="B9" s="8" t="s">
        <v>4</v>
      </c>
      <c r="C9" s="9">
        <v>126210268</v>
      </c>
      <c r="E9" s="8">
        <v>2011</v>
      </c>
      <c r="F9" s="8" t="s">
        <v>4</v>
      </c>
      <c r="G9" s="9">
        <v>2661830</v>
      </c>
      <c r="I9" s="8">
        <v>2011</v>
      </c>
      <c r="J9" s="8" t="s">
        <v>4</v>
      </c>
      <c r="K9" s="9">
        <v>1871215480</v>
      </c>
      <c r="M9" s="8">
        <v>2011</v>
      </c>
      <c r="N9" s="8" t="s">
        <v>4</v>
      </c>
      <c r="O9" s="9">
        <v>14453257</v>
      </c>
      <c r="Q9" s="15">
        <v>2011</v>
      </c>
      <c r="R9" s="15" t="s">
        <v>4</v>
      </c>
      <c r="S9" s="9">
        <v>23104718.137999993</v>
      </c>
      <c r="U9" s="8">
        <v>2011</v>
      </c>
      <c r="V9" s="8" t="s">
        <v>4</v>
      </c>
      <c r="W9" s="9">
        <v>10454215</v>
      </c>
    </row>
    <row r="10" spans="1:24" x14ac:dyDescent="0.2">
      <c r="A10" s="8">
        <v>2011</v>
      </c>
      <c r="B10" s="8" t="s">
        <v>17</v>
      </c>
      <c r="C10" s="9">
        <v>42571628341</v>
      </c>
      <c r="E10" s="8">
        <v>2011</v>
      </c>
      <c r="F10" s="8" t="s">
        <v>17</v>
      </c>
      <c r="G10" s="9">
        <v>3030544423</v>
      </c>
      <c r="I10" s="8">
        <v>2011</v>
      </c>
      <c r="J10" s="8" t="s">
        <v>17</v>
      </c>
      <c r="K10" s="9">
        <v>178004922182</v>
      </c>
      <c r="M10" s="8">
        <v>2011</v>
      </c>
      <c r="N10" s="8" t="s">
        <v>17</v>
      </c>
      <c r="O10" s="9">
        <v>8239528662</v>
      </c>
      <c r="Q10" s="15">
        <v>2011</v>
      </c>
      <c r="R10" s="15" t="s">
        <v>17</v>
      </c>
      <c r="S10" s="9">
        <v>5835469332.3119984</v>
      </c>
      <c r="U10" s="8">
        <v>2011</v>
      </c>
      <c r="V10" s="8" t="s">
        <v>17</v>
      </c>
      <c r="W10" s="9">
        <v>6831335381</v>
      </c>
    </row>
    <row r="11" spans="1:24" x14ac:dyDescent="0.2">
      <c r="A11" s="8">
        <v>2011</v>
      </c>
      <c r="B11" s="8" t="s">
        <v>18</v>
      </c>
      <c r="C11" s="9">
        <v>0</v>
      </c>
      <c r="E11" s="8">
        <v>2011</v>
      </c>
      <c r="F11" s="8" t="s">
        <v>18</v>
      </c>
      <c r="G11" s="9">
        <v>0</v>
      </c>
      <c r="I11" s="8">
        <v>2011</v>
      </c>
      <c r="J11" s="8" t="s">
        <v>18</v>
      </c>
      <c r="K11" s="9">
        <v>0</v>
      </c>
      <c r="M11" s="8">
        <v>2011</v>
      </c>
      <c r="N11" s="8" t="s">
        <v>18</v>
      </c>
      <c r="O11" s="9">
        <v>0</v>
      </c>
      <c r="Q11" s="15">
        <v>2011</v>
      </c>
      <c r="R11" s="15" t="s">
        <v>18</v>
      </c>
      <c r="S11" s="9">
        <v>0</v>
      </c>
      <c r="U11" s="8">
        <v>2011</v>
      </c>
      <c r="V11" s="8" t="s">
        <v>18</v>
      </c>
      <c r="W11" s="9">
        <v>0</v>
      </c>
    </row>
    <row r="12" spans="1:24" x14ac:dyDescent="0.2">
      <c r="A12" s="8">
        <v>2011</v>
      </c>
      <c r="B12" s="8" t="s">
        <v>19</v>
      </c>
      <c r="C12" s="9">
        <v>0</v>
      </c>
      <c r="E12" s="8">
        <v>2011</v>
      </c>
      <c r="F12" s="8" t="s">
        <v>19</v>
      </c>
      <c r="G12" s="9">
        <v>0</v>
      </c>
      <c r="I12" s="8">
        <v>2011</v>
      </c>
      <c r="J12" s="8" t="s">
        <v>19</v>
      </c>
      <c r="K12" s="9">
        <v>0</v>
      </c>
      <c r="M12" s="8">
        <v>2011</v>
      </c>
      <c r="N12" s="8" t="s">
        <v>19</v>
      </c>
      <c r="O12" s="9">
        <v>0</v>
      </c>
      <c r="Q12" s="15">
        <v>2011</v>
      </c>
      <c r="R12" s="15" t="s">
        <v>19</v>
      </c>
      <c r="S12" s="9">
        <v>0</v>
      </c>
      <c r="U12" s="8">
        <v>2011</v>
      </c>
      <c r="V12" s="8" t="s">
        <v>19</v>
      </c>
      <c r="W12" s="9">
        <v>0</v>
      </c>
    </row>
    <row r="13" spans="1:24" x14ac:dyDescent="0.2">
      <c r="A13" s="8">
        <v>2011</v>
      </c>
      <c r="B13" s="8" t="s">
        <v>20</v>
      </c>
      <c r="C13" s="9">
        <v>12361</v>
      </c>
      <c r="E13" s="8">
        <v>2011</v>
      </c>
      <c r="F13" s="8" t="s">
        <v>20</v>
      </c>
      <c r="G13" s="9">
        <v>2351</v>
      </c>
      <c r="I13" s="8">
        <v>2011</v>
      </c>
      <c r="J13" s="8" t="s">
        <v>20</v>
      </c>
      <c r="K13" s="9">
        <v>761578</v>
      </c>
      <c r="M13" s="8">
        <v>2011</v>
      </c>
      <c r="N13" s="8" t="s">
        <v>20</v>
      </c>
      <c r="O13" s="9">
        <v>2049</v>
      </c>
      <c r="Q13" s="15">
        <v>2011</v>
      </c>
      <c r="R13" s="15" t="s">
        <v>20</v>
      </c>
      <c r="S13" s="9">
        <v>119105.481</v>
      </c>
      <c r="U13" s="8">
        <v>2011</v>
      </c>
      <c r="V13" s="8" t="s">
        <v>20</v>
      </c>
      <c r="W13" s="9">
        <v>1541</v>
      </c>
    </row>
    <row r="14" spans="1:24" x14ac:dyDescent="0.2">
      <c r="A14" s="8">
        <v>2011</v>
      </c>
      <c r="B14" s="8" t="s">
        <v>21</v>
      </c>
      <c r="C14" s="9">
        <v>13383600</v>
      </c>
      <c r="E14" s="8">
        <v>2011</v>
      </c>
      <c r="F14" s="8" t="s">
        <v>21</v>
      </c>
      <c r="G14" s="9">
        <v>2764490</v>
      </c>
      <c r="I14" s="8">
        <v>2011</v>
      </c>
      <c r="J14" s="8" t="s">
        <v>21</v>
      </c>
      <c r="K14" s="9">
        <v>598610981</v>
      </c>
      <c r="M14" s="8">
        <v>2011</v>
      </c>
      <c r="N14" s="8" t="s">
        <v>21</v>
      </c>
      <c r="O14" s="9">
        <v>32414433</v>
      </c>
      <c r="Q14" s="15">
        <v>2011</v>
      </c>
      <c r="R14" s="15" t="s">
        <v>21</v>
      </c>
      <c r="S14" s="9">
        <v>2539302.148</v>
      </c>
      <c r="U14" s="8">
        <v>2011</v>
      </c>
      <c r="V14" s="8" t="s">
        <v>21</v>
      </c>
      <c r="W14" s="9">
        <v>3199406</v>
      </c>
    </row>
    <row r="15" spans="1:24" x14ac:dyDescent="0.2">
      <c r="A15" s="8">
        <v>2012</v>
      </c>
      <c r="B15" s="8" t="s">
        <v>4</v>
      </c>
      <c r="C15" s="9">
        <v>113128043</v>
      </c>
      <c r="E15" s="8">
        <v>2012</v>
      </c>
      <c r="F15" s="8" t="s">
        <v>4</v>
      </c>
      <c r="G15" s="9">
        <v>7005283</v>
      </c>
      <c r="I15" s="8">
        <v>2012</v>
      </c>
      <c r="J15" s="8" t="s">
        <v>4</v>
      </c>
      <c r="K15" s="9">
        <v>1945974614</v>
      </c>
      <c r="M15" s="8">
        <v>2012</v>
      </c>
      <c r="N15" s="8" t="s">
        <v>4</v>
      </c>
      <c r="O15" s="9">
        <v>13598740</v>
      </c>
      <c r="Q15" s="8">
        <v>2012</v>
      </c>
      <c r="R15" s="8" t="s">
        <v>4</v>
      </c>
      <c r="S15" s="9">
        <v>21088671.141000003</v>
      </c>
      <c r="U15" s="8">
        <v>2012</v>
      </c>
      <c r="V15" s="8" t="s">
        <v>4</v>
      </c>
      <c r="W15" s="9">
        <v>11961046.121999998</v>
      </c>
    </row>
    <row r="16" spans="1:24" x14ac:dyDescent="0.2">
      <c r="A16" s="8">
        <v>2012</v>
      </c>
      <c r="B16" s="8" t="s">
        <v>17</v>
      </c>
      <c r="C16" s="9">
        <v>44967001411</v>
      </c>
      <c r="E16" s="8">
        <v>2012</v>
      </c>
      <c r="F16" s="8" t="s">
        <v>17</v>
      </c>
      <c r="G16" s="9">
        <v>5857709242</v>
      </c>
      <c r="I16" s="8">
        <v>2012</v>
      </c>
      <c r="J16" s="8" t="s">
        <v>17</v>
      </c>
      <c r="K16" s="9">
        <v>183922128298</v>
      </c>
      <c r="M16" s="8">
        <v>2012</v>
      </c>
      <c r="N16" s="8" t="s">
        <v>17</v>
      </c>
      <c r="O16" s="9">
        <v>8057038925</v>
      </c>
      <c r="Q16" s="8">
        <v>2012</v>
      </c>
      <c r="R16" s="8" t="s">
        <v>17</v>
      </c>
      <c r="S16" s="9">
        <v>6182173750.6299992</v>
      </c>
      <c r="U16" s="8">
        <v>2012</v>
      </c>
      <c r="V16" s="8" t="s">
        <v>17</v>
      </c>
      <c r="W16" s="9">
        <v>8033882883.1989965</v>
      </c>
    </row>
    <row r="17" spans="1:24" x14ac:dyDescent="0.2">
      <c r="A17" s="8">
        <v>2012</v>
      </c>
      <c r="B17" s="8" t="s">
        <v>18</v>
      </c>
      <c r="C17" s="9">
        <v>0</v>
      </c>
      <c r="E17" s="8">
        <v>2012</v>
      </c>
      <c r="F17" s="8" t="s">
        <v>18</v>
      </c>
      <c r="G17" s="9">
        <v>0</v>
      </c>
      <c r="I17" s="8">
        <v>2012</v>
      </c>
      <c r="J17" s="8" t="s">
        <v>18</v>
      </c>
      <c r="K17" s="9">
        <v>0</v>
      </c>
      <c r="M17" s="8">
        <v>2012</v>
      </c>
      <c r="N17" s="8" t="s">
        <v>18</v>
      </c>
      <c r="O17" s="9">
        <v>0</v>
      </c>
      <c r="Q17" s="8">
        <v>2012</v>
      </c>
      <c r="R17" s="8" t="s">
        <v>18</v>
      </c>
      <c r="S17" s="9">
        <v>0</v>
      </c>
      <c r="U17" s="8">
        <v>2012</v>
      </c>
      <c r="V17" s="8" t="s">
        <v>18</v>
      </c>
      <c r="W17" s="9">
        <v>0</v>
      </c>
    </row>
    <row r="18" spans="1:24" x14ac:dyDescent="0.2">
      <c r="A18" s="8">
        <v>2012</v>
      </c>
      <c r="B18" s="8" t="s">
        <v>19</v>
      </c>
      <c r="C18" s="9">
        <v>0</v>
      </c>
      <c r="E18" s="8">
        <v>2012</v>
      </c>
      <c r="F18" s="8" t="s">
        <v>19</v>
      </c>
      <c r="G18" s="9">
        <v>0</v>
      </c>
      <c r="I18" s="8">
        <v>2012</v>
      </c>
      <c r="J18" s="8" t="s">
        <v>19</v>
      </c>
      <c r="K18" s="9">
        <v>0</v>
      </c>
      <c r="M18" s="8">
        <v>2012</v>
      </c>
      <c r="N18" s="8" t="s">
        <v>19</v>
      </c>
      <c r="O18" s="9">
        <v>0</v>
      </c>
      <c r="Q18" s="8">
        <v>2012</v>
      </c>
      <c r="R18" s="8" t="s">
        <v>19</v>
      </c>
      <c r="S18" s="9">
        <v>0</v>
      </c>
      <c r="U18" s="8">
        <v>2012</v>
      </c>
      <c r="V18" s="8" t="s">
        <v>19</v>
      </c>
      <c r="W18" s="9">
        <v>0</v>
      </c>
    </row>
    <row r="19" spans="1:24" x14ac:dyDescent="0.2">
      <c r="A19" s="8">
        <v>2012</v>
      </c>
      <c r="B19" s="8" t="s">
        <v>20</v>
      </c>
      <c r="C19" s="9">
        <v>22409</v>
      </c>
      <c r="E19" s="8">
        <v>2012</v>
      </c>
      <c r="F19" s="8" t="s">
        <v>20</v>
      </c>
      <c r="G19" s="9">
        <v>316</v>
      </c>
      <c r="I19" s="8">
        <v>2012</v>
      </c>
      <c r="J19" s="8" t="s">
        <v>20</v>
      </c>
      <c r="K19" s="9">
        <v>656483</v>
      </c>
      <c r="M19" s="8">
        <v>2012</v>
      </c>
      <c r="N19" s="8" t="s">
        <v>20</v>
      </c>
      <c r="O19" s="9">
        <v>37350</v>
      </c>
      <c r="Q19" s="8">
        <v>2012</v>
      </c>
      <c r="R19" s="8" t="s">
        <v>20</v>
      </c>
      <c r="S19" s="9">
        <v>113827.758</v>
      </c>
      <c r="U19" s="8">
        <v>2012</v>
      </c>
      <c r="V19" s="8" t="s">
        <v>20</v>
      </c>
      <c r="W19" s="9">
        <v>14028.040999999999</v>
      </c>
    </row>
    <row r="20" spans="1:24" x14ac:dyDescent="0.2">
      <c r="A20" s="8">
        <v>2012</v>
      </c>
      <c r="B20" s="8" t="s">
        <v>21</v>
      </c>
      <c r="C20" s="9">
        <v>5420936</v>
      </c>
      <c r="E20" s="8">
        <v>2012</v>
      </c>
      <c r="F20" s="8" t="s">
        <v>21</v>
      </c>
      <c r="G20" s="9">
        <v>177835</v>
      </c>
      <c r="I20" s="8">
        <v>2012</v>
      </c>
      <c r="J20" s="8" t="s">
        <v>21</v>
      </c>
      <c r="K20" s="9">
        <v>3975949</v>
      </c>
      <c r="M20" s="8">
        <v>2012</v>
      </c>
      <c r="N20" s="8" t="s">
        <v>21</v>
      </c>
      <c r="O20" s="9">
        <v>1176883</v>
      </c>
      <c r="Q20" s="8">
        <v>2012</v>
      </c>
      <c r="R20" s="8" t="s">
        <v>21</v>
      </c>
      <c r="S20" s="9">
        <v>1366947.399</v>
      </c>
      <c r="U20" s="8">
        <v>2012</v>
      </c>
      <c r="V20" s="8" t="s">
        <v>21</v>
      </c>
      <c r="W20" s="9">
        <v>1414026.5360000003</v>
      </c>
    </row>
    <row r="21" spans="1:24" x14ac:dyDescent="0.2">
      <c r="A21" s="8">
        <v>2019</v>
      </c>
      <c r="B21" s="8" t="s">
        <v>4</v>
      </c>
      <c r="C21" s="9">
        <v>146879473.11299998</v>
      </c>
      <c r="E21" s="8">
        <v>2019</v>
      </c>
      <c r="F21" s="8" t="s">
        <v>4</v>
      </c>
      <c r="G21" s="9">
        <v>7122216.3409999991</v>
      </c>
      <c r="I21" s="8">
        <v>2019</v>
      </c>
      <c r="J21" s="8" t="s">
        <v>4</v>
      </c>
      <c r="K21" s="9">
        <v>1680540049.9689999</v>
      </c>
      <c r="M21" s="8">
        <v>2019</v>
      </c>
      <c r="N21" s="8" t="s">
        <v>4</v>
      </c>
      <c r="O21" s="9">
        <v>17859836.295000002</v>
      </c>
      <c r="Q21" s="8">
        <v>2019</v>
      </c>
      <c r="R21" s="8" t="s">
        <v>4</v>
      </c>
      <c r="S21" s="9">
        <v>34921627.182999998</v>
      </c>
      <c r="U21" s="8">
        <v>2019</v>
      </c>
      <c r="V21" s="8" t="s">
        <v>4</v>
      </c>
      <c r="W21" s="9">
        <v>17012271.848999996</v>
      </c>
    </row>
    <row r="22" spans="1:24" x14ac:dyDescent="0.2">
      <c r="A22" s="8">
        <v>2019</v>
      </c>
      <c r="B22" s="8" t="s">
        <v>17</v>
      </c>
      <c r="C22" s="9">
        <v>56280201464.155975</v>
      </c>
      <c r="E22" s="8">
        <v>2019</v>
      </c>
      <c r="F22" s="8" t="s">
        <v>17</v>
      </c>
      <c r="G22" s="9">
        <v>5433852241.2350016</v>
      </c>
      <c r="I22" s="8">
        <v>2019</v>
      </c>
      <c r="J22" s="8" t="s">
        <v>17</v>
      </c>
      <c r="K22" s="9">
        <v>165747713145.07303</v>
      </c>
      <c r="M22" s="8">
        <v>2019</v>
      </c>
      <c r="N22" s="8" t="s">
        <v>17</v>
      </c>
      <c r="O22" s="9">
        <v>8725998014.9170017</v>
      </c>
      <c r="Q22" s="8">
        <v>2019</v>
      </c>
      <c r="R22" s="8" t="s">
        <v>17</v>
      </c>
      <c r="S22" s="9">
        <v>8420438392.8069992</v>
      </c>
      <c r="U22" s="8">
        <v>2019</v>
      </c>
      <c r="V22" s="8" t="s">
        <v>17</v>
      </c>
      <c r="W22" s="9">
        <v>9641017738.1749992</v>
      </c>
    </row>
    <row r="23" spans="1:24" x14ac:dyDescent="0.2">
      <c r="A23" s="8">
        <v>2019</v>
      </c>
      <c r="B23" s="8" t="s">
        <v>18</v>
      </c>
      <c r="C23" s="9">
        <v>0</v>
      </c>
      <c r="E23" s="8">
        <v>2019</v>
      </c>
      <c r="F23" s="8" t="s">
        <v>18</v>
      </c>
      <c r="G23" s="9">
        <v>0</v>
      </c>
      <c r="I23" s="8">
        <v>2019</v>
      </c>
      <c r="J23" s="8" t="s">
        <v>18</v>
      </c>
      <c r="K23" s="9">
        <v>0</v>
      </c>
      <c r="M23" s="8">
        <v>2019</v>
      </c>
      <c r="N23" s="8" t="s">
        <v>18</v>
      </c>
      <c r="O23" s="9">
        <v>0</v>
      </c>
      <c r="Q23" s="8">
        <v>2019</v>
      </c>
      <c r="R23" s="8" t="s">
        <v>18</v>
      </c>
      <c r="S23" s="9">
        <v>0</v>
      </c>
      <c r="U23" s="8">
        <v>2019</v>
      </c>
      <c r="V23" s="8" t="s">
        <v>18</v>
      </c>
      <c r="W23" s="9">
        <v>0</v>
      </c>
    </row>
    <row r="24" spans="1:24" x14ac:dyDescent="0.2">
      <c r="A24" s="8">
        <v>2019</v>
      </c>
      <c r="B24" s="8" t="s">
        <v>19</v>
      </c>
      <c r="C24" s="9">
        <v>0</v>
      </c>
      <c r="E24" s="8">
        <v>2019</v>
      </c>
      <c r="F24" s="8" t="s">
        <v>19</v>
      </c>
      <c r="G24" s="9">
        <v>0</v>
      </c>
      <c r="I24" s="8">
        <v>2019</v>
      </c>
      <c r="J24" s="8" t="s">
        <v>19</v>
      </c>
      <c r="K24" s="9">
        <v>0</v>
      </c>
      <c r="M24" s="8">
        <v>2019</v>
      </c>
      <c r="N24" s="8" t="s">
        <v>19</v>
      </c>
      <c r="O24" s="9">
        <v>0</v>
      </c>
      <c r="Q24" s="8">
        <v>2019</v>
      </c>
      <c r="R24" s="8" t="s">
        <v>19</v>
      </c>
      <c r="S24" s="9">
        <v>0</v>
      </c>
      <c r="U24" s="8">
        <v>2019</v>
      </c>
      <c r="V24" s="8" t="s">
        <v>19</v>
      </c>
      <c r="W24" s="9">
        <v>0</v>
      </c>
    </row>
    <row r="25" spans="1:24" x14ac:dyDescent="0.2">
      <c r="A25" s="8">
        <v>2019</v>
      </c>
      <c r="B25" s="8" t="s">
        <v>20</v>
      </c>
      <c r="C25" s="9">
        <v>5542.5050000000001</v>
      </c>
      <c r="E25" s="8">
        <v>2019</v>
      </c>
      <c r="F25" s="8" t="s">
        <v>20</v>
      </c>
      <c r="G25" s="9">
        <v>6290.4489999999996</v>
      </c>
      <c r="I25" s="8">
        <v>2019</v>
      </c>
      <c r="J25" s="8" t="s">
        <v>20</v>
      </c>
      <c r="K25" s="9">
        <v>1009973.366</v>
      </c>
      <c r="M25" s="8">
        <v>2019</v>
      </c>
      <c r="N25" s="8" t="s">
        <v>20</v>
      </c>
      <c r="O25" s="9">
        <v>3806.4409999999998</v>
      </c>
      <c r="Q25" s="8">
        <v>2019</v>
      </c>
      <c r="R25" s="8" t="s">
        <v>20</v>
      </c>
      <c r="S25" s="9">
        <v>32304.987000000001</v>
      </c>
      <c r="U25" s="8">
        <v>2019</v>
      </c>
      <c r="V25" s="8" t="s">
        <v>20</v>
      </c>
      <c r="W25" s="9">
        <v>15859.005000000001</v>
      </c>
    </row>
    <row r="26" spans="1:24" x14ac:dyDescent="0.2">
      <c r="A26" s="8">
        <v>2019</v>
      </c>
      <c r="B26" s="8" t="s">
        <v>21</v>
      </c>
      <c r="C26" s="9">
        <v>16244423.196999999</v>
      </c>
      <c r="E26" s="8">
        <v>2019</v>
      </c>
      <c r="F26" s="8" t="s">
        <v>21</v>
      </c>
      <c r="G26" s="9">
        <v>127890.11600000001</v>
      </c>
      <c r="I26" s="8">
        <v>2019</v>
      </c>
      <c r="J26" s="8" t="s">
        <v>21</v>
      </c>
      <c r="K26" s="9">
        <v>7844738.0829999996</v>
      </c>
      <c r="M26" s="8">
        <v>2019</v>
      </c>
      <c r="N26" s="8" t="s">
        <v>21</v>
      </c>
      <c r="O26" s="9">
        <v>346564.788</v>
      </c>
      <c r="Q26" s="8">
        <v>2019</v>
      </c>
      <c r="R26" s="8" t="s">
        <v>21</v>
      </c>
      <c r="S26" s="9">
        <v>953593.05099999998</v>
      </c>
      <c r="U26" s="8">
        <v>2019</v>
      </c>
      <c r="V26" s="8" t="s">
        <v>21</v>
      </c>
      <c r="W26" s="9">
        <v>791047.17099999986</v>
      </c>
    </row>
    <row r="28" spans="1:24" s="5" customFormat="1" x14ac:dyDescent="0.2">
      <c r="A28" s="6" t="s">
        <v>23</v>
      </c>
      <c r="B28" s="6" t="s">
        <v>2</v>
      </c>
      <c r="C28" s="7" t="s">
        <v>26</v>
      </c>
      <c r="D28" s="4"/>
      <c r="E28" s="6" t="s">
        <v>23</v>
      </c>
      <c r="F28" s="6" t="s">
        <v>2</v>
      </c>
      <c r="G28" s="7" t="s">
        <v>26</v>
      </c>
      <c r="H28" s="4"/>
      <c r="I28" s="6" t="s">
        <v>23</v>
      </c>
      <c r="J28" s="6" t="s">
        <v>2</v>
      </c>
      <c r="K28" s="7" t="s">
        <v>26</v>
      </c>
      <c r="L28" s="4"/>
      <c r="M28" s="6" t="s">
        <v>23</v>
      </c>
      <c r="N28" s="6" t="s">
        <v>2</v>
      </c>
      <c r="O28" s="7" t="s">
        <v>26</v>
      </c>
      <c r="P28" s="4"/>
      <c r="Q28" s="6" t="s">
        <v>23</v>
      </c>
      <c r="R28" s="6" t="s">
        <v>2</v>
      </c>
      <c r="S28" s="7" t="s">
        <v>26</v>
      </c>
      <c r="T28" s="4"/>
      <c r="U28" s="6" t="s">
        <v>23</v>
      </c>
      <c r="V28" s="6" t="s">
        <v>2</v>
      </c>
      <c r="W28" s="7" t="s">
        <v>26</v>
      </c>
      <c r="X28" s="4"/>
    </row>
    <row r="29" spans="1:24" x14ac:dyDescent="0.2">
      <c r="A29" s="8" t="s">
        <v>24</v>
      </c>
      <c r="B29" s="8" t="s">
        <v>4</v>
      </c>
      <c r="C29" s="9">
        <f>C9-C3</f>
        <v>94843969</v>
      </c>
      <c r="E29" s="8" t="s">
        <v>24</v>
      </c>
      <c r="F29" s="8" t="s">
        <v>4</v>
      </c>
      <c r="G29" s="9">
        <f>G9-G3</f>
        <v>754415</v>
      </c>
      <c r="I29" s="8" t="s">
        <v>24</v>
      </c>
      <c r="J29" s="8" t="s">
        <v>4</v>
      </c>
      <c r="K29" s="9">
        <f>K9-K3</f>
        <v>227713596</v>
      </c>
      <c r="M29" s="8" t="s">
        <v>24</v>
      </c>
      <c r="N29" s="8" t="s">
        <v>4</v>
      </c>
      <c r="O29" s="9">
        <f>O9-O3</f>
        <v>13328158</v>
      </c>
      <c r="Q29" s="8" t="s">
        <v>24</v>
      </c>
      <c r="R29" s="8" t="s">
        <v>4</v>
      </c>
      <c r="S29" s="9">
        <f>S9-S3</f>
        <v>14972654.137999993</v>
      </c>
      <c r="U29" s="8" t="s">
        <v>24</v>
      </c>
      <c r="V29" s="8" t="s">
        <v>4</v>
      </c>
      <c r="W29" s="9">
        <f>W9-W3</f>
        <v>9039494</v>
      </c>
    </row>
    <row r="30" spans="1:24" x14ac:dyDescent="0.2">
      <c r="A30" s="8" t="s">
        <v>24</v>
      </c>
      <c r="B30" s="8" t="s">
        <v>17</v>
      </c>
      <c r="C30" s="9">
        <f t="shared" ref="C30:C34" si="0">C10-C4</f>
        <v>38400805692</v>
      </c>
      <c r="E30" s="8" t="s">
        <v>24</v>
      </c>
      <c r="F30" s="8" t="s">
        <v>17</v>
      </c>
      <c r="G30" s="9">
        <f t="shared" ref="G30:G34" si="1">G10-G4</f>
        <v>2306713988</v>
      </c>
      <c r="I30" s="8" t="s">
        <v>24</v>
      </c>
      <c r="J30" s="8" t="s">
        <v>17</v>
      </c>
      <c r="K30" s="9">
        <f t="shared" ref="K30:K34" si="2">K10-K4</f>
        <v>137476733432</v>
      </c>
      <c r="M30" s="8" t="s">
        <v>24</v>
      </c>
      <c r="N30" s="8" t="s">
        <v>17</v>
      </c>
      <c r="O30" s="9">
        <f t="shared" ref="O30:O34" si="3">O10-O4</f>
        <v>7318816835</v>
      </c>
      <c r="Q30" s="8" t="s">
        <v>24</v>
      </c>
      <c r="R30" s="8" t="s">
        <v>17</v>
      </c>
      <c r="S30" s="9">
        <f t="shared" ref="S30:S34" si="4">S10-S4</f>
        <v>5090165079.3119984</v>
      </c>
      <c r="U30" s="8" t="s">
        <v>24</v>
      </c>
      <c r="V30" s="8" t="s">
        <v>17</v>
      </c>
      <c r="W30" s="9">
        <f t="shared" ref="W30:W34" si="5">W10-W4</f>
        <v>6073689631</v>
      </c>
    </row>
    <row r="31" spans="1:24" x14ac:dyDescent="0.2">
      <c r="A31" s="8" t="s">
        <v>24</v>
      </c>
      <c r="B31" s="8" t="s">
        <v>18</v>
      </c>
      <c r="C31" s="9">
        <f t="shared" si="0"/>
        <v>0</v>
      </c>
      <c r="E31" s="8" t="s">
        <v>24</v>
      </c>
      <c r="F31" s="8" t="s">
        <v>18</v>
      </c>
      <c r="G31" s="9">
        <f t="shared" si="1"/>
        <v>0</v>
      </c>
      <c r="I31" s="8" t="s">
        <v>24</v>
      </c>
      <c r="J31" s="8" t="s">
        <v>18</v>
      </c>
      <c r="K31" s="9">
        <f t="shared" si="2"/>
        <v>0</v>
      </c>
      <c r="M31" s="8" t="s">
        <v>24</v>
      </c>
      <c r="N31" s="8" t="s">
        <v>18</v>
      </c>
      <c r="O31" s="9">
        <f t="shared" si="3"/>
        <v>0</v>
      </c>
      <c r="Q31" s="8" t="s">
        <v>24</v>
      </c>
      <c r="R31" s="8" t="s">
        <v>18</v>
      </c>
      <c r="S31" s="9">
        <f t="shared" si="4"/>
        <v>0</v>
      </c>
      <c r="U31" s="8" t="s">
        <v>24</v>
      </c>
      <c r="V31" s="8" t="s">
        <v>18</v>
      </c>
      <c r="W31" s="9">
        <f t="shared" si="5"/>
        <v>0</v>
      </c>
    </row>
    <row r="32" spans="1:24" x14ac:dyDescent="0.2">
      <c r="A32" s="8" t="s">
        <v>24</v>
      </c>
      <c r="B32" s="8" t="s">
        <v>19</v>
      </c>
      <c r="C32" s="9">
        <f t="shared" si="0"/>
        <v>0</v>
      </c>
      <c r="E32" s="8" t="s">
        <v>24</v>
      </c>
      <c r="F32" s="8" t="s">
        <v>19</v>
      </c>
      <c r="G32" s="9">
        <f t="shared" si="1"/>
        <v>0</v>
      </c>
      <c r="I32" s="8" t="s">
        <v>24</v>
      </c>
      <c r="J32" s="8" t="s">
        <v>19</v>
      </c>
      <c r="K32" s="9">
        <f t="shared" si="2"/>
        <v>0</v>
      </c>
      <c r="M32" s="8" t="s">
        <v>24</v>
      </c>
      <c r="N32" s="8" t="s">
        <v>19</v>
      </c>
      <c r="O32" s="9">
        <f t="shared" si="3"/>
        <v>0</v>
      </c>
      <c r="Q32" s="8" t="s">
        <v>24</v>
      </c>
      <c r="R32" s="8" t="s">
        <v>19</v>
      </c>
      <c r="S32" s="9">
        <f t="shared" si="4"/>
        <v>0</v>
      </c>
      <c r="U32" s="8" t="s">
        <v>24</v>
      </c>
      <c r="V32" s="8" t="s">
        <v>19</v>
      </c>
      <c r="W32" s="9">
        <f t="shared" si="5"/>
        <v>0</v>
      </c>
    </row>
    <row r="33" spans="1:23" x14ac:dyDescent="0.2">
      <c r="A33" s="8" t="s">
        <v>24</v>
      </c>
      <c r="B33" s="8" t="s">
        <v>20</v>
      </c>
      <c r="C33" s="9">
        <f t="shared" si="0"/>
        <v>-1374</v>
      </c>
      <c r="E33" s="8" t="s">
        <v>24</v>
      </c>
      <c r="F33" s="8" t="s">
        <v>20</v>
      </c>
      <c r="G33" s="9">
        <f t="shared" si="1"/>
        <v>2351</v>
      </c>
      <c r="I33" s="8" t="s">
        <v>24</v>
      </c>
      <c r="J33" s="8" t="s">
        <v>20</v>
      </c>
      <c r="K33" s="9">
        <f t="shared" si="2"/>
        <v>362563</v>
      </c>
      <c r="M33" s="8" t="s">
        <v>24</v>
      </c>
      <c r="N33" s="8" t="s">
        <v>20</v>
      </c>
      <c r="O33" s="9">
        <f t="shared" si="3"/>
        <v>-2333</v>
      </c>
      <c r="Q33" s="8" t="s">
        <v>24</v>
      </c>
      <c r="R33" s="8" t="s">
        <v>20</v>
      </c>
      <c r="S33" s="9">
        <f t="shared" si="4"/>
        <v>119105.481</v>
      </c>
      <c r="U33" s="8" t="s">
        <v>24</v>
      </c>
      <c r="V33" s="8" t="s">
        <v>20</v>
      </c>
      <c r="W33" s="9">
        <f t="shared" si="5"/>
        <v>90</v>
      </c>
    </row>
    <row r="34" spans="1:23" x14ac:dyDescent="0.2">
      <c r="A34" s="8" t="s">
        <v>24</v>
      </c>
      <c r="B34" s="8" t="s">
        <v>21</v>
      </c>
      <c r="C34" s="9">
        <f t="shared" si="0"/>
        <v>1390782</v>
      </c>
      <c r="E34" s="8" t="s">
        <v>24</v>
      </c>
      <c r="F34" s="8" t="s">
        <v>21</v>
      </c>
      <c r="G34" s="9">
        <f t="shared" si="1"/>
        <v>1848432</v>
      </c>
      <c r="I34" s="8" t="s">
        <v>24</v>
      </c>
      <c r="J34" s="8" t="s">
        <v>21</v>
      </c>
      <c r="K34" s="9">
        <f t="shared" si="2"/>
        <v>285158559</v>
      </c>
      <c r="M34" s="8" t="s">
        <v>24</v>
      </c>
      <c r="N34" s="8" t="s">
        <v>21</v>
      </c>
      <c r="O34" s="9">
        <f t="shared" si="3"/>
        <v>32103667</v>
      </c>
      <c r="Q34" s="8" t="s">
        <v>24</v>
      </c>
      <c r="R34" s="8" t="s">
        <v>21</v>
      </c>
      <c r="S34" s="9">
        <f t="shared" si="4"/>
        <v>1072335.148</v>
      </c>
      <c r="U34" s="8" t="s">
        <v>24</v>
      </c>
      <c r="V34" s="8" t="s">
        <v>21</v>
      </c>
      <c r="W34" s="9">
        <f t="shared" si="5"/>
        <v>1160221</v>
      </c>
    </row>
    <row r="35" spans="1:23" x14ac:dyDescent="0.2">
      <c r="A35" s="8" t="s">
        <v>25</v>
      </c>
      <c r="B35" s="8" t="s">
        <v>4</v>
      </c>
      <c r="C35" s="9">
        <f>C21-C15</f>
        <v>33751430.112999976</v>
      </c>
      <c r="E35" s="8" t="s">
        <v>25</v>
      </c>
      <c r="F35" s="8" t="s">
        <v>4</v>
      </c>
      <c r="G35" s="9">
        <f>G21-G15</f>
        <v>116933.34099999908</v>
      </c>
      <c r="I35" s="8" t="s">
        <v>25</v>
      </c>
      <c r="J35" s="8" t="s">
        <v>4</v>
      </c>
      <c r="K35" s="9">
        <f>K21-K15</f>
        <v>-265434564.03100014</v>
      </c>
      <c r="M35" s="8" t="s">
        <v>25</v>
      </c>
      <c r="N35" s="8" t="s">
        <v>4</v>
      </c>
      <c r="O35" s="9">
        <f>O21-O15</f>
        <v>4261096.2950000018</v>
      </c>
      <c r="Q35" s="8" t="s">
        <v>25</v>
      </c>
      <c r="R35" s="8" t="s">
        <v>4</v>
      </c>
      <c r="S35" s="9">
        <f>S21-S15</f>
        <v>13832956.041999996</v>
      </c>
      <c r="U35" s="8" t="s">
        <v>25</v>
      </c>
      <c r="V35" s="8" t="s">
        <v>4</v>
      </c>
      <c r="W35" s="9">
        <f>W21-W15</f>
        <v>5051225.7269999981</v>
      </c>
    </row>
    <row r="36" spans="1:23" x14ac:dyDescent="0.2">
      <c r="A36" s="8" t="s">
        <v>25</v>
      </c>
      <c r="B36" s="8" t="s">
        <v>17</v>
      </c>
      <c r="C36" s="9">
        <f t="shared" ref="C36:C40" si="6">C22-C16</f>
        <v>11313200053.155975</v>
      </c>
      <c r="E36" s="8" t="s">
        <v>25</v>
      </c>
      <c r="F36" s="8" t="s">
        <v>17</v>
      </c>
      <c r="G36" s="9">
        <f t="shared" ref="G36:G40" si="7">G22-G16</f>
        <v>-423857000.76499844</v>
      </c>
      <c r="I36" s="8" t="s">
        <v>25</v>
      </c>
      <c r="J36" s="8" t="s">
        <v>17</v>
      </c>
      <c r="K36" s="9">
        <f t="shared" ref="K36:K40" si="8">K22-K16</f>
        <v>-18174415152.926971</v>
      </c>
      <c r="M36" s="8" t="s">
        <v>25</v>
      </c>
      <c r="N36" s="8" t="s">
        <v>17</v>
      </c>
      <c r="O36" s="9">
        <f t="shared" ref="O36:O40" si="9">O22-O16</f>
        <v>668959089.91700172</v>
      </c>
      <c r="Q36" s="8" t="s">
        <v>25</v>
      </c>
      <c r="R36" s="8" t="s">
        <v>17</v>
      </c>
      <c r="S36" s="9">
        <f t="shared" ref="S36:S40" si="10">S22-S16</f>
        <v>2238264642.177</v>
      </c>
      <c r="U36" s="8" t="s">
        <v>25</v>
      </c>
      <c r="V36" s="8" t="s">
        <v>17</v>
      </c>
      <c r="W36" s="9">
        <f t="shared" ref="W36:W40" si="11">W22-W16</f>
        <v>1607134854.9760027</v>
      </c>
    </row>
    <row r="37" spans="1:23" x14ac:dyDescent="0.2">
      <c r="A37" s="8" t="s">
        <v>25</v>
      </c>
      <c r="B37" s="8" t="s">
        <v>18</v>
      </c>
      <c r="C37" s="9">
        <f t="shared" si="6"/>
        <v>0</v>
      </c>
      <c r="E37" s="8" t="s">
        <v>25</v>
      </c>
      <c r="F37" s="8" t="s">
        <v>18</v>
      </c>
      <c r="G37" s="9">
        <f t="shared" si="7"/>
        <v>0</v>
      </c>
      <c r="I37" s="8" t="s">
        <v>25</v>
      </c>
      <c r="J37" s="8" t="s">
        <v>18</v>
      </c>
      <c r="K37" s="9">
        <f t="shared" si="8"/>
        <v>0</v>
      </c>
      <c r="M37" s="8" t="s">
        <v>25</v>
      </c>
      <c r="N37" s="8" t="s">
        <v>18</v>
      </c>
      <c r="O37" s="9">
        <f t="shared" si="9"/>
        <v>0</v>
      </c>
      <c r="Q37" s="8" t="s">
        <v>25</v>
      </c>
      <c r="R37" s="8" t="s">
        <v>18</v>
      </c>
      <c r="S37" s="9">
        <f t="shared" si="10"/>
        <v>0</v>
      </c>
      <c r="U37" s="8" t="s">
        <v>25</v>
      </c>
      <c r="V37" s="8" t="s">
        <v>18</v>
      </c>
      <c r="W37" s="9">
        <f t="shared" si="11"/>
        <v>0</v>
      </c>
    </row>
    <row r="38" spans="1:23" x14ac:dyDescent="0.2">
      <c r="A38" s="8" t="s">
        <v>25</v>
      </c>
      <c r="B38" s="8" t="s">
        <v>19</v>
      </c>
      <c r="C38" s="9">
        <f t="shared" si="6"/>
        <v>0</v>
      </c>
      <c r="E38" s="8" t="s">
        <v>25</v>
      </c>
      <c r="F38" s="8" t="s">
        <v>19</v>
      </c>
      <c r="G38" s="9">
        <f t="shared" si="7"/>
        <v>0</v>
      </c>
      <c r="I38" s="8" t="s">
        <v>25</v>
      </c>
      <c r="J38" s="8" t="s">
        <v>19</v>
      </c>
      <c r="K38" s="9">
        <f t="shared" si="8"/>
        <v>0</v>
      </c>
      <c r="M38" s="8" t="s">
        <v>25</v>
      </c>
      <c r="N38" s="8" t="s">
        <v>19</v>
      </c>
      <c r="O38" s="9">
        <f t="shared" si="9"/>
        <v>0</v>
      </c>
      <c r="Q38" s="8" t="s">
        <v>25</v>
      </c>
      <c r="R38" s="8" t="s">
        <v>19</v>
      </c>
      <c r="S38" s="9">
        <f t="shared" si="10"/>
        <v>0</v>
      </c>
      <c r="U38" s="8" t="s">
        <v>25</v>
      </c>
      <c r="V38" s="8" t="s">
        <v>19</v>
      </c>
      <c r="W38" s="9">
        <f t="shared" si="11"/>
        <v>0</v>
      </c>
    </row>
    <row r="39" spans="1:23" x14ac:dyDescent="0.2">
      <c r="A39" s="8" t="s">
        <v>25</v>
      </c>
      <c r="B39" s="8" t="s">
        <v>20</v>
      </c>
      <c r="C39" s="9">
        <f t="shared" si="6"/>
        <v>-16866.494999999999</v>
      </c>
      <c r="E39" s="8" t="s">
        <v>25</v>
      </c>
      <c r="F39" s="8" t="s">
        <v>20</v>
      </c>
      <c r="G39" s="9">
        <f t="shared" si="7"/>
        <v>5974.4489999999996</v>
      </c>
      <c r="I39" s="8" t="s">
        <v>25</v>
      </c>
      <c r="J39" s="8" t="s">
        <v>20</v>
      </c>
      <c r="K39" s="9">
        <f t="shared" si="8"/>
        <v>353490.36600000004</v>
      </c>
      <c r="M39" s="8" t="s">
        <v>25</v>
      </c>
      <c r="N39" s="8" t="s">
        <v>20</v>
      </c>
      <c r="O39" s="9">
        <f t="shared" si="9"/>
        <v>-33543.559000000001</v>
      </c>
      <c r="Q39" s="8" t="s">
        <v>25</v>
      </c>
      <c r="R39" s="8" t="s">
        <v>20</v>
      </c>
      <c r="S39" s="9">
        <f t="shared" si="10"/>
        <v>-81522.771000000008</v>
      </c>
      <c r="U39" s="8" t="s">
        <v>25</v>
      </c>
      <c r="V39" s="8" t="s">
        <v>20</v>
      </c>
      <c r="W39" s="9">
        <f t="shared" si="11"/>
        <v>1830.9640000000018</v>
      </c>
    </row>
    <row r="40" spans="1:23" x14ac:dyDescent="0.2">
      <c r="A40" s="8" t="s">
        <v>25</v>
      </c>
      <c r="B40" s="8" t="s">
        <v>21</v>
      </c>
      <c r="C40" s="9">
        <f t="shared" si="6"/>
        <v>10823487.196999999</v>
      </c>
      <c r="E40" s="8" t="s">
        <v>25</v>
      </c>
      <c r="F40" s="8" t="s">
        <v>21</v>
      </c>
      <c r="G40" s="9">
        <f t="shared" si="7"/>
        <v>-49944.883999999991</v>
      </c>
      <c r="I40" s="8" t="s">
        <v>25</v>
      </c>
      <c r="J40" s="8" t="s">
        <v>21</v>
      </c>
      <c r="K40" s="9">
        <f t="shared" si="8"/>
        <v>3868789.0829999996</v>
      </c>
      <c r="M40" s="8" t="s">
        <v>25</v>
      </c>
      <c r="N40" s="8" t="s">
        <v>21</v>
      </c>
      <c r="O40" s="9">
        <f t="shared" si="9"/>
        <v>-830318.21200000006</v>
      </c>
      <c r="Q40" s="8" t="s">
        <v>25</v>
      </c>
      <c r="R40" s="8" t="s">
        <v>21</v>
      </c>
      <c r="S40" s="9">
        <f t="shared" si="10"/>
        <v>-413354.348</v>
      </c>
      <c r="U40" s="8" t="s">
        <v>25</v>
      </c>
      <c r="V40" s="8" t="s">
        <v>21</v>
      </c>
      <c r="W40" s="9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619D-8E8A-2B4F-9221-C848708C837E}">
  <dimension ref="A1:C13"/>
  <sheetViews>
    <sheetView workbookViewId="0">
      <selection activeCell="F6" sqref="F6"/>
    </sheetView>
  </sheetViews>
  <sheetFormatPr baseColWidth="10" defaultRowHeight="16" x14ac:dyDescent="0.2"/>
  <cols>
    <col min="3" max="3" width="17.83203125" bestFit="1" customWidth="1"/>
  </cols>
  <sheetData>
    <row r="1" spans="1:3" s="5" customFormat="1" x14ac:dyDescent="0.2">
      <c r="A1" s="6" t="s">
        <v>23</v>
      </c>
      <c r="B1" s="6" t="s">
        <v>2</v>
      </c>
      <c r="C1" s="7" t="s">
        <v>43</v>
      </c>
    </row>
    <row r="2" spans="1:3" x14ac:dyDescent="0.2">
      <c r="A2" s="8" t="s">
        <v>24</v>
      </c>
      <c r="B2" s="8" t="s">
        <v>4</v>
      </c>
      <c r="C2" s="9">
        <v>360652286.13800001</v>
      </c>
    </row>
    <row r="3" spans="1:3" x14ac:dyDescent="0.2">
      <c r="A3" s="8" t="s">
        <v>24</v>
      </c>
      <c r="B3" s="8" t="s">
        <v>17</v>
      </c>
      <c r="C3" s="9">
        <v>196666924657.31201</v>
      </c>
    </row>
    <row r="4" spans="1:3" x14ac:dyDescent="0.2">
      <c r="A4" s="8" t="s">
        <v>24</v>
      </c>
      <c r="B4" s="8" t="s">
        <v>18</v>
      </c>
      <c r="C4" s="9">
        <v>0</v>
      </c>
    </row>
    <row r="5" spans="1:3" x14ac:dyDescent="0.2">
      <c r="A5" s="8" t="s">
        <v>24</v>
      </c>
      <c r="B5" s="8" t="s">
        <v>19</v>
      </c>
      <c r="C5" s="9">
        <v>0</v>
      </c>
    </row>
    <row r="6" spans="1:3" x14ac:dyDescent="0.2">
      <c r="A6" s="8" t="s">
        <v>24</v>
      </c>
      <c r="B6" s="8" t="s">
        <v>20</v>
      </c>
      <c r="C6" s="9">
        <v>486074.48100000003</v>
      </c>
    </row>
    <row r="7" spans="1:3" x14ac:dyDescent="0.2">
      <c r="A7" s="8" t="s">
        <v>24</v>
      </c>
      <c r="B7" s="8" t="s">
        <v>21</v>
      </c>
      <c r="C7" s="9">
        <v>-9328676.7050000001</v>
      </c>
    </row>
    <row r="8" spans="1:3" x14ac:dyDescent="0.2">
      <c r="A8" s="8" t="s">
        <v>25</v>
      </c>
      <c r="B8" s="8" t="s">
        <v>4</v>
      </c>
      <c r="C8" s="9">
        <v>-208420922.51300019</v>
      </c>
    </row>
    <row r="9" spans="1:3" x14ac:dyDescent="0.2">
      <c r="A9" s="8" t="s">
        <v>25</v>
      </c>
      <c r="B9" s="8" t="s">
        <v>17</v>
      </c>
      <c r="C9" s="9">
        <v>-2770704731.1709652</v>
      </c>
    </row>
    <row r="10" spans="1:3" x14ac:dyDescent="0.2">
      <c r="A10" s="8" t="s">
        <v>25</v>
      </c>
      <c r="B10" s="8" t="s">
        <v>18</v>
      </c>
      <c r="C10" s="9">
        <v>0</v>
      </c>
    </row>
    <row r="11" spans="1:3" x14ac:dyDescent="0.2">
      <c r="A11" s="8" t="s">
        <v>25</v>
      </c>
      <c r="B11" s="8" t="s">
        <v>19</v>
      </c>
      <c r="C11" s="9">
        <v>0</v>
      </c>
    </row>
    <row r="12" spans="1:3" x14ac:dyDescent="0.2">
      <c r="A12" s="8" t="s">
        <v>25</v>
      </c>
      <c r="B12" s="8" t="s">
        <v>20</v>
      </c>
      <c r="C12" s="9">
        <v>229362.95400000006</v>
      </c>
    </row>
    <row r="13" spans="1:3" x14ac:dyDescent="0.2">
      <c r="A13" s="8" t="s">
        <v>25</v>
      </c>
      <c r="B13" s="8" t="s">
        <v>21</v>
      </c>
      <c r="C13" s="9">
        <v>12775679.470999999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53D4-1298-B74A-97E0-9EA94B16BEEB}">
  <dimension ref="A1:E13"/>
  <sheetViews>
    <sheetView workbookViewId="0">
      <selection activeCell="L9" sqref="L9"/>
    </sheetView>
  </sheetViews>
  <sheetFormatPr baseColWidth="10" defaultRowHeight="16" x14ac:dyDescent="0.2"/>
  <cols>
    <col min="4" max="4" width="17.83203125" bestFit="1" customWidth="1"/>
    <col min="5" max="5" width="14.33203125" bestFit="1" customWidth="1"/>
  </cols>
  <sheetData>
    <row r="1" spans="1:5" s="5" customFormat="1" x14ac:dyDescent="0.2">
      <c r="A1" s="6" t="s">
        <v>23</v>
      </c>
      <c r="B1" s="10" t="s">
        <v>2</v>
      </c>
      <c r="C1" s="6" t="s">
        <v>27</v>
      </c>
      <c r="D1" s="10" t="s">
        <v>43</v>
      </c>
      <c r="E1" s="10" t="s">
        <v>44</v>
      </c>
    </row>
    <row r="2" spans="1:5" x14ac:dyDescent="0.2">
      <c r="A2" s="8" t="s">
        <v>24</v>
      </c>
      <c r="B2" s="8" t="s">
        <v>4</v>
      </c>
      <c r="C2" s="11">
        <f>L_i!C2</f>
        <v>226100</v>
      </c>
      <c r="D2" s="9">
        <f>delta_M_OC!C2</f>
        <v>360652286.13800001</v>
      </c>
      <c r="E2" s="9">
        <f>D2/C2</f>
        <v>1595.1007790269794</v>
      </c>
    </row>
    <row r="3" spans="1:5" x14ac:dyDescent="0.2">
      <c r="A3" s="8" t="s">
        <v>24</v>
      </c>
      <c r="B3" s="8" t="s">
        <v>17</v>
      </c>
      <c r="C3" s="11">
        <f>L_i!C3</f>
        <v>1144400</v>
      </c>
      <c r="D3" s="9">
        <f>delta_M_OC!C3</f>
        <v>196666924657.31201</v>
      </c>
      <c r="E3" s="9">
        <f t="shared" ref="E3:E13" si="0">D3/C3</f>
        <v>171851.55946986369</v>
      </c>
    </row>
    <row r="4" spans="1:5" x14ac:dyDescent="0.2">
      <c r="A4" s="8" t="s">
        <v>24</v>
      </c>
      <c r="B4" s="8" t="s">
        <v>18</v>
      </c>
      <c r="C4" s="11">
        <f>L_i!C4</f>
        <v>460500</v>
      </c>
      <c r="D4" s="9">
        <f>delta_M_OC!C4</f>
        <v>0</v>
      </c>
      <c r="E4" s="9">
        <f t="shared" si="0"/>
        <v>0</v>
      </c>
    </row>
    <row r="5" spans="1:5" x14ac:dyDescent="0.2">
      <c r="A5" s="8" t="s">
        <v>24</v>
      </c>
      <c r="B5" s="8" t="s">
        <v>19</v>
      </c>
      <c r="C5" s="11">
        <f>L_i!C5</f>
        <v>1826500</v>
      </c>
      <c r="D5" s="9">
        <f>delta_M_OC!C5</f>
        <v>0</v>
      </c>
      <c r="E5" s="9">
        <f t="shared" si="0"/>
        <v>0</v>
      </c>
    </row>
    <row r="6" spans="1:5" x14ac:dyDescent="0.2">
      <c r="A6" s="8" t="s">
        <v>24</v>
      </c>
      <c r="B6" s="8" t="s">
        <v>20</v>
      </c>
      <c r="C6" s="11">
        <f>L_i!C6</f>
        <v>1132900</v>
      </c>
      <c r="D6" s="9">
        <f>delta_M_OC!C6</f>
        <v>486074.48100000003</v>
      </c>
      <c r="E6" s="9">
        <f t="shared" si="0"/>
        <v>0.42905329773148559</v>
      </c>
    </row>
    <row r="7" spans="1:5" x14ac:dyDescent="0.2">
      <c r="A7" s="8" t="s">
        <v>24</v>
      </c>
      <c r="B7" s="8" t="s">
        <v>21</v>
      </c>
      <c r="C7" s="11">
        <f>L_i!C7</f>
        <v>2382600</v>
      </c>
      <c r="D7" s="9">
        <f>delta_M_OC!C7</f>
        <v>-9328676.7050000001</v>
      </c>
      <c r="E7" s="9">
        <f t="shared" si="0"/>
        <v>-3.9153348044153446</v>
      </c>
    </row>
    <row r="8" spans="1:5" x14ac:dyDescent="0.2">
      <c r="A8" s="8" t="s">
        <v>25</v>
      </c>
      <c r="B8" s="8" t="s">
        <v>4</v>
      </c>
      <c r="C8" s="11">
        <f>L_i!C14</f>
        <v>192400</v>
      </c>
      <c r="D8" s="9">
        <f>delta_M_OC!C8</f>
        <v>-208420922.51300019</v>
      </c>
      <c r="E8" s="9">
        <f t="shared" si="0"/>
        <v>-1083.2688280301466</v>
      </c>
    </row>
    <row r="9" spans="1:5" x14ac:dyDescent="0.2">
      <c r="A9" s="8" t="s">
        <v>25</v>
      </c>
      <c r="B9" s="8" t="s">
        <v>17</v>
      </c>
      <c r="C9" s="11">
        <f>L_i!C15</f>
        <v>844100</v>
      </c>
      <c r="D9" s="9">
        <f>delta_M_OC!C9</f>
        <v>-2770704731.1709652</v>
      </c>
      <c r="E9" s="9">
        <f t="shared" si="0"/>
        <v>-3282.4365965773786</v>
      </c>
    </row>
    <row r="10" spans="1:5" x14ac:dyDescent="0.2">
      <c r="A10" s="8" t="s">
        <v>25</v>
      </c>
      <c r="B10" s="8" t="s">
        <v>18</v>
      </c>
      <c r="C10" s="11">
        <f>L_i!C16</f>
        <v>434000</v>
      </c>
      <c r="D10" s="9">
        <f>delta_M_OC!C10</f>
        <v>0</v>
      </c>
      <c r="E10" s="9">
        <f t="shared" si="0"/>
        <v>0</v>
      </c>
    </row>
    <row r="11" spans="1:5" x14ac:dyDescent="0.2">
      <c r="A11" s="8" t="s">
        <v>25</v>
      </c>
      <c r="B11" s="8" t="s">
        <v>19</v>
      </c>
      <c r="C11" s="11">
        <f>L_i!C17</f>
        <v>2101700</v>
      </c>
      <c r="D11" s="9">
        <f>delta_M_OC!C11</f>
        <v>0</v>
      </c>
      <c r="E11" s="9">
        <f t="shared" si="0"/>
        <v>0</v>
      </c>
    </row>
    <row r="12" spans="1:5" x14ac:dyDescent="0.2">
      <c r="A12" s="8" t="s">
        <v>25</v>
      </c>
      <c r="B12" s="8" t="s">
        <v>20</v>
      </c>
      <c r="C12" s="11">
        <f>L_i!C18</f>
        <v>1057900</v>
      </c>
      <c r="D12" s="9">
        <f>delta_M_OC!C12</f>
        <v>229362.95400000006</v>
      </c>
      <c r="E12" s="9">
        <f t="shared" si="0"/>
        <v>0.21680967388221956</v>
      </c>
    </row>
    <row r="13" spans="1:5" x14ac:dyDescent="0.2">
      <c r="A13" s="8" t="s">
        <v>25</v>
      </c>
      <c r="B13" s="8" t="s">
        <v>21</v>
      </c>
      <c r="C13" s="11">
        <f>L_i!C19</f>
        <v>2738600</v>
      </c>
      <c r="D13" s="9">
        <f>delta_M_OC!C13</f>
        <v>12775679.470999999</v>
      </c>
      <c r="E13" s="9">
        <f t="shared" si="0"/>
        <v>4.665040338494121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04F8-C00D-5D4E-95A6-8B124EC5FD78}">
  <dimension ref="A1:R14"/>
  <sheetViews>
    <sheetView workbookViewId="0">
      <selection activeCell="O21" sqref="O21"/>
    </sheetView>
  </sheetViews>
  <sheetFormatPr baseColWidth="10" defaultRowHeight="16" x14ac:dyDescent="0.2"/>
  <cols>
    <col min="1" max="1" width="22.33203125" bestFit="1" customWidth="1"/>
    <col min="2" max="2" width="11" bestFit="1" customWidth="1"/>
    <col min="3" max="3" width="12.6640625" bestFit="1" customWidth="1"/>
    <col min="4" max="7" width="11" bestFit="1" customWidth="1"/>
    <col min="8" max="8" width="18.5" bestFit="1" customWidth="1"/>
    <col min="11" max="11" width="22.33203125" bestFit="1" customWidth="1"/>
    <col min="18" max="18" width="18.5" bestFit="1" customWidth="1"/>
  </cols>
  <sheetData>
    <row r="1" spans="1:18" x14ac:dyDescent="0.2">
      <c r="A1" s="18" t="s">
        <v>31</v>
      </c>
      <c r="B1" s="18"/>
      <c r="C1" s="18"/>
      <c r="D1" s="18"/>
      <c r="E1" s="18"/>
      <c r="F1" s="18"/>
      <c r="G1" s="18"/>
      <c r="H1" s="18"/>
      <c r="K1" s="18" t="s">
        <v>32</v>
      </c>
      <c r="L1" s="18"/>
      <c r="M1" s="18"/>
      <c r="N1" s="18"/>
      <c r="O1" s="18"/>
      <c r="P1" s="18"/>
      <c r="Q1" s="18"/>
      <c r="R1" s="18"/>
    </row>
    <row r="2" spans="1:18" x14ac:dyDescent="0.2">
      <c r="A2" s="10"/>
      <c r="B2" s="6" t="s">
        <v>4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33</v>
      </c>
      <c r="K2" s="10"/>
      <c r="L2" s="10" t="s">
        <v>4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34</v>
      </c>
    </row>
    <row r="3" spans="1:18" x14ac:dyDescent="0.2">
      <c r="A3" s="10" t="s">
        <v>5</v>
      </c>
      <c r="B3" s="12">
        <f>s_ri!B3*shock_OC!$E$2</f>
        <v>37.468810245600189</v>
      </c>
      <c r="C3" s="12">
        <f>s_ri!C3*shock_OC!$E$3</f>
        <v>33591.78972858913</v>
      </c>
      <c r="D3" s="12">
        <f>s_ri!D3*shock_OC!$E$4</f>
        <v>0</v>
      </c>
      <c r="E3" s="12">
        <f>s_ri!E3*shock_OC!$E$5</f>
        <v>0</v>
      </c>
      <c r="F3" s="12">
        <f>s_ri!F3*shock_OC!$E$6</f>
        <v>6.2450291238601303E-2</v>
      </c>
      <c r="G3" s="12">
        <f>s_ri!G3*shock_OC!$E$7</f>
        <v>-1.409126368367603</v>
      </c>
      <c r="H3" s="12">
        <f>SUM(B3:G3)/1000</f>
        <v>33.6279118627576</v>
      </c>
      <c r="K3" s="10" t="s">
        <v>5</v>
      </c>
      <c r="L3" s="11">
        <f>shock_OC!$E$8*s_ri!K3</f>
        <v>-34.162969027697237</v>
      </c>
      <c r="M3" s="11">
        <f>shock_OC!$E$9*s_ri!L3</f>
        <v>-432.4167971539062</v>
      </c>
      <c r="N3" s="11">
        <f>shock_OC!$E$10*s_ri!M3</f>
        <v>0</v>
      </c>
      <c r="O3" s="11">
        <f>shock_OC!$E$11*s_ri!N3</f>
        <v>0</v>
      </c>
      <c r="P3" s="11">
        <f>shock_OC!$E$12*s_ri!O3</f>
        <v>2.6657636549191066E-2</v>
      </c>
      <c r="Q3" s="11">
        <f>shock_OC!$E$13*s_ri!P3</f>
        <v>1.9907896694012837</v>
      </c>
      <c r="R3" s="11">
        <f>SUM(L3:Q3)/1000</f>
        <v>-0.46456231887565291</v>
      </c>
    </row>
    <row r="4" spans="1:18" x14ac:dyDescent="0.2">
      <c r="A4" s="10" t="s">
        <v>6</v>
      </c>
      <c r="B4" s="12">
        <f>s_ri!B4*shock_OC!$E$2</f>
        <v>61.439201517754292</v>
      </c>
      <c r="C4" s="12">
        <f>s_ri!C4*shock_OC!$E$3</f>
        <v>35157.13226073156</v>
      </c>
      <c r="D4" s="12">
        <f>s_ri!D4*shock_OC!$E$4</f>
        <v>0</v>
      </c>
      <c r="E4" s="12">
        <f>s_ri!E4*shock_OC!$E$5</f>
        <v>0</v>
      </c>
      <c r="F4" s="12">
        <f>s_ri!F4*shock_OC!$E$6</f>
        <v>4.8486764387533438E-2</v>
      </c>
      <c r="G4" s="12">
        <f>s_ri!G4*shock_OC!$E$7</f>
        <v>-1.3288236581845683</v>
      </c>
      <c r="H4" s="12">
        <f t="shared" ref="H4:H14" si="0">SUM(B4:G4)/1000</f>
        <v>35.217291125355516</v>
      </c>
      <c r="K4" s="10" t="s">
        <v>6</v>
      </c>
      <c r="L4" s="11">
        <f>shock_OC!$E$8*s_ri!K4</f>
        <v>-47.149894582378522</v>
      </c>
      <c r="M4" s="11">
        <f>shock_OC!$E$9*s_ri!L4</f>
        <v>-392.89230209304856</v>
      </c>
      <c r="N4" s="11">
        <f>shock_OC!$E$10*s_ri!M4</f>
        <v>0</v>
      </c>
      <c r="O4" s="11">
        <f>shock_OC!$E$11*s_ri!N4</f>
        <v>0</v>
      </c>
      <c r="P4" s="11">
        <f>shock_OC!$E$12*s_ri!O4</f>
        <v>2.602974321908403E-2</v>
      </c>
      <c r="Q4" s="11">
        <f>shock_OC!$E$13*s_ri!P4</f>
        <v>1.7360650661207719</v>
      </c>
      <c r="R4" s="11">
        <f t="shared" ref="R4:R14" si="1">SUM(L4:Q4)/1000</f>
        <v>-0.43828010186608718</v>
      </c>
    </row>
    <row r="5" spans="1:18" x14ac:dyDescent="0.2">
      <c r="A5" s="10" t="s">
        <v>7</v>
      </c>
      <c r="B5" s="12">
        <f>s_ri!B5*shock_OC!$E$2</f>
        <v>98.666027568679141</v>
      </c>
      <c r="C5" s="12">
        <f>s_ri!C5*shock_OC!$E$3</f>
        <v>33395.895835122996</v>
      </c>
      <c r="D5" s="12">
        <f>s_ri!D5*shock_OC!$E$4</f>
        <v>0</v>
      </c>
      <c r="E5" s="12">
        <f>s_ri!E5*shock_OC!$E$5</f>
        <v>0</v>
      </c>
      <c r="F5" s="12">
        <f>s_ri!F5*shock_OC!$E$6</f>
        <v>4.1136037823740375E-2</v>
      </c>
      <c r="G5" s="12">
        <f>s_ri!G5*shock_OC!$E$7</f>
        <v>-1.5984253428334809</v>
      </c>
      <c r="H5" s="12">
        <f t="shared" si="0"/>
        <v>33.493004573386663</v>
      </c>
      <c r="K5" s="10" t="s">
        <v>7</v>
      </c>
      <c r="L5" s="11">
        <f>shock_OC!$E$8*s_ri!K5</f>
        <v>-40.159701376177793</v>
      </c>
      <c r="M5" s="11">
        <f>shock_OC!$E$9*s_ri!L5</f>
        <v>-440.92431894322993</v>
      </c>
      <c r="N5" s="11">
        <f>shock_OC!$E$10*s_ri!M5</f>
        <v>0</v>
      </c>
      <c r="O5" s="11">
        <f>shock_OC!$E$11*s_ri!N5</f>
        <v>0</v>
      </c>
      <c r="P5" s="11">
        <f>shock_OC!$E$12*s_ri!O5</f>
        <v>2.5157020416762113E-2</v>
      </c>
      <c r="Q5" s="11">
        <f>shock_OC!$E$13*s_ri!P5</f>
        <v>1.7856076403961609</v>
      </c>
      <c r="R5" s="11">
        <f t="shared" si="1"/>
        <v>-0.4792732556585948</v>
      </c>
    </row>
    <row r="6" spans="1:18" x14ac:dyDescent="0.2">
      <c r="A6" s="10" t="s">
        <v>8</v>
      </c>
      <c r="B6" s="12">
        <f>s_ri!B6*shock_OC!$E$2</f>
        <v>65.140241237750985</v>
      </c>
      <c r="C6" s="12">
        <f>s_ri!C6*shock_OC!$E$3</f>
        <v>38401.175697244929</v>
      </c>
      <c r="D6" s="12">
        <f>s_ri!D6*shock_OC!$E$4</f>
        <v>0</v>
      </c>
      <c r="E6" s="12">
        <f>s_ri!E6*shock_OC!$E$5</f>
        <v>0</v>
      </c>
      <c r="F6" s="12">
        <f>s_ri!F6*shock_OC!$E$6</f>
        <v>4.9060335196102853E-2</v>
      </c>
      <c r="G6" s="12">
        <f>s_ri!G6*shock_OC!$E$7</f>
        <v>-1.2069890747852119</v>
      </c>
      <c r="H6" s="12">
        <f t="shared" si="0"/>
        <v>38.465158009743085</v>
      </c>
      <c r="K6" s="10" t="s">
        <v>8</v>
      </c>
      <c r="L6" s="11">
        <f>shock_OC!$E$8*s_ri!K6</f>
        <v>-37.081716009134041</v>
      </c>
      <c r="M6" s="11">
        <f>shock_OC!$E$9*s_ri!L6</f>
        <v>-493.32954317610188</v>
      </c>
      <c r="N6" s="11">
        <f>shock_OC!$E$10*s_ri!M6</f>
        <v>0</v>
      </c>
      <c r="O6" s="11">
        <f>shock_OC!$E$11*s_ri!N6</f>
        <v>0</v>
      </c>
      <c r="P6" s="11">
        <f>shock_OC!$E$12*s_ri!O6</f>
        <v>2.3319006852634914E-2</v>
      </c>
      <c r="Q6" s="11">
        <f>shock_OC!$E$13*s_ri!P6</f>
        <v>1.7811628596437954</v>
      </c>
      <c r="R6" s="11">
        <f t="shared" si="1"/>
        <v>-0.52860677731873951</v>
      </c>
    </row>
    <row r="7" spans="1:18" x14ac:dyDescent="0.2">
      <c r="A7" s="10" t="s">
        <v>9</v>
      </c>
      <c r="B7" s="12">
        <f>s_ri!B7*shock_OC!$E$2</f>
        <v>55.660252085221515</v>
      </c>
      <c r="C7" s="12">
        <f>s_ri!C7*shock_OC!$E$3</f>
        <v>27712.209508761927</v>
      </c>
      <c r="D7" s="12">
        <f>s_ri!D7*shock_OC!$E$4</f>
        <v>0</v>
      </c>
      <c r="E7" s="12">
        <f>s_ri!E7*shock_OC!$E$5</f>
        <v>0</v>
      </c>
      <c r="F7" s="12">
        <f>s_ri!F7*shock_OC!$E$6</f>
        <v>6.0433544718728846E-2</v>
      </c>
      <c r="G7" s="12">
        <f>s_ri!G7*shock_OC!$E$7</f>
        <v>-1.3535275199126546</v>
      </c>
      <c r="H7" s="12">
        <f t="shared" si="0"/>
        <v>27.766576666871952</v>
      </c>
      <c r="K7" s="10" t="s">
        <v>9</v>
      </c>
      <c r="L7" s="11">
        <f>shock_OC!$E$8*s_ri!K7</f>
        <v>-30.694458461695188</v>
      </c>
      <c r="M7" s="11">
        <f>shock_OC!$E$9*s_ri!L7</f>
        <v>-386.16901136204456</v>
      </c>
      <c r="N7" s="11">
        <f>shock_OC!$E$10*s_ri!M7</f>
        <v>0</v>
      </c>
      <c r="O7" s="11">
        <f>shock_OC!$E$11*s_ri!N7</f>
        <v>0</v>
      </c>
      <c r="P7" s="11">
        <f>shock_OC!$E$12*s_ri!O7</f>
        <v>2.9684470820550972E-2</v>
      </c>
      <c r="Q7" s="11">
        <f>shock_OC!$E$13*s_ri!P7</f>
        <v>1.7665079645142079</v>
      </c>
      <c r="R7" s="11">
        <f t="shared" si="1"/>
        <v>-0.41506727738840499</v>
      </c>
    </row>
    <row r="8" spans="1:18" x14ac:dyDescent="0.2">
      <c r="A8" s="10" t="s">
        <v>10</v>
      </c>
      <c r="B8" s="12">
        <f>s_ri!B8*shock_OC!$E$2</f>
        <v>51.060985271566487</v>
      </c>
      <c r="C8" s="12">
        <f>s_ri!C8*shock_OC!$E$3</f>
        <v>26668.683202351844</v>
      </c>
      <c r="D8" s="12">
        <f>s_ri!D8*shock_OC!$E$4</f>
        <v>0</v>
      </c>
      <c r="E8" s="12">
        <f>s_ri!E8*shock_OC!$E$5</f>
        <v>0</v>
      </c>
      <c r="F8" s="12">
        <f>s_ri!F8*shock_OC!$E$6</f>
        <v>8.8676986378741288E-2</v>
      </c>
      <c r="G8" s="12">
        <f>s_ri!G8*shock_OC!$E$7</f>
        <v>-1.3105609192232295</v>
      </c>
      <c r="H8" s="12">
        <f t="shared" si="0"/>
        <v>26.718522303690566</v>
      </c>
      <c r="K8" s="10" t="s">
        <v>10</v>
      </c>
      <c r="L8" s="11">
        <f>shock_OC!$E$8*s_ri!K8</f>
        <v>-32.381978502875221</v>
      </c>
      <c r="M8" s="11">
        <f>shock_OC!$E$9*s_ri!L8</f>
        <v>-327.68825583428992</v>
      </c>
      <c r="N8" s="11">
        <f>shock_OC!$E$10*s_ri!M8</f>
        <v>0</v>
      </c>
      <c r="O8" s="11">
        <f>shock_OC!$E$11*s_ri!N8</f>
        <v>0</v>
      </c>
      <c r="P8" s="11">
        <f>shock_OC!$E$12*s_ri!O8</f>
        <v>3.093787224602456E-2</v>
      </c>
      <c r="Q8" s="11">
        <f>shock_OC!$E$13*s_ri!P8</f>
        <v>1.5865873232441936</v>
      </c>
      <c r="R8" s="11">
        <f t="shared" si="1"/>
        <v>-0.35845270914167493</v>
      </c>
    </row>
    <row r="9" spans="1:18" x14ac:dyDescent="0.2">
      <c r="A9" s="10" t="s">
        <v>11</v>
      </c>
      <c r="B9" s="12">
        <f>s_ri!B9*shock_OC!$E$2</f>
        <v>18.362171640053923</v>
      </c>
      <c r="C9" s="12">
        <f>s_ri!C9*shock_OC!$E$3</f>
        <v>18388.343879866523</v>
      </c>
      <c r="D9" s="12">
        <f>s_ri!D9*shock_OC!$E$4</f>
        <v>0</v>
      </c>
      <c r="E9" s="12">
        <f>s_ri!E9*shock_OC!$E$5</f>
        <v>0</v>
      </c>
      <c r="F9" s="12">
        <f>s_ri!F9*shock_OC!$E$6</f>
        <v>8.7932040259745867E-2</v>
      </c>
      <c r="G9" s="12">
        <f>s_ri!G9*shock_OC!$E$7</f>
        <v>-1.3905755995300393</v>
      </c>
      <c r="H9" s="12">
        <f t="shared" si="0"/>
        <v>18.405403407947304</v>
      </c>
      <c r="K9" s="10" t="s">
        <v>11</v>
      </c>
      <c r="L9" s="11">
        <f>shock_OC!$E$8*s_ri!K9</f>
        <v>-13.875877249728145</v>
      </c>
      <c r="M9" s="11">
        <f>shock_OC!$E$9*s_ri!L9</f>
        <v>-246.51392583525498</v>
      </c>
      <c r="N9" s="11">
        <f>shock_OC!$E$10*s_ri!M9</f>
        <v>0</v>
      </c>
      <c r="O9" s="11">
        <f>shock_OC!$E$11*s_ri!N9</f>
        <v>0</v>
      </c>
      <c r="P9" s="11">
        <f>shock_OC!$E$12*s_ri!O9</f>
        <v>3.6711938111307574E-2</v>
      </c>
      <c r="Q9" s="11">
        <f>shock_OC!$E$13*s_ri!P9</f>
        <v>1.8172292597748636</v>
      </c>
      <c r="R9" s="11">
        <f t="shared" si="1"/>
        <v>-0.25853586188709693</v>
      </c>
    </row>
    <row r="10" spans="1:18" x14ac:dyDescent="0.2">
      <c r="A10" s="10" t="s">
        <v>12</v>
      </c>
      <c r="B10" s="12">
        <f>s_ri!B10*shock_OC!$E$2</f>
        <v>38.424630853543178</v>
      </c>
      <c r="C10" s="12">
        <f>s_ri!C10*shock_OC!$E$3</f>
        <v>18164.849792228197</v>
      </c>
      <c r="D10" s="12">
        <f>s_ri!D10*shock_OC!$E$4</f>
        <v>0</v>
      </c>
      <c r="E10" s="12">
        <f>s_ri!E10*shock_OC!$E$5</f>
        <v>0</v>
      </c>
      <c r="F10" s="12">
        <f>s_ri!F10*shock_OC!$E$6</f>
        <v>7.9668190560342717E-2</v>
      </c>
      <c r="G10" s="12">
        <f>s_ri!G10*shock_OC!$E$7</f>
        <v>-1.3472913763328929</v>
      </c>
      <c r="H10" s="12">
        <f t="shared" si="0"/>
        <v>18.202006799895969</v>
      </c>
      <c r="K10" s="10" t="s">
        <v>12</v>
      </c>
      <c r="L10" s="11">
        <f>shock_OC!$E$8*s_ri!K10</f>
        <v>-17.241295646718225</v>
      </c>
      <c r="M10" s="11">
        <f>shock_OC!$E$9*s_ri!L10</f>
        <v>-273.06511682085994</v>
      </c>
      <c r="N10" s="11">
        <f>shock_OC!$E$10*s_ri!M10</f>
        <v>0</v>
      </c>
      <c r="O10" s="11">
        <f>shock_OC!$E$11*s_ri!N10</f>
        <v>0</v>
      </c>
      <c r="P10" s="11">
        <f>shock_OC!$E$12*s_ri!O10</f>
        <v>3.7993720847684057E-2</v>
      </c>
      <c r="Q10" s="11">
        <f>shock_OC!$E$13*s_ri!P10</f>
        <v>1.7077208950989227</v>
      </c>
      <c r="R10" s="11">
        <f t="shared" si="1"/>
        <v>-0.28856069785163158</v>
      </c>
    </row>
    <row r="11" spans="1:18" x14ac:dyDescent="0.2">
      <c r="A11" s="10" t="s">
        <v>13</v>
      </c>
      <c r="B11" s="12">
        <f>s_ri!B11*shock_OC!$E$2</f>
        <v>43.685680528943351</v>
      </c>
      <c r="C11" s="12">
        <f>s_ri!C11*shock_OC!$E$3</f>
        <v>18972.304329995408</v>
      </c>
      <c r="D11" s="12">
        <f>s_ri!D11*shock_OC!$E$4</f>
        <v>0</v>
      </c>
      <c r="E11" s="12">
        <f>s_ri!E11*shock_OC!$E$5</f>
        <v>0</v>
      </c>
      <c r="F11" s="12">
        <f>s_ri!F11*shock_OC!$E$6</f>
        <v>7.978669403530142E-2</v>
      </c>
      <c r="G11" s="12">
        <f>s_ri!G11*shock_OC!$E$7</f>
        <v>-1.3998876645631699</v>
      </c>
      <c r="H11" s="12">
        <f t="shared" si="0"/>
        <v>19.01466990955382</v>
      </c>
      <c r="K11" s="10" t="s">
        <v>13</v>
      </c>
      <c r="L11" s="11">
        <f>shock_OC!$E$8*s_ri!K11</f>
        <v>-25.512657144938895</v>
      </c>
      <c r="M11" s="11">
        <f>shock_OC!$E$9*s_ri!L11</f>
        <v>-302.62391511947413</v>
      </c>
      <c r="N11" s="11">
        <f>shock_OC!$E$10*s_ri!M11</f>
        <v>0</v>
      </c>
      <c r="O11" s="11">
        <f>shock_OC!$E$11*s_ri!N11</f>
        <v>0</v>
      </c>
      <c r="P11" s="11">
        <f>shock_OC!$E$12*s_ri!O11</f>
        <v>3.4829089244947486E-2</v>
      </c>
      <c r="Q11" s="11">
        <f>shock_OC!$E$13*s_ri!P11</f>
        <v>1.8102644692489027</v>
      </c>
      <c r="R11" s="11">
        <f t="shared" si="1"/>
        <v>-0.32629147870591912</v>
      </c>
    </row>
    <row r="12" spans="1:18" x14ac:dyDescent="0.2">
      <c r="A12" s="10" t="s">
        <v>14</v>
      </c>
      <c r="B12" s="12">
        <f>s_ri!B12*shock_OC!$E$2</f>
        <v>59.343069392921613</v>
      </c>
      <c r="C12" s="12">
        <f>s_ri!C12*shock_OC!$E$3</f>
        <v>38470.939227057359</v>
      </c>
      <c r="D12" s="12">
        <f>s_ri!D12*shock_OC!$E$4</f>
        <v>0</v>
      </c>
      <c r="E12" s="12">
        <f>s_ri!E12*shock_OC!$E$5</f>
        <v>0</v>
      </c>
      <c r="F12" s="12">
        <f>s_ri!F12*shock_OC!$E$6</f>
        <v>5.3115642374712453E-2</v>
      </c>
      <c r="G12" s="12">
        <f>s_ri!G12*shock_OC!$E$7</f>
        <v>-1.0849420368873821</v>
      </c>
      <c r="H12" s="12">
        <f t="shared" si="0"/>
        <v>38.529250470055764</v>
      </c>
      <c r="K12" s="10" t="s">
        <v>14</v>
      </c>
      <c r="L12" s="11">
        <f>shock_OC!$E$8*s_ri!K12</f>
        <v>-36.108960934338221</v>
      </c>
      <c r="M12" s="11">
        <f>shock_OC!$E$9*s_ri!L12</f>
        <v>-555.03018814853863</v>
      </c>
      <c r="N12" s="11">
        <f>shock_OC!$E$10*s_ri!M12</f>
        <v>0</v>
      </c>
      <c r="O12" s="11">
        <f>shock_OC!$E$11*s_ri!N12</f>
        <v>0</v>
      </c>
      <c r="P12" s="11">
        <f>shock_OC!$E$12*s_ri!O12</f>
        <v>1.9052971341164748E-2</v>
      </c>
      <c r="Q12" s="11">
        <f>shock_OC!$E$13*s_ri!P12</f>
        <v>1.6087320924867605</v>
      </c>
      <c r="R12" s="11">
        <f t="shared" si="1"/>
        <v>-0.58951136401904902</v>
      </c>
    </row>
    <row r="13" spans="1:18" x14ac:dyDescent="0.2">
      <c r="A13" s="10" t="s">
        <v>15</v>
      </c>
      <c r="B13" s="12">
        <f>s_ri!B13*shock_OC!$E$2</f>
        <v>59.945409190834212</v>
      </c>
      <c r="C13" s="12">
        <f>s_ri!C13*shock_OC!$E$3</f>
        <v>36320.356042294457</v>
      </c>
      <c r="D13" s="12">
        <f>s_ri!D13*shock_OC!$E$4</f>
        <v>0</v>
      </c>
      <c r="E13" s="12">
        <f>s_ri!E13*shock_OC!$E$5</f>
        <v>0</v>
      </c>
      <c r="F13" s="12">
        <f>s_ri!F13*shock_OC!$E$6</f>
        <v>5.7804590052850879E-2</v>
      </c>
      <c r="G13" s="12">
        <f>s_ri!G13*shock_OC!$E$7</f>
        <v>-1.0703510361062472</v>
      </c>
      <c r="H13" s="12">
        <f t="shared" si="0"/>
        <v>36.379288905039239</v>
      </c>
      <c r="K13" s="10" t="s">
        <v>15</v>
      </c>
      <c r="L13" s="11">
        <f>shock_OC!$E$8*s_ri!K13</f>
        <v>-33.346437440493425</v>
      </c>
      <c r="M13" s="11">
        <f>shock_OC!$E$9*s_ri!L13</f>
        <v>-497.78916245062106</v>
      </c>
      <c r="N13" s="11">
        <f>shock_OC!$E$10*s_ri!M13</f>
        <v>0</v>
      </c>
      <c r="O13" s="11">
        <f>shock_OC!$E$11*s_ri!N13</f>
        <v>0</v>
      </c>
      <c r="P13" s="11">
        <f>shock_OC!$E$12*s_ri!O13</f>
        <v>2.824709105627107E-2</v>
      </c>
      <c r="Q13" s="11">
        <f>shock_OC!$E$13*s_ri!P13</f>
        <v>1.5500858345200021</v>
      </c>
      <c r="R13" s="11">
        <f t="shared" si="1"/>
        <v>-0.52955726696553818</v>
      </c>
    </row>
    <row r="14" spans="1:18" x14ac:dyDescent="0.2">
      <c r="A14" s="10" t="s">
        <v>16</v>
      </c>
      <c r="B14" s="12">
        <f>s_ri!B14*shock_OC!$E$2</f>
        <v>65.31321019271671</v>
      </c>
      <c r="C14" s="12">
        <f>s_ri!C14*shock_OC!$E$3</f>
        <v>41058.551874930658</v>
      </c>
      <c r="D14" s="12">
        <f>s_ri!D14*shock_OC!$E$4</f>
        <v>0</v>
      </c>
      <c r="E14" s="12">
        <f>s_ri!E14*shock_OC!$E$5</f>
        <v>0</v>
      </c>
      <c r="F14" s="12">
        <f>s_ri!F14*shock_OC!$E$6</f>
        <v>5.6286061717905081E-2</v>
      </c>
      <c r="G14" s="12">
        <f>s_ri!G14*shock_OC!$E$7</f>
        <v>-1.1767016943502289</v>
      </c>
      <c r="H14" s="12">
        <f t="shared" si="0"/>
        <v>41.12274466949075</v>
      </c>
      <c r="K14" s="10" t="s">
        <v>16</v>
      </c>
      <c r="L14" s="11">
        <f>shock_OC!$E$8*s_ri!K14</f>
        <v>-33.943472303912046</v>
      </c>
      <c r="M14" s="11">
        <f>shock_OC!$E$9*s_ri!L14</f>
        <v>-495.8733849986163</v>
      </c>
      <c r="N14" s="11">
        <f>shock_OC!$E$10*s_ri!M14</f>
        <v>0</v>
      </c>
      <c r="O14" s="11">
        <f>shock_OC!$E$11*s_ri!N14</f>
        <v>0</v>
      </c>
      <c r="P14" s="11">
        <f>shock_OC!$E$12*s_ri!O14</f>
        <v>2.4564864482193787E-2</v>
      </c>
      <c r="Q14" s="11">
        <f>shock_OC!$E$13*s_ri!P14</f>
        <v>1.7086109560992164</v>
      </c>
      <c r="R14" s="11">
        <f t="shared" si="1"/>
        <v>-0.52808368148194695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2026-04-03T12:24:11Z</dcterms:created>
  <dcterms:modified xsi:type="dcterms:W3CDTF">2026-04-19T13:45:13Z</dcterms:modified>
</cp:coreProperties>
</file>