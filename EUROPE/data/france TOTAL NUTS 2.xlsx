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china shock eu/EUROPE/data/"/>
    </mc:Choice>
  </mc:AlternateContent>
  <xr:revisionPtr revIDLastSave="0" documentId="8_{9994212D-50FE-6243-AE7D-44A7E92420F5}" xr6:coauthVersionLast="47" xr6:coauthVersionMax="47" xr10:uidLastSave="{00000000-0000-0000-0000-000000000000}"/>
  <bookViews>
    <workbookView xWindow="0" yWindow="720" windowWidth="29400" windowHeight="18400" activeTab="8" xr2:uid="{F694FFCE-E1B3-5A4B-9CA6-B99D1ECB22B8}"/>
  </bookViews>
  <sheets>
    <sheet name="employment" sheetId="1" r:id="rId1"/>
    <sheet name="import" sheetId="2" r:id="rId2"/>
    <sheet name="L_i" sheetId="3" r:id="rId3"/>
    <sheet name="delta_M" sheetId="4" r:id="rId4"/>
    <sheet name="shock_i" sheetId="5" r:id="rId5"/>
    <sheet name="L_r" sheetId="6" r:id="rId6"/>
    <sheet name="s_ri" sheetId="7" r:id="rId7"/>
    <sheet name="IPW_r" sheetId="8" r:id="rId8"/>
    <sheet name="import OC" sheetId="9" r:id="rId9"/>
    <sheet name="delta_M_OC" sheetId="10" r:id="rId10"/>
    <sheet name="shock_OC" sheetId="12" r:id="rId11"/>
    <sheet name="IPW_OC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9" l="1"/>
  <c r="W39" i="9"/>
  <c r="W38" i="9"/>
  <c r="W37" i="9"/>
  <c r="W36" i="9"/>
  <c r="W35" i="9"/>
  <c r="W34" i="9"/>
  <c r="W33" i="9"/>
  <c r="W32" i="9"/>
  <c r="W31" i="9"/>
  <c r="W30" i="9"/>
  <c r="W29" i="9"/>
  <c r="S40" i="9"/>
  <c r="S39" i="9"/>
  <c r="S38" i="9"/>
  <c r="S37" i="9"/>
  <c r="S36" i="9"/>
  <c r="S35" i="9"/>
  <c r="S34" i="9"/>
  <c r="S33" i="9"/>
  <c r="S32" i="9"/>
  <c r="S31" i="9"/>
  <c r="S30" i="9"/>
  <c r="S29" i="9"/>
  <c r="O40" i="9"/>
  <c r="O39" i="9"/>
  <c r="O38" i="9"/>
  <c r="O37" i="9"/>
  <c r="O36" i="9"/>
  <c r="O35" i="9"/>
  <c r="O34" i="9"/>
  <c r="O33" i="9"/>
  <c r="O32" i="9"/>
  <c r="O31" i="9"/>
  <c r="O30" i="9"/>
  <c r="O29" i="9"/>
  <c r="K40" i="9"/>
  <c r="K39" i="9"/>
  <c r="K38" i="9"/>
  <c r="K37" i="9"/>
  <c r="K36" i="9"/>
  <c r="K35" i="9"/>
  <c r="K34" i="9"/>
  <c r="K33" i="9"/>
  <c r="K32" i="9"/>
  <c r="K31" i="9"/>
  <c r="K30" i="9"/>
  <c r="K29" i="9"/>
  <c r="G40" i="9"/>
  <c r="G39" i="9"/>
  <c r="G38" i="9"/>
  <c r="G37" i="9"/>
  <c r="G36" i="9"/>
  <c r="G35" i="9"/>
  <c r="G34" i="9"/>
  <c r="G33" i="9"/>
  <c r="G32" i="9"/>
  <c r="G31" i="9"/>
  <c r="G30" i="9"/>
  <c r="G29" i="9"/>
  <c r="C36" i="9" l="1"/>
  <c r="C9" i="10" s="1"/>
  <c r="D9" i="12" s="1"/>
  <c r="C37" i="9"/>
  <c r="C10" i="10" s="1"/>
  <c r="D10" i="12" s="1"/>
  <c r="C38" i="9"/>
  <c r="C11" i="10" s="1"/>
  <c r="D11" i="12" s="1"/>
  <c r="C39" i="9"/>
  <c r="C12" i="10" s="1"/>
  <c r="D12" i="12" s="1"/>
  <c r="C40" i="9"/>
  <c r="C13" i="10" s="1"/>
  <c r="D13" i="12" s="1"/>
  <c r="C35" i="9"/>
  <c r="C8" i="10" s="1"/>
  <c r="D8" i="12" s="1"/>
  <c r="C30" i="9"/>
  <c r="C3" i="10" s="1"/>
  <c r="D3" i="12" s="1"/>
  <c r="C31" i="9"/>
  <c r="C4" i="10" s="1"/>
  <c r="D4" i="12" s="1"/>
  <c r="C32" i="9"/>
  <c r="C5" i="10" s="1"/>
  <c r="D5" i="12" s="1"/>
  <c r="C33" i="9"/>
  <c r="C6" i="10" s="1"/>
  <c r="D6" i="12" s="1"/>
  <c r="C34" i="9"/>
  <c r="C7" i="10" s="1"/>
  <c r="D7" i="12" s="1"/>
  <c r="C29" i="9"/>
  <c r="C2" i="10" s="1"/>
  <c r="D2" i="12" s="1"/>
  <c r="C19" i="3"/>
  <c r="C13" i="12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3" i="6"/>
  <c r="E13" i="12" l="1"/>
  <c r="H3" i="6"/>
  <c r="H18" i="6"/>
  <c r="B18" i="7" s="1"/>
  <c r="H23" i="6"/>
  <c r="D23" i="7" s="1"/>
  <c r="H7" i="6"/>
  <c r="F7" i="7" s="1"/>
  <c r="H13" i="6"/>
  <c r="D13" i="7" s="1"/>
  <c r="H5" i="6"/>
  <c r="D5" i="7" s="1"/>
  <c r="R21" i="6"/>
  <c r="N21" i="7" s="1"/>
  <c r="R13" i="6"/>
  <c r="K13" i="7" s="1"/>
  <c r="H6" i="6"/>
  <c r="F6" i="7" s="1"/>
  <c r="F18" i="7"/>
  <c r="H21" i="6"/>
  <c r="D21" i="7" s="1"/>
  <c r="R6" i="6"/>
  <c r="N6" i="7" s="1"/>
  <c r="R17" i="6"/>
  <c r="L17" i="7" s="1"/>
  <c r="R9" i="6"/>
  <c r="L9" i="7" s="1"/>
  <c r="H16" i="6"/>
  <c r="F16" i="7" s="1"/>
  <c r="R3" i="6"/>
  <c r="G3" i="7"/>
  <c r="R20" i="6"/>
  <c r="N20" i="7" s="1"/>
  <c r="R12" i="6"/>
  <c r="P12" i="7" s="1"/>
  <c r="R4" i="6"/>
  <c r="L4" i="7" s="1"/>
  <c r="H19" i="6"/>
  <c r="B19" i="7" s="1"/>
  <c r="H11" i="6"/>
  <c r="B11" i="7" s="1"/>
  <c r="R11" i="6"/>
  <c r="L11" i="7" s="1"/>
  <c r="R23" i="6"/>
  <c r="O23" i="7" s="1"/>
  <c r="H15" i="6"/>
  <c r="D15" i="7" s="1"/>
  <c r="C18" i="7"/>
  <c r="R19" i="6"/>
  <c r="M19" i="7" s="1"/>
  <c r="H14" i="6"/>
  <c r="B14" i="7" s="1"/>
  <c r="R18" i="6"/>
  <c r="M18" i="7" s="1"/>
  <c r="R10" i="6"/>
  <c r="O10" i="7" s="1"/>
  <c r="R22" i="6"/>
  <c r="O22" i="7" s="1"/>
  <c r="H20" i="6"/>
  <c r="B20" i="7" s="1"/>
  <c r="H12" i="6"/>
  <c r="G12" i="7" s="1"/>
  <c r="H4" i="6"/>
  <c r="C4" i="7" s="1"/>
  <c r="H17" i="6"/>
  <c r="F17" i="7" s="1"/>
  <c r="H9" i="6"/>
  <c r="C9" i="7" s="1"/>
  <c r="E18" i="7"/>
  <c r="H24" i="6"/>
  <c r="D24" i="7" s="1"/>
  <c r="R15" i="6"/>
  <c r="L15" i="7" s="1"/>
  <c r="H10" i="6"/>
  <c r="E10" i="7" s="1"/>
  <c r="R14" i="6"/>
  <c r="N14" i="7" s="1"/>
  <c r="R5" i="6"/>
  <c r="L5" i="7" s="1"/>
  <c r="H22" i="6"/>
  <c r="E22" i="7" s="1"/>
  <c r="H8" i="6"/>
  <c r="D8" i="7" s="1"/>
  <c r="R7" i="6"/>
  <c r="O7" i="7" s="1"/>
  <c r="R24" i="6"/>
  <c r="P24" i="7" s="1"/>
  <c r="R16" i="6"/>
  <c r="P16" i="7" s="1"/>
  <c r="R8" i="6"/>
  <c r="P8" i="7" s="1"/>
  <c r="Q8" i="11" s="1"/>
  <c r="C13" i="5"/>
  <c r="C3" i="4"/>
  <c r="D3" i="5" s="1"/>
  <c r="C4" i="4"/>
  <c r="D4" i="5" s="1"/>
  <c r="C5" i="4"/>
  <c r="D5" i="5" s="1"/>
  <c r="C6" i="4"/>
  <c r="D6" i="5" s="1"/>
  <c r="C7" i="4"/>
  <c r="D7" i="5" s="1"/>
  <c r="C2" i="4"/>
  <c r="D2" i="5" s="1"/>
  <c r="C25" i="3"/>
  <c r="C24" i="3"/>
  <c r="C23" i="3"/>
  <c r="C22" i="3"/>
  <c r="C21" i="3"/>
  <c r="C20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3" i="4"/>
  <c r="D13" i="5" s="1"/>
  <c r="C12" i="4"/>
  <c r="D12" i="5" s="1"/>
  <c r="C11" i="4"/>
  <c r="D11" i="5" s="1"/>
  <c r="C10" i="4"/>
  <c r="D10" i="5" s="1"/>
  <c r="C9" i="4"/>
  <c r="D9" i="5" s="1"/>
  <c r="C8" i="4"/>
  <c r="D8" i="5" s="1"/>
  <c r="Q16" i="11" l="1"/>
  <c r="Q24" i="11"/>
  <c r="Q12" i="11"/>
  <c r="B23" i="7"/>
  <c r="H25" i="6"/>
  <c r="O3" i="7"/>
  <c r="R25" i="6"/>
  <c r="C7" i="5"/>
  <c r="E7" i="5" s="1"/>
  <c r="C7" i="12"/>
  <c r="E7" i="12" s="1"/>
  <c r="C9" i="5"/>
  <c r="E9" i="5" s="1"/>
  <c r="C9" i="12"/>
  <c r="E9" i="12" s="1"/>
  <c r="C6" i="5"/>
  <c r="C6" i="12"/>
  <c r="E6" i="12" s="1"/>
  <c r="C8" i="5"/>
  <c r="E8" i="5" s="1"/>
  <c r="C8" i="12"/>
  <c r="E8" i="12" s="1"/>
  <c r="C10" i="5"/>
  <c r="E10" i="5" s="1"/>
  <c r="C10" i="12"/>
  <c r="E10" i="12" s="1"/>
  <c r="C11" i="5"/>
  <c r="E11" i="5" s="1"/>
  <c r="C11" i="12"/>
  <c r="E11" i="12" s="1"/>
  <c r="C2" i="5"/>
  <c r="E2" i="5" s="1"/>
  <c r="C2" i="12"/>
  <c r="E2" i="12" s="1"/>
  <c r="C12" i="5"/>
  <c r="E12" i="5" s="1"/>
  <c r="C12" i="12"/>
  <c r="E12" i="12" s="1"/>
  <c r="C3" i="5"/>
  <c r="E3" i="5" s="1"/>
  <c r="C3" i="12"/>
  <c r="E3" i="12" s="1"/>
  <c r="C4" i="5"/>
  <c r="E4" i="5" s="1"/>
  <c r="C4" i="12"/>
  <c r="E4" i="12" s="1"/>
  <c r="C5" i="5"/>
  <c r="E5" i="5" s="1"/>
  <c r="C5" i="12"/>
  <c r="E5" i="12" s="1"/>
  <c r="D18" i="7"/>
  <c r="D16" i="7"/>
  <c r="G18" i="7"/>
  <c r="M21" i="7"/>
  <c r="F23" i="7"/>
  <c r="G23" i="7"/>
  <c r="L21" i="7"/>
  <c r="E9" i="7"/>
  <c r="G6" i="7"/>
  <c r="L20" i="7"/>
  <c r="K21" i="7"/>
  <c r="C12" i="7"/>
  <c r="C16" i="7"/>
  <c r="M13" i="7"/>
  <c r="B16" i="7"/>
  <c r="K9" i="7"/>
  <c r="F9" i="7"/>
  <c r="K17" i="7"/>
  <c r="P9" i="7"/>
  <c r="Q9" i="11" s="1"/>
  <c r="L13" i="7"/>
  <c r="C13" i="7"/>
  <c r="E6" i="7"/>
  <c r="F5" i="7"/>
  <c r="C7" i="7"/>
  <c r="E5" i="7"/>
  <c r="O18" i="7"/>
  <c r="P6" i="7"/>
  <c r="Q6" i="11" s="1"/>
  <c r="B7" i="7"/>
  <c r="G7" i="7"/>
  <c r="C6" i="7"/>
  <c r="P14" i="7"/>
  <c r="Q14" i="11" s="1"/>
  <c r="F13" i="7"/>
  <c r="O6" i="7"/>
  <c r="D9" i="7"/>
  <c r="D7" i="7"/>
  <c r="M6" i="7"/>
  <c r="G13" i="7"/>
  <c r="F24" i="7"/>
  <c r="M17" i="7"/>
  <c r="O17" i="7"/>
  <c r="P22" i="7"/>
  <c r="Q22" i="11" s="1"/>
  <c r="N17" i="7"/>
  <c r="L7" i="7"/>
  <c r="K18" i="7"/>
  <c r="P3" i="7"/>
  <c r="Q3" i="11" s="1"/>
  <c r="B15" i="7"/>
  <c r="C11" i="7"/>
  <c r="P17" i="7"/>
  <c r="Q17" i="11" s="1"/>
  <c r="N5" i="7"/>
  <c r="C24" i="7"/>
  <c r="E7" i="7"/>
  <c r="E14" i="7"/>
  <c r="M22" i="7"/>
  <c r="K5" i="7"/>
  <c r="K24" i="7"/>
  <c r="B13" i="7"/>
  <c r="B24" i="7"/>
  <c r="P20" i="7"/>
  <c r="Q20" i="11" s="1"/>
  <c r="N12" i="7"/>
  <c r="G5" i="7"/>
  <c r="E6" i="5"/>
  <c r="G21" i="7"/>
  <c r="D14" i="7"/>
  <c r="N9" i="7"/>
  <c r="F21" i="7"/>
  <c r="G19" i="7"/>
  <c r="K15" i="7"/>
  <c r="G15" i="7"/>
  <c r="L12" i="7"/>
  <c r="C21" i="7"/>
  <c r="P18" i="7"/>
  <c r="Q18" i="11" s="1"/>
  <c r="O24" i="7"/>
  <c r="E13" i="7"/>
  <c r="F12" i="7"/>
  <c r="O14" i="7"/>
  <c r="L23" i="7"/>
  <c r="E21" i="7"/>
  <c r="D19" i="7"/>
  <c r="F15" i="7"/>
  <c r="O15" i="7"/>
  <c r="C15" i="7"/>
  <c r="E13" i="5"/>
  <c r="N24" i="7"/>
  <c r="L24" i="7"/>
  <c r="N16" i="7"/>
  <c r="M5" i="7"/>
  <c r="G14" i="7"/>
  <c r="K16" i="7"/>
  <c r="F3" i="7"/>
  <c r="O16" i="7"/>
  <c r="C23" i="7"/>
  <c r="B6" i="7"/>
  <c r="B5" i="7"/>
  <c r="E23" i="7"/>
  <c r="C8" i="7"/>
  <c r="C17" i="7"/>
  <c r="F8" i="7"/>
  <c r="K10" i="7"/>
  <c r="B10" i="7"/>
  <c r="C10" i="7"/>
  <c r="E17" i="7"/>
  <c r="M10" i="7"/>
  <c r="M11" i="7"/>
  <c r="K19" i="7"/>
  <c r="N19" i="7"/>
  <c r="E4" i="7"/>
  <c r="D17" i="7"/>
  <c r="M4" i="7"/>
  <c r="O4" i="7"/>
  <c r="F10" i="7"/>
  <c r="O5" i="7"/>
  <c r="P5" i="7"/>
  <c r="Q5" i="11" s="1"/>
  <c r="M14" i="7"/>
  <c r="G9" i="7"/>
  <c r="B9" i="7"/>
  <c r="B4" i="7"/>
  <c r="L8" i="7"/>
  <c r="E12" i="7"/>
  <c r="L16" i="7"/>
  <c r="N4" i="7"/>
  <c r="K4" i="7"/>
  <c r="L3" i="7"/>
  <c r="M3" i="7"/>
  <c r="D10" i="7"/>
  <c r="E20" i="7"/>
  <c r="D6" i="7"/>
  <c r="E8" i="7"/>
  <c r="G8" i="7"/>
  <c r="F22" i="7"/>
  <c r="C22" i="7"/>
  <c r="D22" i="7"/>
  <c r="C20" i="7"/>
  <c r="M23" i="7"/>
  <c r="P23" i="7"/>
  <c r="Q23" i="11" s="1"/>
  <c r="N23" i="7"/>
  <c r="E11" i="7"/>
  <c r="F11" i="7"/>
  <c r="M12" i="7"/>
  <c r="O12" i="7"/>
  <c r="P11" i="7"/>
  <c r="Q11" i="11" s="1"/>
  <c r="P4" i="7"/>
  <c r="Q4" i="11" s="1"/>
  <c r="K6" i="7"/>
  <c r="L6" i="7"/>
  <c r="D4" i="7"/>
  <c r="O13" i="7"/>
  <c r="P13" i="7"/>
  <c r="Q13" i="11" s="1"/>
  <c r="O11" i="7"/>
  <c r="G22" i="7"/>
  <c r="L10" i="7"/>
  <c r="N10" i="7"/>
  <c r="O19" i="7"/>
  <c r="F4" i="7"/>
  <c r="B8" i="7"/>
  <c r="B12" i="7"/>
  <c r="K22" i="7"/>
  <c r="L22" i="7"/>
  <c r="M8" i="7"/>
  <c r="N18" i="7"/>
  <c r="L18" i="7"/>
  <c r="C5" i="7"/>
  <c r="C3" i="7"/>
  <c r="P10" i="7"/>
  <c r="Q10" i="11" s="1"/>
  <c r="K12" i="7"/>
  <c r="P19" i="7"/>
  <c r="Q19" i="11" s="1"/>
  <c r="K3" i="7"/>
  <c r="D12" i="7"/>
  <c r="G4" i="7"/>
  <c r="D3" i="7"/>
  <c r="K11" i="7"/>
  <c r="N11" i="7"/>
  <c r="G17" i="7"/>
  <c r="B17" i="7"/>
  <c r="K14" i="7"/>
  <c r="L14" i="7"/>
  <c r="D11" i="7"/>
  <c r="M20" i="7"/>
  <c r="O20" i="7"/>
  <c r="O9" i="7"/>
  <c r="N22" i="7"/>
  <c r="D20" i="7"/>
  <c r="B22" i="7"/>
  <c r="O21" i="7"/>
  <c r="P21" i="7"/>
  <c r="Q21" i="11" s="1"/>
  <c r="G20" i="7"/>
  <c r="L19" i="7"/>
  <c r="O8" i="7"/>
  <c r="M16" i="7"/>
  <c r="F19" i="7"/>
  <c r="E19" i="7"/>
  <c r="C19" i="7"/>
  <c r="K7" i="7"/>
  <c r="M7" i="7"/>
  <c r="N7" i="7"/>
  <c r="P7" i="7"/>
  <c r="Q7" i="11" s="1"/>
  <c r="N8" i="7"/>
  <c r="K23" i="7"/>
  <c r="K8" i="7"/>
  <c r="F20" i="7"/>
  <c r="M15" i="7"/>
  <c r="P15" i="7"/>
  <c r="Q15" i="11" s="1"/>
  <c r="N15" i="7"/>
  <c r="E24" i="7"/>
  <c r="G24" i="7"/>
  <c r="N13" i="7"/>
  <c r="G11" i="7"/>
  <c r="M24" i="7"/>
  <c r="F14" i="7"/>
  <c r="C14" i="7"/>
  <c r="G10" i="7"/>
  <c r="M9" i="7"/>
  <c r="K20" i="7"/>
  <c r="E16" i="7"/>
  <c r="G16" i="7"/>
  <c r="N3" i="7"/>
  <c r="B3" i="7"/>
  <c r="E15" i="7"/>
  <c r="B21" i="7"/>
  <c r="E3" i="7"/>
  <c r="P7" i="11" l="1"/>
  <c r="P15" i="11"/>
  <c r="P23" i="11"/>
  <c r="P3" i="11"/>
  <c r="P8" i="11"/>
  <c r="P16" i="11"/>
  <c r="P24" i="11"/>
  <c r="P9" i="11"/>
  <c r="P17" i="11"/>
  <c r="P10" i="11"/>
  <c r="P18" i="11"/>
  <c r="P11" i="11"/>
  <c r="P19" i="11"/>
  <c r="P4" i="11"/>
  <c r="P12" i="11"/>
  <c r="P20" i="11"/>
  <c r="P14" i="11"/>
  <c r="P21" i="11"/>
  <c r="P22" i="11"/>
  <c r="P5" i="11"/>
  <c r="P13" i="11"/>
  <c r="P6" i="11"/>
  <c r="L11" i="11"/>
  <c r="L19" i="11"/>
  <c r="L4" i="11"/>
  <c r="L12" i="11"/>
  <c r="L20" i="11"/>
  <c r="L13" i="11"/>
  <c r="L21" i="11"/>
  <c r="L14" i="11"/>
  <c r="L5" i="11"/>
  <c r="L6" i="11"/>
  <c r="L7" i="11"/>
  <c r="L15" i="11"/>
  <c r="L23" i="11"/>
  <c r="L3" i="11"/>
  <c r="L17" i="11"/>
  <c r="L8" i="11"/>
  <c r="L16" i="11"/>
  <c r="L24" i="11"/>
  <c r="L9" i="11"/>
  <c r="L10" i="11"/>
  <c r="L18" i="11"/>
  <c r="L22" i="11"/>
  <c r="E7" i="11"/>
  <c r="E15" i="11"/>
  <c r="E23" i="11"/>
  <c r="E8" i="11"/>
  <c r="E16" i="11"/>
  <c r="E24" i="11"/>
  <c r="E9" i="11"/>
  <c r="E17" i="11"/>
  <c r="E11" i="11"/>
  <c r="E19" i="11"/>
  <c r="E4" i="11"/>
  <c r="E12" i="11"/>
  <c r="E20" i="11"/>
  <c r="E21" i="11"/>
  <c r="E22" i="11"/>
  <c r="E5" i="11"/>
  <c r="E3" i="11"/>
  <c r="E6" i="11"/>
  <c r="E18" i="11"/>
  <c r="E10" i="11"/>
  <c r="E13" i="11"/>
  <c r="E14" i="11"/>
  <c r="B10" i="11"/>
  <c r="B18" i="11"/>
  <c r="B3" i="11"/>
  <c r="B4" i="11"/>
  <c r="B11" i="11"/>
  <c r="B19" i="11"/>
  <c r="B12" i="11"/>
  <c r="B20" i="11"/>
  <c r="B6" i="11"/>
  <c r="B14" i="11"/>
  <c r="B22" i="11"/>
  <c r="B15" i="11"/>
  <c r="B23" i="11"/>
  <c r="B7" i="11"/>
  <c r="B17" i="11"/>
  <c r="B21" i="11"/>
  <c r="B5" i="11"/>
  <c r="B24" i="11"/>
  <c r="B8" i="11"/>
  <c r="B9" i="11"/>
  <c r="B13" i="11"/>
  <c r="B16" i="11"/>
  <c r="F10" i="11"/>
  <c r="F18" i="11"/>
  <c r="F11" i="11"/>
  <c r="F19" i="11"/>
  <c r="F4" i="11"/>
  <c r="F12" i="11"/>
  <c r="F20" i="11"/>
  <c r="F6" i="11"/>
  <c r="F14" i="11"/>
  <c r="F22" i="11"/>
  <c r="F7" i="11"/>
  <c r="F23" i="11"/>
  <c r="F3" i="11"/>
  <c r="F15" i="11"/>
  <c r="F21" i="11"/>
  <c r="F24" i="11"/>
  <c r="F5" i="11"/>
  <c r="F8" i="11"/>
  <c r="F17" i="11"/>
  <c r="F9" i="11"/>
  <c r="F13" i="11"/>
  <c r="F16" i="11"/>
  <c r="D5" i="11"/>
  <c r="D13" i="11"/>
  <c r="D21" i="11"/>
  <c r="D6" i="11"/>
  <c r="D14" i="11"/>
  <c r="D22" i="11"/>
  <c r="D7" i="11"/>
  <c r="D15" i="11"/>
  <c r="D23" i="11"/>
  <c r="D9" i="11"/>
  <c r="D17" i="11"/>
  <c r="D3" i="11"/>
  <c r="D10" i="11"/>
  <c r="D18" i="11"/>
  <c r="D19" i="11"/>
  <c r="D20" i="11"/>
  <c r="D24" i="11"/>
  <c r="D4" i="11"/>
  <c r="D16" i="11"/>
  <c r="D8" i="11"/>
  <c r="D11" i="11"/>
  <c r="D12" i="11"/>
  <c r="O4" i="11"/>
  <c r="O12" i="11"/>
  <c r="O20" i="11"/>
  <c r="O5" i="11"/>
  <c r="O13" i="11"/>
  <c r="O21" i="11"/>
  <c r="O3" i="11"/>
  <c r="O6" i="11"/>
  <c r="O14" i="11"/>
  <c r="O22" i="11"/>
  <c r="O7" i="11"/>
  <c r="O15" i="11"/>
  <c r="O23" i="11"/>
  <c r="O8" i="11"/>
  <c r="O16" i="11"/>
  <c r="O24" i="11"/>
  <c r="O18" i="11"/>
  <c r="O9" i="11"/>
  <c r="O17" i="11"/>
  <c r="O10" i="11"/>
  <c r="O11" i="11"/>
  <c r="O19" i="11"/>
  <c r="M6" i="11"/>
  <c r="M14" i="11"/>
  <c r="M22" i="11"/>
  <c r="M7" i="11"/>
  <c r="M15" i="11"/>
  <c r="M23" i="11"/>
  <c r="M8" i="11"/>
  <c r="M16" i="11"/>
  <c r="M24" i="11"/>
  <c r="M9" i="11"/>
  <c r="M17" i="11"/>
  <c r="M10" i="11"/>
  <c r="M18" i="11"/>
  <c r="M4" i="11"/>
  <c r="M12" i="11"/>
  <c r="M20" i="11"/>
  <c r="M11" i="11"/>
  <c r="M19" i="11"/>
  <c r="M3" i="11"/>
  <c r="M5" i="11"/>
  <c r="M13" i="11"/>
  <c r="M21" i="11"/>
  <c r="C7" i="11"/>
  <c r="C15" i="11"/>
  <c r="C23" i="11"/>
  <c r="C8" i="11"/>
  <c r="C16" i="11"/>
  <c r="C24" i="11"/>
  <c r="C9" i="11"/>
  <c r="C17" i="11"/>
  <c r="C11" i="11"/>
  <c r="C19" i="11"/>
  <c r="C4" i="11"/>
  <c r="C12" i="11"/>
  <c r="C20" i="11"/>
  <c r="C18" i="11"/>
  <c r="C21" i="11"/>
  <c r="C22" i="11"/>
  <c r="C5" i="11"/>
  <c r="C3" i="11"/>
  <c r="C6" i="11"/>
  <c r="C14" i="11"/>
  <c r="C10" i="11"/>
  <c r="C13" i="11"/>
  <c r="N9" i="11"/>
  <c r="N17" i="11"/>
  <c r="N10" i="11"/>
  <c r="N18" i="11"/>
  <c r="N11" i="11"/>
  <c r="N19" i="11"/>
  <c r="N3" i="11"/>
  <c r="N4" i="11"/>
  <c r="N12" i="11"/>
  <c r="N20" i="11"/>
  <c r="N5" i="11"/>
  <c r="N13" i="11"/>
  <c r="N21" i="11"/>
  <c r="N7" i="11"/>
  <c r="N15" i="11"/>
  <c r="N23" i="11"/>
  <c r="N6" i="11"/>
  <c r="N14" i="11"/>
  <c r="N22" i="11"/>
  <c r="N16" i="11"/>
  <c r="N24" i="11"/>
  <c r="N8" i="11"/>
  <c r="G5" i="11"/>
  <c r="G13" i="11"/>
  <c r="G21" i="11"/>
  <c r="G6" i="11"/>
  <c r="G14" i="11"/>
  <c r="G22" i="11"/>
  <c r="G7" i="11"/>
  <c r="G15" i="11"/>
  <c r="G23" i="11"/>
  <c r="G9" i="11"/>
  <c r="G17" i="11"/>
  <c r="G3" i="11"/>
  <c r="G18" i="11"/>
  <c r="G10" i="11"/>
  <c r="G20" i="11"/>
  <c r="G19" i="11"/>
  <c r="G24" i="11"/>
  <c r="G8" i="11"/>
  <c r="G4" i="11"/>
  <c r="G11" i="11"/>
  <c r="G12" i="11"/>
  <c r="G16" i="11"/>
  <c r="D9" i="8"/>
  <c r="D17" i="8"/>
  <c r="D19" i="8"/>
  <c r="D24" i="8"/>
  <c r="D12" i="8"/>
  <c r="D5" i="8"/>
  <c r="D14" i="8"/>
  <c r="D7" i="8"/>
  <c r="D23" i="8"/>
  <c r="D8" i="8"/>
  <c r="D3" i="8"/>
  <c r="D10" i="8"/>
  <c r="D18" i="8"/>
  <c r="D11" i="8"/>
  <c r="D4" i="8"/>
  <c r="D20" i="8"/>
  <c r="D13" i="8"/>
  <c r="D21" i="8"/>
  <c r="D6" i="8"/>
  <c r="D22" i="8"/>
  <c r="D15" i="8"/>
  <c r="D16" i="8"/>
  <c r="F11" i="8"/>
  <c r="F19" i="8"/>
  <c r="F24" i="8"/>
  <c r="F13" i="8"/>
  <c r="F22" i="8"/>
  <c r="F7" i="8"/>
  <c r="F23" i="8"/>
  <c r="F8" i="8"/>
  <c r="F3" i="8"/>
  <c r="F17" i="8"/>
  <c r="F18" i="8"/>
  <c r="F4" i="8"/>
  <c r="F12" i="8"/>
  <c r="F20" i="8"/>
  <c r="F5" i="8"/>
  <c r="F21" i="8"/>
  <c r="F6" i="8"/>
  <c r="F14" i="8"/>
  <c r="F15" i="8"/>
  <c r="F16" i="8"/>
  <c r="F9" i="8"/>
  <c r="F10" i="8"/>
  <c r="B7" i="8"/>
  <c r="B15" i="8"/>
  <c r="B23" i="8"/>
  <c r="B9" i="8"/>
  <c r="B17" i="8"/>
  <c r="B10" i="8"/>
  <c r="B11" i="8"/>
  <c r="B4" i="8"/>
  <c r="B24" i="8"/>
  <c r="B13" i="8"/>
  <c r="B22" i="8"/>
  <c r="B8" i="8"/>
  <c r="B16" i="8"/>
  <c r="B3" i="8"/>
  <c r="B18" i="8"/>
  <c r="B19" i="8"/>
  <c r="B12" i="8"/>
  <c r="B20" i="8"/>
  <c r="B5" i="8"/>
  <c r="B21" i="8"/>
  <c r="B6" i="8"/>
  <c r="B14" i="8"/>
  <c r="G8" i="8"/>
  <c r="G16" i="8"/>
  <c r="G3" i="8"/>
  <c r="G10" i="8"/>
  <c r="G19" i="8"/>
  <c r="G20" i="8"/>
  <c r="G13" i="8"/>
  <c r="G6" i="8"/>
  <c r="G22" i="8"/>
  <c r="G15" i="8"/>
  <c r="G24" i="8"/>
  <c r="G9" i="8"/>
  <c r="G17" i="8"/>
  <c r="G18" i="8"/>
  <c r="G11" i="8"/>
  <c r="G4" i="8"/>
  <c r="G12" i="8"/>
  <c r="G5" i="8"/>
  <c r="G21" i="8"/>
  <c r="G14" i="8"/>
  <c r="G7" i="8"/>
  <c r="G23" i="8"/>
  <c r="E6" i="8"/>
  <c r="E14" i="8"/>
  <c r="E22" i="8"/>
  <c r="E8" i="8"/>
  <c r="E16" i="8"/>
  <c r="E17" i="8"/>
  <c r="E24" i="8"/>
  <c r="E19" i="8"/>
  <c r="E12" i="8"/>
  <c r="E13" i="8"/>
  <c r="E7" i="8"/>
  <c r="E15" i="8"/>
  <c r="E23" i="8"/>
  <c r="E3" i="8"/>
  <c r="E9" i="8"/>
  <c r="E10" i="8"/>
  <c r="E18" i="8"/>
  <c r="E11" i="8"/>
  <c r="E4" i="8"/>
  <c r="E20" i="8"/>
  <c r="E5" i="8"/>
  <c r="E21" i="8"/>
  <c r="C4" i="8"/>
  <c r="C12" i="8"/>
  <c r="C20" i="8"/>
  <c r="C14" i="8"/>
  <c r="C7" i="8"/>
  <c r="C15" i="8"/>
  <c r="C8" i="8"/>
  <c r="C3" i="8"/>
  <c r="C24" i="8"/>
  <c r="C9" i="8"/>
  <c r="C18" i="8"/>
  <c r="C19" i="8"/>
  <c r="C5" i="8"/>
  <c r="C13" i="8"/>
  <c r="C21" i="8"/>
  <c r="C6" i="8"/>
  <c r="C22" i="8"/>
  <c r="C23" i="8"/>
  <c r="C16" i="8"/>
  <c r="C17" i="8"/>
  <c r="C10" i="8"/>
  <c r="C11" i="8"/>
  <c r="O10" i="8"/>
  <c r="O18" i="8"/>
  <c r="O6" i="8"/>
  <c r="O8" i="8"/>
  <c r="O24" i="8"/>
  <c r="O11" i="8"/>
  <c r="O19" i="8"/>
  <c r="O22" i="8"/>
  <c r="O7" i="8"/>
  <c r="O23" i="8"/>
  <c r="O4" i="8"/>
  <c r="O12" i="8"/>
  <c r="O20" i="8"/>
  <c r="O5" i="8"/>
  <c r="O13" i="8"/>
  <c r="O21" i="8"/>
  <c r="O14" i="8"/>
  <c r="O15" i="8"/>
  <c r="O16" i="8"/>
  <c r="O9" i="8"/>
  <c r="O17" i="8"/>
  <c r="O3" i="8"/>
  <c r="Q6" i="8"/>
  <c r="Q14" i="8"/>
  <c r="Q22" i="8"/>
  <c r="Q12" i="8"/>
  <c r="Q7" i="8"/>
  <c r="Q15" i="8"/>
  <c r="Q23" i="8"/>
  <c r="Q18" i="8"/>
  <c r="Q8" i="8"/>
  <c r="Q16" i="8"/>
  <c r="Q24" i="8"/>
  <c r="Q9" i="8"/>
  <c r="Q17" i="8"/>
  <c r="Q3" i="8"/>
  <c r="Q10" i="8"/>
  <c r="Q11" i="8"/>
  <c r="Q19" i="8"/>
  <c r="Q4" i="8"/>
  <c r="Q5" i="8"/>
  <c r="Q13" i="8"/>
  <c r="Q21" i="8"/>
  <c r="Q20" i="8"/>
  <c r="M6" i="8"/>
  <c r="M14" i="8"/>
  <c r="M22" i="8"/>
  <c r="M19" i="8"/>
  <c r="M7" i="8"/>
  <c r="M15" i="8"/>
  <c r="M23" i="8"/>
  <c r="M10" i="8"/>
  <c r="M20" i="8"/>
  <c r="M8" i="8"/>
  <c r="M16" i="8"/>
  <c r="M24" i="8"/>
  <c r="M9" i="8"/>
  <c r="M17" i="8"/>
  <c r="M3" i="8"/>
  <c r="M18" i="8"/>
  <c r="M11" i="8"/>
  <c r="M4" i="8"/>
  <c r="M5" i="8"/>
  <c r="M13" i="8"/>
  <c r="M21" i="8"/>
  <c r="M12" i="8"/>
  <c r="N4" i="8"/>
  <c r="N12" i="8"/>
  <c r="N20" i="8"/>
  <c r="N9" i="8"/>
  <c r="N18" i="8"/>
  <c r="N5" i="8"/>
  <c r="N13" i="8"/>
  <c r="N21" i="8"/>
  <c r="N23" i="8"/>
  <c r="N16" i="8"/>
  <c r="N3" i="8"/>
  <c r="N10" i="8"/>
  <c r="N6" i="8"/>
  <c r="N14" i="8"/>
  <c r="N22" i="8"/>
  <c r="N7" i="8"/>
  <c r="N15" i="8"/>
  <c r="N8" i="8"/>
  <c r="N24" i="8"/>
  <c r="N17" i="8"/>
  <c r="N11" i="8"/>
  <c r="N19" i="8"/>
  <c r="P8" i="8"/>
  <c r="P16" i="8"/>
  <c r="P24" i="8"/>
  <c r="P21" i="8"/>
  <c r="P6" i="8"/>
  <c r="P9" i="8"/>
  <c r="P17" i="8"/>
  <c r="P3" i="8"/>
  <c r="P20" i="8"/>
  <c r="P5" i="8"/>
  <c r="P22" i="8"/>
  <c r="P10" i="8"/>
  <c r="P18" i="8"/>
  <c r="P11" i="8"/>
  <c r="P19" i="8"/>
  <c r="P4" i="8"/>
  <c r="P12" i="8"/>
  <c r="P13" i="8"/>
  <c r="P14" i="8"/>
  <c r="P7" i="8"/>
  <c r="P15" i="8"/>
  <c r="P23" i="8"/>
  <c r="L8" i="8"/>
  <c r="L16" i="8"/>
  <c r="L24" i="8"/>
  <c r="L21" i="8"/>
  <c r="L6" i="8"/>
  <c r="L9" i="8"/>
  <c r="L17" i="8"/>
  <c r="L3" i="8"/>
  <c r="L4" i="8"/>
  <c r="L20" i="8"/>
  <c r="L13" i="8"/>
  <c r="L22" i="8"/>
  <c r="L10" i="8"/>
  <c r="L18" i="8"/>
  <c r="L11" i="8"/>
  <c r="L19" i="8"/>
  <c r="L12" i="8"/>
  <c r="L5" i="8"/>
  <c r="L14" i="8"/>
  <c r="L7" i="8"/>
  <c r="L15" i="8"/>
  <c r="L23" i="8"/>
  <c r="R7" i="8" l="1"/>
  <c r="R21" i="8"/>
  <c r="R13" i="8"/>
  <c r="R14" i="8"/>
  <c r="R24" i="8"/>
  <c r="R22" i="8"/>
  <c r="R11" i="8"/>
  <c r="R8" i="8"/>
  <c r="R15" i="11"/>
  <c r="R19" i="8"/>
  <c r="R3" i="8"/>
  <c r="R12" i="8"/>
  <c r="R18" i="8"/>
  <c r="R5" i="8"/>
  <c r="R20" i="8"/>
  <c r="R16" i="8"/>
  <c r="R4" i="8"/>
  <c r="R17" i="8"/>
  <c r="R23" i="8"/>
  <c r="R9" i="8"/>
  <c r="R15" i="8"/>
  <c r="R10" i="8"/>
  <c r="R6" i="8"/>
  <c r="H20" i="11"/>
  <c r="R6" i="11"/>
  <c r="R24" i="11"/>
  <c r="R21" i="11"/>
  <c r="H13" i="8"/>
  <c r="H15" i="8"/>
  <c r="R14" i="11"/>
  <c r="H4" i="11"/>
  <c r="H13" i="11"/>
  <c r="H16" i="11"/>
  <c r="H7" i="11"/>
  <c r="H19" i="11"/>
  <c r="H9" i="11"/>
  <c r="H5" i="11"/>
  <c r="H23" i="11"/>
  <c r="H11" i="11"/>
  <c r="R5" i="11"/>
  <c r="H15" i="11"/>
  <c r="H8" i="11"/>
  <c r="H3" i="11"/>
  <c r="R17" i="11"/>
  <c r="R8" i="11"/>
  <c r="R19" i="11"/>
  <c r="H12" i="11"/>
  <c r="H22" i="11"/>
  <c r="H24" i="11"/>
  <c r="H18" i="11"/>
  <c r="R3" i="11"/>
  <c r="R13" i="11"/>
  <c r="R11" i="11"/>
  <c r="H14" i="11"/>
  <c r="H10" i="11"/>
  <c r="R18" i="11"/>
  <c r="R23" i="11"/>
  <c r="R20" i="11"/>
  <c r="H21" i="8"/>
  <c r="H8" i="8"/>
  <c r="R16" i="11"/>
  <c r="H6" i="11"/>
  <c r="R10" i="11"/>
  <c r="R12" i="11"/>
  <c r="H5" i="8"/>
  <c r="R22" i="11"/>
  <c r="H21" i="11"/>
  <c r="H17" i="11"/>
  <c r="R9" i="11"/>
  <c r="R7" i="11"/>
  <c r="R4" i="11"/>
  <c r="H22" i="8"/>
  <c r="H12" i="8"/>
  <c r="H24" i="8"/>
  <c r="H7" i="8"/>
  <c r="H4" i="8"/>
  <c r="H18" i="8"/>
  <c r="H11" i="8"/>
  <c r="H20" i="8"/>
  <c r="H14" i="8"/>
  <c r="H3" i="8"/>
  <c r="H10" i="8"/>
  <c r="H9" i="8"/>
  <c r="H23" i="8"/>
  <c r="H19" i="8"/>
  <c r="H6" i="8"/>
  <c r="H16" i="8"/>
  <c r="H17" i="8"/>
</calcChain>
</file>

<file path=xl/sharedStrings.xml><?xml version="1.0" encoding="utf-8"?>
<sst xmlns="http://schemas.openxmlformats.org/spreadsheetml/2006/main" count="1790" uniqueCount="54">
  <si>
    <t>zone</t>
  </si>
  <si>
    <t>year</t>
  </si>
  <si>
    <t>Ile de France</t>
  </si>
  <si>
    <t>a-b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</si>
  <si>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</si>
  <si>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</si>
  <si>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</si>
  <si>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</si>
  <si>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</si>
  <si>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</si>
  <si>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</si>
  <si>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</si>
  <si>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</si>
  <si>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</si>
  <si>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</si>
  <si>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</si>
  <si>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</si>
  <si>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</si>
  <si>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</si>
  <si>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</si>
  <si>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</si>
  <si>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</si>
  <si>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</si>
  <si>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</si>
  <si>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</si>
  <si>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c-e</t>
  </si>
  <si>
    <t>f</t>
  </si>
  <si>
    <t>g-i</t>
  </si>
  <si>
    <t>j-k</t>
  </si>
  <si>
    <t>l-q</t>
  </si>
  <si>
    <t>industry</t>
  </si>
  <si>
    <t>import</t>
  </si>
  <si>
    <t>L_i</t>
  </si>
  <si>
    <t>period</t>
  </si>
  <si>
    <t>1999-2011</t>
  </si>
  <si>
    <t>2012-2019</t>
  </si>
  <si>
    <t>delta_M</t>
  </si>
  <si>
    <t>shock_i</t>
  </si>
  <si>
    <t>L_i0</t>
  </si>
  <si>
    <t>total_1999</t>
  </si>
  <si>
    <t>total_2012</t>
  </si>
  <si>
    <t>IPW (1999-2011)</t>
  </si>
  <si>
    <t>IPW (2012-2019)</t>
  </si>
  <si>
    <t>p2</t>
  </si>
  <si>
    <t>p1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</si>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</sst>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$-409]#,##0.00"/>
    <numFmt numFmtId="165" formatCode="0.0000"/>
    <numFmt numFmtId="168" formatCode="_-* #,##0_-;\-* #,##0_-;_-* &quot;-&quot;??_-;_-@_-"/>
    <numFmt numFmtId="169" formatCode="_-* #,##0.00\ _₽_-;\-* #,##0.00\ _₽_-;_-* &quot;-&quot;??\ _₽_-;_-@_-"/>
  </numFmts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/>
    <xf numFmtId="165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68" fontId="0" fillId="0" borderId="1" xfId="1" applyNumberFormat="1" applyFont="1" applyBorder="1" applyAlignment="1">
      <alignment horizontal="left"/>
    </xf>
    <xf numFmtId="43" fontId="0" fillId="0" borderId="1" xfId="1" applyFont="1" applyBorder="1" applyAlignment="1"/>
    <xf numFmtId="43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CC3D-EF4A-114F-8201-E2726EF41516}">
  <dimension ref="A1:D529"/>
  <sheetViews>
    <sheetView workbookViewId="0">
      <selection activeCell="K23" sqref="K23"/>
    </sheetView>
  </sheetViews>
  <sheetFormatPr baseColWidth="10" defaultRowHeight="16" x14ac:dyDescent="0.2"/>
  <cols>
    <col min="1" max="1" width="23.83203125" style="4" bestFit="1" customWidth="1"/>
    <col min="2" max="3" width="10.83203125" style="4"/>
    <col min="4" max="4" width="11.83203125" style="19" bestFit="1" customWidth="1"/>
  </cols>
  <sheetData>
    <row r="1" spans="1:4" s="8" customFormat="1" x14ac:dyDescent="0.2">
      <c r="A1" s="6" t="s">
        <v>0</v>
      </c>
      <c r="B1" s="6" t="s">
        <v>1</v>
      </c>
      <c r="C1" s="6" t="s">
        <v>30</v>
      </c>
      <c r="D1" s="18" t="s">
        <v>53</v>
      </c>
    </row>
    <row r="2" spans="1:4" x14ac:dyDescent="0.2">
      <c r="A2" s="4" t="s">
        <v>2</v>
      </c>
      <c r="B2" s="4">
        <v>1999</v>
      </c>
      <c r="C2" s="4" t="s">
        <v>3</v>
      </c>
      <c r="D2" s="19">
        <v>22600</v>
      </c>
    </row>
    <row r="3" spans="1:4" x14ac:dyDescent="0.2">
      <c r="A3" s="4" t="s">
        <v>4</v>
      </c>
      <c r="B3" s="4">
        <v>1999</v>
      </c>
      <c r="C3" s="4" t="s">
        <v>3</v>
      </c>
      <c r="D3" s="19">
        <v>53800</v>
      </c>
    </row>
    <row r="4" spans="1:4" x14ac:dyDescent="0.2">
      <c r="A4" s="4" t="s">
        <v>5</v>
      </c>
      <c r="B4" s="4">
        <v>1999</v>
      </c>
      <c r="C4" s="4" t="s">
        <v>3</v>
      </c>
      <c r="D4" s="19">
        <v>41100</v>
      </c>
    </row>
    <row r="5" spans="1:4" x14ac:dyDescent="0.2">
      <c r="A5" s="4" t="s">
        <v>6</v>
      </c>
      <c r="B5" s="4">
        <v>1999</v>
      </c>
      <c r="C5" s="4" t="s">
        <v>3</v>
      </c>
      <c r="D5" s="19">
        <v>20700</v>
      </c>
    </row>
    <row r="6" spans="1:4" x14ac:dyDescent="0.2">
      <c r="A6" s="4" t="s">
        <v>7</v>
      </c>
      <c r="B6" s="4">
        <v>1999</v>
      </c>
      <c r="C6" s="4" t="s">
        <v>3</v>
      </c>
      <c r="D6" s="19">
        <v>44700</v>
      </c>
    </row>
    <row r="7" spans="1:4" x14ac:dyDescent="0.2">
      <c r="A7" s="4" t="s">
        <v>8</v>
      </c>
      <c r="B7" s="4">
        <v>1999</v>
      </c>
      <c r="C7" s="4" t="s">
        <v>3</v>
      </c>
      <c r="D7" s="19">
        <v>16600</v>
      </c>
    </row>
    <row r="8" spans="1:4" x14ac:dyDescent="0.2">
      <c r="A8" s="4" t="s">
        <v>9</v>
      </c>
      <c r="B8" s="4">
        <v>1999</v>
      </c>
      <c r="C8" s="4" t="s">
        <v>3</v>
      </c>
      <c r="D8" s="19">
        <v>22100</v>
      </c>
    </row>
    <row r="9" spans="1:4" x14ac:dyDescent="0.2">
      <c r="A9" s="4" t="s">
        <v>10</v>
      </c>
      <c r="B9" s="4">
        <v>1999</v>
      </c>
      <c r="C9" s="4" t="s">
        <v>3</v>
      </c>
      <c r="D9" s="19">
        <v>25500</v>
      </c>
    </row>
    <row r="10" spans="1:4" x14ac:dyDescent="0.2">
      <c r="A10" s="4" t="s">
        <v>11</v>
      </c>
      <c r="B10" s="4">
        <v>1999</v>
      </c>
      <c r="C10" s="4" t="s">
        <v>3</v>
      </c>
      <c r="D10" s="19">
        <v>14000</v>
      </c>
    </row>
    <row r="11" spans="1:4" x14ac:dyDescent="0.2">
      <c r="A11" s="4" t="s">
        <v>12</v>
      </c>
      <c r="B11" s="4">
        <v>1999</v>
      </c>
      <c r="C11" s="4" t="s">
        <v>3</v>
      </c>
      <c r="D11" s="19">
        <v>39900</v>
      </c>
    </row>
    <row r="12" spans="1:4" x14ac:dyDescent="0.2">
      <c r="A12" s="4" t="s">
        <v>13</v>
      </c>
      <c r="B12" s="4">
        <v>1999</v>
      </c>
      <c r="C12" s="4" t="s">
        <v>3</v>
      </c>
      <c r="D12" s="19">
        <v>24700</v>
      </c>
    </row>
    <row r="13" spans="1:4" x14ac:dyDescent="0.2">
      <c r="A13" s="4" t="s">
        <v>14</v>
      </c>
      <c r="B13" s="4">
        <v>1999</v>
      </c>
      <c r="C13" s="4" t="s">
        <v>3</v>
      </c>
      <c r="D13" s="19">
        <v>83900</v>
      </c>
    </row>
    <row r="14" spans="1:4" x14ac:dyDescent="0.2">
      <c r="A14" s="4" t="s">
        <v>15</v>
      </c>
      <c r="B14" s="4">
        <v>1999</v>
      </c>
      <c r="C14" s="4" t="s">
        <v>3</v>
      </c>
      <c r="D14" s="19">
        <v>89800</v>
      </c>
    </row>
    <row r="15" spans="1:4" x14ac:dyDescent="0.2">
      <c r="A15" s="4" t="s">
        <v>16</v>
      </c>
      <c r="B15" s="4">
        <v>1999</v>
      </c>
      <c r="C15" s="4" t="s">
        <v>3</v>
      </c>
      <c r="D15" s="19">
        <v>85100</v>
      </c>
    </row>
    <row r="16" spans="1:4" x14ac:dyDescent="0.2">
      <c r="A16" s="4" t="s">
        <v>17</v>
      </c>
      <c r="B16" s="4">
        <v>1999</v>
      </c>
      <c r="C16" s="4" t="s">
        <v>3</v>
      </c>
      <c r="D16" s="19">
        <v>23100</v>
      </c>
    </row>
    <row r="17" spans="1:4" x14ac:dyDescent="0.2">
      <c r="A17" s="4" t="s">
        <v>18</v>
      </c>
      <c r="B17" s="4">
        <v>1999</v>
      </c>
      <c r="C17" s="4" t="s">
        <v>3</v>
      </c>
      <c r="D17" s="19">
        <v>53700</v>
      </c>
    </row>
    <row r="18" spans="1:4" x14ac:dyDescent="0.2">
      <c r="A18" s="4" t="s">
        <v>19</v>
      </c>
      <c r="B18" s="4">
        <v>1999</v>
      </c>
      <c r="C18" s="4" t="s">
        <v>3</v>
      </c>
      <c r="D18" s="19">
        <v>46300</v>
      </c>
    </row>
    <row r="19" spans="1:4" x14ac:dyDescent="0.2">
      <c r="A19" s="4" t="s">
        <v>20</v>
      </c>
      <c r="B19" s="4">
        <v>1999</v>
      </c>
      <c r="C19" s="4" t="s">
        <v>3</v>
      </c>
      <c r="D19" s="19">
        <v>64300</v>
      </c>
    </row>
    <row r="20" spans="1:4" x14ac:dyDescent="0.2">
      <c r="A20" s="4" t="s">
        <v>21</v>
      </c>
      <c r="B20" s="4">
        <v>1999</v>
      </c>
      <c r="C20" s="4" t="s">
        <v>3</v>
      </c>
      <c r="D20" s="19">
        <v>36400</v>
      </c>
    </row>
    <row r="21" spans="1:4" x14ac:dyDescent="0.2">
      <c r="A21" s="4" t="s">
        <v>22</v>
      </c>
      <c r="B21" s="4">
        <v>1999</v>
      </c>
      <c r="C21" s="4" t="s">
        <v>3</v>
      </c>
      <c r="D21" s="19">
        <v>75900</v>
      </c>
    </row>
    <row r="22" spans="1:4" x14ac:dyDescent="0.2">
      <c r="A22" s="4" t="s">
        <v>23</v>
      </c>
      <c r="B22" s="4">
        <v>1999</v>
      </c>
      <c r="C22" s="4" t="s">
        <v>3</v>
      </c>
      <c r="D22" s="19">
        <v>35600</v>
      </c>
    </row>
    <row r="23" spans="1:4" x14ac:dyDescent="0.2">
      <c r="A23" s="4" t="s">
        <v>24</v>
      </c>
      <c r="B23" s="4">
        <v>1999</v>
      </c>
      <c r="C23" s="4" t="s">
        <v>3</v>
      </c>
      <c r="D23" s="19">
        <v>0</v>
      </c>
    </row>
    <row r="24" spans="1:4" x14ac:dyDescent="0.2">
      <c r="A24" s="4" t="s">
        <v>2</v>
      </c>
      <c r="B24" s="4">
        <v>2011</v>
      </c>
      <c r="C24" s="4" t="s">
        <v>3</v>
      </c>
      <c r="D24" s="19">
        <v>12500</v>
      </c>
    </row>
    <row r="25" spans="1:4" x14ac:dyDescent="0.2">
      <c r="A25" s="4" t="s">
        <v>4</v>
      </c>
      <c r="B25" s="4">
        <v>2011</v>
      </c>
      <c r="C25" s="4" t="s">
        <v>3</v>
      </c>
      <c r="D25" s="19">
        <v>32299.999999999996</v>
      </c>
    </row>
    <row r="26" spans="1:4" x14ac:dyDescent="0.2">
      <c r="A26" s="4" t="s">
        <v>5</v>
      </c>
      <c r="B26" s="4">
        <v>2011</v>
      </c>
      <c r="C26" s="4" t="s">
        <v>3</v>
      </c>
      <c r="D26" s="19">
        <v>35700</v>
      </c>
    </row>
    <row r="27" spans="1:4" x14ac:dyDescent="0.2">
      <c r="A27" s="4" t="s">
        <v>6</v>
      </c>
      <c r="B27" s="4">
        <v>2011</v>
      </c>
      <c r="C27" s="4" t="s">
        <v>3</v>
      </c>
      <c r="D27" s="19">
        <v>18200</v>
      </c>
    </row>
    <row r="28" spans="1:4" x14ac:dyDescent="0.2">
      <c r="A28" s="4" t="s">
        <v>7</v>
      </c>
      <c r="B28" s="4">
        <v>2011</v>
      </c>
      <c r="C28" s="4" t="s">
        <v>3</v>
      </c>
      <c r="D28" s="19">
        <v>27800</v>
      </c>
    </row>
    <row r="29" spans="1:4" x14ac:dyDescent="0.2">
      <c r="A29" s="4" t="s">
        <v>8</v>
      </c>
      <c r="B29" s="4">
        <v>2011</v>
      </c>
      <c r="C29" s="4" t="s">
        <v>3</v>
      </c>
      <c r="D29" s="19">
        <v>14000</v>
      </c>
    </row>
    <row r="30" spans="1:4" x14ac:dyDescent="0.2">
      <c r="A30" s="4" t="s">
        <v>9</v>
      </c>
      <c r="B30" s="4">
        <v>2011</v>
      </c>
      <c r="C30" s="4" t="s">
        <v>3</v>
      </c>
      <c r="D30" s="19">
        <v>21400</v>
      </c>
    </row>
    <row r="31" spans="1:4" x14ac:dyDescent="0.2">
      <c r="A31" s="4" t="s">
        <v>10</v>
      </c>
      <c r="B31" s="4">
        <v>2011</v>
      </c>
      <c r="C31" s="4" t="s">
        <v>3</v>
      </c>
      <c r="D31" s="19">
        <v>23900</v>
      </c>
    </row>
    <row r="32" spans="1:4" x14ac:dyDescent="0.2">
      <c r="A32" s="4" t="s">
        <v>11</v>
      </c>
      <c r="B32" s="4">
        <v>2011</v>
      </c>
      <c r="C32" s="4" t="s">
        <v>3</v>
      </c>
      <c r="D32" s="19">
        <v>8100</v>
      </c>
    </row>
    <row r="33" spans="1:4" x14ac:dyDescent="0.2">
      <c r="A33" s="4" t="s">
        <v>12</v>
      </c>
      <c r="B33" s="4">
        <v>2011</v>
      </c>
      <c r="C33" s="4" t="s">
        <v>3</v>
      </c>
      <c r="D33" s="19">
        <v>35700</v>
      </c>
    </row>
    <row r="34" spans="1:4" x14ac:dyDescent="0.2">
      <c r="A34" s="4" t="s">
        <v>13</v>
      </c>
      <c r="B34" s="4">
        <v>2011</v>
      </c>
      <c r="C34" s="4" t="s">
        <v>3</v>
      </c>
      <c r="D34" s="19">
        <v>15800</v>
      </c>
    </row>
    <row r="35" spans="1:4" x14ac:dyDescent="0.2">
      <c r="A35" s="4" t="s">
        <v>14</v>
      </c>
      <c r="B35" s="4">
        <v>2011</v>
      </c>
      <c r="C35" s="4" t="s">
        <v>3</v>
      </c>
      <c r="D35" s="19">
        <v>56600</v>
      </c>
    </row>
    <row r="36" spans="1:4" x14ac:dyDescent="0.2">
      <c r="A36" s="4" t="s">
        <v>15</v>
      </c>
      <c r="B36" s="4">
        <v>2011</v>
      </c>
      <c r="C36" s="4" t="s">
        <v>3</v>
      </c>
      <c r="D36" s="19">
        <v>72000</v>
      </c>
    </row>
    <row r="37" spans="1:4" x14ac:dyDescent="0.2">
      <c r="A37" s="4" t="s">
        <v>16</v>
      </c>
      <c r="B37" s="4">
        <v>2011</v>
      </c>
      <c r="C37" s="4" t="s">
        <v>3</v>
      </c>
      <c r="D37" s="19">
        <v>60100</v>
      </c>
    </row>
    <row r="38" spans="1:4" x14ac:dyDescent="0.2">
      <c r="A38" s="4" t="s">
        <v>17</v>
      </c>
      <c r="B38" s="4">
        <v>2011</v>
      </c>
      <c r="C38" s="4" t="s">
        <v>3</v>
      </c>
      <c r="D38" s="19">
        <v>14600</v>
      </c>
    </row>
    <row r="39" spans="1:4" x14ac:dyDescent="0.2">
      <c r="A39" s="4" t="s">
        <v>18</v>
      </c>
      <c r="B39" s="4">
        <v>2011</v>
      </c>
      <c r="C39" s="4" t="s">
        <v>3</v>
      </c>
      <c r="D39" s="19">
        <v>30600</v>
      </c>
    </row>
    <row r="40" spans="1:4" x14ac:dyDescent="0.2">
      <c r="A40" s="4" t="s">
        <v>19</v>
      </c>
      <c r="B40" s="4">
        <v>2011</v>
      </c>
      <c r="C40" s="4" t="s">
        <v>3</v>
      </c>
      <c r="D40" s="19">
        <v>31500</v>
      </c>
    </row>
    <row r="41" spans="1:4" x14ac:dyDescent="0.2">
      <c r="A41" s="4" t="s">
        <v>20</v>
      </c>
      <c r="B41" s="4">
        <v>2011</v>
      </c>
      <c r="C41" s="4" t="s">
        <v>3</v>
      </c>
      <c r="D41" s="19">
        <v>50100</v>
      </c>
    </row>
    <row r="42" spans="1:4" x14ac:dyDescent="0.2">
      <c r="A42" s="4" t="s">
        <v>21</v>
      </c>
      <c r="B42" s="4">
        <v>2011</v>
      </c>
      <c r="C42" s="4" t="s">
        <v>3</v>
      </c>
      <c r="D42" s="19">
        <v>45900</v>
      </c>
    </row>
    <row r="43" spans="1:4" x14ac:dyDescent="0.2">
      <c r="A43" s="4" t="s">
        <v>22</v>
      </c>
      <c r="B43" s="4">
        <v>2011</v>
      </c>
      <c r="C43" s="4" t="s">
        <v>3</v>
      </c>
      <c r="D43" s="19">
        <v>72300</v>
      </c>
    </row>
    <row r="44" spans="1:4" x14ac:dyDescent="0.2">
      <c r="A44" s="4" t="s">
        <v>23</v>
      </c>
      <c r="B44" s="4">
        <v>2011</v>
      </c>
      <c r="C44" s="4" t="s">
        <v>3</v>
      </c>
      <c r="D44" s="19">
        <v>43300</v>
      </c>
    </row>
    <row r="45" spans="1:4" x14ac:dyDescent="0.2">
      <c r="A45" s="4" t="s">
        <v>24</v>
      </c>
      <c r="B45" s="4">
        <v>2011</v>
      </c>
      <c r="C45" s="4" t="s">
        <v>3</v>
      </c>
      <c r="D45" s="19">
        <v>0</v>
      </c>
    </row>
    <row r="46" spans="1:4" x14ac:dyDescent="0.2">
      <c r="A46" s="4" t="s">
        <v>2</v>
      </c>
      <c r="B46" s="4">
        <v>1999</v>
      </c>
      <c r="C46" s="4" t="s">
        <v>25</v>
      </c>
      <c r="D46" s="19">
        <v>700800</v>
      </c>
    </row>
    <row r="47" spans="1:4" x14ac:dyDescent="0.2">
      <c r="A47" s="4" t="s">
        <v>4</v>
      </c>
      <c r="B47" s="4">
        <v>1999</v>
      </c>
      <c r="C47" s="4" t="s">
        <v>25</v>
      </c>
      <c r="D47" s="19">
        <v>233500</v>
      </c>
    </row>
    <row r="48" spans="1:4" x14ac:dyDescent="0.2">
      <c r="A48" s="4" t="s">
        <v>5</v>
      </c>
      <c r="B48" s="4">
        <v>1999</v>
      </c>
      <c r="C48" s="4" t="s">
        <v>25</v>
      </c>
      <c r="D48" s="19">
        <v>150400</v>
      </c>
    </row>
    <row r="49" spans="1:4" x14ac:dyDescent="0.2">
      <c r="A49" s="4" t="s">
        <v>6</v>
      </c>
      <c r="B49" s="4">
        <v>1999</v>
      </c>
      <c r="C49" s="4" t="s">
        <v>25</v>
      </c>
      <c r="D49" s="19">
        <v>143900</v>
      </c>
    </row>
    <row r="50" spans="1:4" x14ac:dyDescent="0.2">
      <c r="A50" s="4" t="s">
        <v>7</v>
      </c>
      <c r="B50" s="4">
        <v>1999</v>
      </c>
      <c r="C50" s="4" t="s">
        <v>25</v>
      </c>
      <c r="D50" s="19">
        <v>97400</v>
      </c>
    </row>
    <row r="51" spans="1:4" x14ac:dyDescent="0.2">
      <c r="A51" s="4" t="s">
        <v>8</v>
      </c>
      <c r="B51" s="4">
        <v>1999</v>
      </c>
      <c r="C51" s="4" t="s">
        <v>25</v>
      </c>
      <c r="D51" s="19">
        <v>174400</v>
      </c>
    </row>
    <row r="52" spans="1:4" x14ac:dyDescent="0.2">
      <c r="A52" s="4" t="s">
        <v>9</v>
      </c>
      <c r="B52" s="4">
        <v>1999</v>
      </c>
      <c r="C52" s="4" t="s">
        <v>25</v>
      </c>
      <c r="D52" s="19">
        <v>304900</v>
      </c>
    </row>
    <row r="53" spans="1:4" x14ac:dyDescent="0.2">
      <c r="A53" s="4" t="s">
        <v>10</v>
      </c>
      <c r="B53" s="4">
        <v>1999</v>
      </c>
      <c r="C53" s="4" t="s">
        <v>25</v>
      </c>
      <c r="D53" s="19">
        <v>168700</v>
      </c>
    </row>
    <row r="54" spans="1:4" x14ac:dyDescent="0.2">
      <c r="A54" s="4" t="s">
        <v>11</v>
      </c>
      <c r="B54" s="4">
        <v>1999</v>
      </c>
      <c r="C54" s="4" t="s">
        <v>25</v>
      </c>
      <c r="D54" s="19">
        <v>216600</v>
      </c>
    </row>
    <row r="55" spans="1:4" x14ac:dyDescent="0.2">
      <c r="A55" s="4" t="s">
        <v>12</v>
      </c>
      <c r="B55" s="4">
        <v>1999</v>
      </c>
      <c r="C55" s="4" t="s">
        <v>25</v>
      </c>
      <c r="D55" s="19">
        <v>103000</v>
      </c>
    </row>
    <row r="56" spans="1:4" x14ac:dyDescent="0.2">
      <c r="A56" s="4" t="s">
        <v>13</v>
      </c>
      <c r="B56" s="4">
        <v>1999</v>
      </c>
      <c r="C56" s="4" t="s">
        <v>25</v>
      </c>
      <c r="D56" s="19">
        <v>211600</v>
      </c>
    </row>
    <row r="57" spans="1:4" x14ac:dyDescent="0.2">
      <c r="A57" s="4" t="s">
        <v>14</v>
      </c>
      <c r="B57" s="4">
        <v>1999</v>
      </c>
      <c r="C57" s="4" t="s">
        <v>25</v>
      </c>
      <c r="D57" s="19">
        <v>326900</v>
      </c>
    </row>
    <row r="58" spans="1:4" x14ac:dyDescent="0.2">
      <c r="A58" s="4" t="s">
        <v>15</v>
      </c>
      <c r="B58" s="4">
        <v>1999</v>
      </c>
      <c r="C58" s="4" t="s">
        <v>25</v>
      </c>
      <c r="D58" s="19">
        <v>240100</v>
      </c>
    </row>
    <row r="59" spans="1:4" x14ac:dyDescent="0.2">
      <c r="A59" s="4" t="s">
        <v>16</v>
      </c>
      <c r="B59" s="4">
        <v>1999</v>
      </c>
      <c r="C59" s="4" t="s">
        <v>25</v>
      </c>
      <c r="D59" s="19">
        <v>172000</v>
      </c>
    </row>
    <row r="60" spans="1:4" x14ac:dyDescent="0.2">
      <c r="A60" s="4" t="s">
        <v>17</v>
      </c>
      <c r="B60" s="4">
        <v>1999</v>
      </c>
      <c r="C60" s="4" t="s">
        <v>25</v>
      </c>
      <c r="D60" s="19">
        <v>46500</v>
      </c>
    </row>
    <row r="61" spans="1:4" x14ac:dyDescent="0.2">
      <c r="A61" s="4" t="s">
        <v>18</v>
      </c>
      <c r="B61" s="4">
        <v>1999</v>
      </c>
      <c r="C61" s="4" t="s">
        <v>25</v>
      </c>
      <c r="D61" s="19">
        <v>125700</v>
      </c>
    </row>
    <row r="62" spans="1:4" x14ac:dyDescent="0.2">
      <c r="A62" s="4" t="s">
        <v>19</v>
      </c>
      <c r="B62" s="4">
        <v>1999</v>
      </c>
      <c r="C62" s="4" t="s">
        <v>25</v>
      </c>
      <c r="D62" s="19">
        <v>73900</v>
      </c>
    </row>
    <row r="63" spans="1:4" x14ac:dyDescent="0.2">
      <c r="A63" s="4" t="s">
        <v>20</v>
      </c>
      <c r="B63" s="4">
        <v>1999</v>
      </c>
      <c r="C63" s="4" t="s">
        <v>25</v>
      </c>
      <c r="D63" s="19">
        <v>164000</v>
      </c>
    </row>
    <row r="64" spans="1:4" x14ac:dyDescent="0.2">
      <c r="A64" s="4" t="s">
        <v>21</v>
      </c>
      <c r="B64" s="4">
        <v>1999</v>
      </c>
      <c r="C64" s="4" t="s">
        <v>25</v>
      </c>
      <c r="D64" s="19">
        <v>98700</v>
      </c>
    </row>
    <row r="65" spans="1:4" x14ac:dyDescent="0.2">
      <c r="A65" s="4" t="s">
        <v>22</v>
      </c>
      <c r="B65" s="4">
        <v>1999</v>
      </c>
      <c r="C65" s="4" t="s">
        <v>25</v>
      </c>
      <c r="D65" s="19">
        <v>522799.99999999994</v>
      </c>
    </row>
    <row r="66" spans="1:4" x14ac:dyDescent="0.2">
      <c r="A66" s="4" t="s">
        <v>23</v>
      </c>
      <c r="B66" s="4">
        <v>1999</v>
      </c>
      <c r="C66" s="4" t="s">
        <v>25</v>
      </c>
      <c r="D66" s="19">
        <v>187700</v>
      </c>
    </row>
    <row r="67" spans="1:4" x14ac:dyDescent="0.2">
      <c r="A67" s="4" t="s">
        <v>24</v>
      </c>
      <c r="B67" s="4">
        <v>1999</v>
      </c>
      <c r="C67" s="4" t="s">
        <v>25</v>
      </c>
      <c r="D67" s="19">
        <v>0</v>
      </c>
    </row>
    <row r="68" spans="1:4" x14ac:dyDescent="0.2">
      <c r="A68" s="4" t="s">
        <v>2</v>
      </c>
      <c r="B68" s="4">
        <v>2011</v>
      </c>
      <c r="C68" s="4" t="s">
        <v>25</v>
      </c>
      <c r="D68" s="19">
        <v>496200</v>
      </c>
    </row>
    <row r="69" spans="1:4" x14ac:dyDescent="0.2">
      <c r="A69" s="4" t="s">
        <v>4</v>
      </c>
      <c r="B69" s="4">
        <v>2011</v>
      </c>
      <c r="C69" s="4" t="s">
        <v>25</v>
      </c>
      <c r="D69" s="19">
        <v>176000</v>
      </c>
    </row>
    <row r="70" spans="1:4" x14ac:dyDescent="0.2">
      <c r="A70" s="4" t="s">
        <v>5</v>
      </c>
      <c r="B70" s="4">
        <v>2011</v>
      </c>
      <c r="C70" s="4" t="s">
        <v>25</v>
      </c>
      <c r="D70" s="19">
        <v>97800</v>
      </c>
    </row>
    <row r="71" spans="1:4" x14ac:dyDescent="0.2">
      <c r="A71" s="4" t="s">
        <v>6</v>
      </c>
      <c r="B71" s="4">
        <v>2011</v>
      </c>
      <c r="C71" s="4" t="s">
        <v>25</v>
      </c>
      <c r="D71" s="19">
        <v>124900</v>
      </c>
    </row>
    <row r="72" spans="1:4" x14ac:dyDescent="0.2">
      <c r="A72" s="4" t="s">
        <v>7</v>
      </c>
      <c r="B72" s="4">
        <v>2011</v>
      </c>
      <c r="C72" s="4" t="s">
        <v>25</v>
      </c>
      <c r="D72" s="19">
        <v>93000</v>
      </c>
    </row>
    <row r="73" spans="1:4" x14ac:dyDescent="0.2">
      <c r="A73" s="4" t="s">
        <v>8</v>
      </c>
      <c r="B73" s="4">
        <v>2011</v>
      </c>
      <c r="C73" s="4" t="s">
        <v>25</v>
      </c>
      <c r="D73" s="19">
        <v>146300</v>
      </c>
    </row>
    <row r="74" spans="1:4" x14ac:dyDescent="0.2">
      <c r="A74" s="4" t="s">
        <v>9</v>
      </c>
      <c r="B74" s="4">
        <v>2011</v>
      </c>
      <c r="C74" s="4" t="s">
        <v>25</v>
      </c>
      <c r="D74" s="19">
        <v>255100</v>
      </c>
    </row>
    <row r="75" spans="1:4" x14ac:dyDescent="0.2">
      <c r="A75" s="4" t="s">
        <v>10</v>
      </c>
      <c r="B75" s="4">
        <v>2011</v>
      </c>
      <c r="C75" s="4" t="s">
        <v>25</v>
      </c>
      <c r="D75" s="19">
        <v>142800</v>
      </c>
    </row>
    <row r="76" spans="1:4" x14ac:dyDescent="0.2">
      <c r="A76" s="4" t="s">
        <v>11</v>
      </c>
      <c r="B76" s="4">
        <v>2011</v>
      </c>
      <c r="C76" s="4" t="s">
        <v>25</v>
      </c>
      <c r="D76" s="19">
        <v>173700</v>
      </c>
    </row>
    <row r="77" spans="1:4" x14ac:dyDescent="0.2">
      <c r="A77" s="4" t="s">
        <v>12</v>
      </c>
      <c r="B77" s="4">
        <v>2011</v>
      </c>
      <c r="C77" s="4" t="s">
        <v>25</v>
      </c>
      <c r="D77" s="19">
        <v>106500</v>
      </c>
    </row>
    <row r="78" spans="1:4" x14ac:dyDescent="0.2">
      <c r="A78" s="4" t="s">
        <v>13</v>
      </c>
      <c r="B78" s="4">
        <v>2011</v>
      </c>
      <c r="C78" s="4" t="s">
        <v>25</v>
      </c>
      <c r="D78" s="19">
        <v>179900</v>
      </c>
    </row>
    <row r="79" spans="1:4" x14ac:dyDescent="0.2">
      <c r="A79" s="4" t="s">
        <v>14</v>
      </c>
      <c r="B79" s="4">
        <v>2011</v>
      </c>
      <c r="C79" s="4" t="s">
        <v>25</v>
      </c>
      <c r="D79" s="19">
        <v>276800</v>
      </c>
    </row>
    <row r="80" spans="1:4" x14ac:dyDescent="0.2">
      <c r="A80" s="4" t="s">
        <v>15</v>
      </c>
      <c r="B80" s="4">
        <v>2011</v>
      </c>
      <c r="C80" s="4" t="s">
        <v>25</v>
      </c>
      <c r="D80" s="19">
        <v>205500</v>
      </c>
    </row>
    <row r="81" spans="1:4" x14ac:dyDescent="0.2">
      <c r="A81" s="4" t="s">
        <v>16</v>
      </c>
      <c r="B81" s="4">
        <v>2011</v>
      </c>
      <c r="C81" s="4" t="s">
        <v>25</v>
      </c>
      <c r="D81" s="19">
        <v>156100</v>
      </c>
    </row>
    <row r="82" spans="1:4" x14ac:dyDescent="0.2">
      <c r="A82" s="4" t="s">
        <v>17</v>
      </c>
      <c r="B82" s="4">
        <v>2011</v>
      </c>
      <c r="C82" s="4" t="s">
        <v>25</v>
      </c>
      <c r="D82" s="19">
        <v>46200</v>
      </c>
    </row>
    <row r="83" spans="1:4" x14ac:dyDescent="0.2">
      <c r="A83" s="4" t="s">
        <v>18</v>
      </c>
      <c r="B83" s="4">
        <v>2011</v>
      </c>
      <c r="C83" s="4" t="s">
        <v>25</v>
      </c>
      <c r="D83" s="19">
        <v>119600</v>
      </c>
    </row>
    <row r="84" spans="1:4" x14ac:dyDescent="0.2">
      <c r="A84" s="4" t="s">
        <v>19</v>
      </c>
      <c r="B84" s="4">
        <v>2011</v>
      </c>
      <c r="C84" s="4" t="s">
        <v>25</v>
      </c>
      <c r="D84" s="19">
        <v>95400</v>
      </c>
    </row>
    <row r="85" spans="1:4" x14ac:dyDescent="0.2">
      <c r="A85" s="4" t="s">
        <v>20</v>
      </c>
      <c r="B85" s="4">
        <v>2011</v>
      </c>
      <c r="C85" s="4" t="s">
        <v>25</v>
      </c>
      <c r="D85" s="19">
        <v>158300</v>
      </c>
    </row>
    <row r="86" spans="1:4" x14ac:dyDescent="0.2">
      <c r="A86" s="4" t="s">
        <v>21</v>
      </c>
      <c r="B86" s="4">
        <v>2011</v>
      </c>
      <c r="C86" s="4" t="s">
        <v>25</v>
      </c>
      <c r="D86" s="19">
        <v>94700</v>
      </c>
    </row>
    <row r="87" spans="1:4" x14ac:dyDescent="0.2">
      <c r="A87" s="4" t="s">
        <v>22</v>
      </c>
      <c r="B87" s="4">
        <v>2011</v>
      </c>
      <c r="C87" s="4" t="s">
        <v>25</v>
      </c>
      <c r="D87" s="19">
        <v>455900</v>
      </c>
    </row>
    <row r="88" spans="1:4" x14ac:dyDescent="0.2">
      <c r="A88" s="4" t="s">
        <v>23</v>
      </c>
      <c r="B88" s="4">
        <v>2011</v>
      </c>
      <c r="C88" s="4" t="s">
        <v>25</v>
      </c>
      <c r="D88" s="19">
        <v>181400</v>
      </c>
    </row>
    <row r="89" spans="1:4" x14ac:dyDescent="0.2">
      <c r="A89" s="4" t="s">
        <v>24</v>
      </c>
      <c r="B89" s="4">
        <v>2011</v>
      </c>
      <c r="C89" s="4" t="s">
        <v>25</v>
      </c>
      <c r="D89" s="19">
        <v>9100</v>
      </c>
    </row>
    <row r="90" spans="1:4" x14ac:dyDescent="0.2">
      <c r="A90" s="4" t="s">
        <v>2</v>
      </c>
      <c r="B90" s="4">
        <v>1999</v>
      </c>
      <c r="C90" s="4" t="s">
        <v>26</v>
      </c>
      <c r="D90" s="19">
        <v>250900</v>
      </c>
    </row>
    <row r="91" spans="1:4" x14ac:dyDescent="0.2">
      <c r="A91" s="4" t="s">
        <v>4</v>
      </c>
      <c r="B91" s="4">
        <v>1999</v>
      </c>
      <c r="C91" s="4" t="s">
        <v>26</v>
      </c>
      <c r="D91" s="19">
        <v>54500</v>
      </c>
    </row>
    <row r="92" spans="1:4" x14ac:dyDescent="0.2">
      <c r="A92" s="4" t="s">
        <v>5</v>
      </c>
      <c r="B92" s="4">
        <v>1999</v>
      </c>
      <c r="C92" s="4" t="s">
        <v>26</v>
      </c>
      <c r="D92" s="19">
        <v>37100</v>
      </c>
    </row>
    <row r="93" spans="1:4" x14ac:dyDescent="0.2">
      <c r="A93" s="4" t="s">
        <v>6</v>
      </c>
      <c r="B93" s="4">
        <v>1999</v>
      </c>
      <c r="C93" s="4" t="s">
        <v>26</v>
      </c>
      <c r="D93" s="19">
        <v>26200</v>
      </c>
    </row>
    <row r="94" spans="1:4" x14ac:dyDescent="0.2">
      <c r="A94" s="4" t="s">
        <v>7</v>
      </c>
      <c r="B94" s="4">
        <v>1999</v>
      </c>
      <c r="C94" s="4" t="s">
        <v>26</v>
      </c>
      <c r="D94" s="19">
        <v>31600</v>
      </c>
    </row>
    <row r="95" spans="1:4" x14ac:dyDescent="0.2">
      <c r="A95" s="4" t="s">
        <v>8</v>
      </c>
      <c r="B95" s="4">
        <v>1999</v>
      </c>
      <c r="C95" s="4" t="s">
        <v>26</v>
      </c>
      <c r="D95" s="19">
        <v>56500</v>
      </c>
    </row>
    <row r="96" spans="1:4" x14ac:dyDescent="0.2">
      <c r="A96" s="4" t="s">
        <v>9</v>
      </c>
      <c r="B96" s="4">
        <v>1999</v>
      </c>
      <c r="C96" s="4" t="s">
        <v>26</v>
      </c>
      <c r="D96" s="19">
        <v>82100</v>
      </c>
    </row>
    <row r="97" spans="1:4" x14ac:dyDescent="0.2">
      <c r="A97" s="4" t="s">
        <v>10</v>
      </c>
      <c r="B97" s="4">
        <v>1999</v>
      </c>
      <c r="C97" s="4" t="s">
        <v>26</v>
      </c>
      <c r="D97" s="19">
        <v>44200</v>
      </c>
    </row>
    <row r="98" spans="1:4" x14ac:dyDescent="0.2">
      <c r="A98" s="4" t="s">
        <v>11</v>
      </c>
      <c r="B98" s="4">
        <v>1999</v>
      </c>
      <c r="C98" s="4" t="s">
        <v>26</v>
      </c>
      <c r="D98" s="19">
        <v>58400</v>
      </c>
    </row>
    <row r="99" spans="1:4" x14ac:dyDescent="0.2">
      <c r="A99" s="4" t="s">
        <v>12</v>
      </c>
      <c r="B99" s="4">
        <v>1999</v>
      </c>
      <c r="C99" s="4" t="s">
        <v>26</v>
      </c>
      <c r="D99" s="19">
        <v>30200</v>
      </c>
    </row>
    <row r="100" spans="1:4" x14ac:dyDescent="0.2">
      <c r="A100" s="4" t="s">
        <v>13</v>
      </c>
      <c r="B100" s="4">
        <v>1999</v>
      </c>
      <c r="C100" s="4" t="s">
        <v>26</v>
      </c>
      <c r="D100" s="19">
        <v>66000</v>
      </c>
    </row>
    <row r="101" spans="1:4" x14ac:dyDescent="0.2">
      <c r="A101" s="4" t="s">
        <v>14</v>
      </c>
      <c r="B101" s="4">
        <v>1999</v>
      </c>
      <c r="C101" s="4" t="s">
        <v>26</v>
      </c>
      <c r="D101" s="19">
        <v>89100</v>
      </c>
    </row>
    <row r="102" spans="1:4" x14ac:dyDescent="0.2">
      <c r="A102" s="4" t="s">
        <v>15</v>
      </c>
      <c r="B102" s="4">
        <v>1999</v>
      </c>
      <c r="C102" s="4" t="s">
        <v>26</v>
      </c>
      <c r="D102" s="19">
        <v>75600</v>
      </c>
    </row>
    <row r="103" spans="1:4" x14ac:dyDescent="0.2">
      <c r="A103" s="4" t="s">
        <v>16</v>
      </c>
      <c r="B103" s="4">
        <v>1999</v>
      </c>
      <c r="C103" s="4" t="s">
        <v>26</v>
      </c>
      <c r="D103" s="19">
        <v>79300</v>
      </c>
    </row>
    <row r="104" spans="1:4" x14ac:dyDescent="0.2">
      <c r="A104" s="4" t="s">
        <v>17</v>
      </c>
      <c r="B104" s="4">
        <v>1999</v>
      </c>
      <c r="C104" s="4" t="s">
        <v>26</v>
      </c>
      <c r="D104" s="19">
        <v>16700</v>
      </c>
    </row>
    <row r="105" spans="1:4" x14ac:dyDescent="0.2">
      <c r="A105" s="4" t="s">
        <v>18</v>
      </c>
      <c r="B105" s="4">
        <v>1999</v>
      </c>
      <c r="C105" s="4" t="s">
        <v>26</v>
      </c>
      <c r="D105" s="19">
        <v>39900</v>
      </c>
    </row>
    <row r="106" spans="1:4" x14ac:dyDescent="0.2">
      <c r="A106" s="4" t="s">
        <v>19</v>
      </c>
      <c r="B106" s="4">
        <v>1999</v>
      </c>
      <c r="C106" s="4" t="s">
        <v>26</v>
      </c>
      <c r="D106" s="19">
        <v>53800</v>
      </c>
    </row>
    <row r="107" spans="1:4" x14ac:dyDescent="0.2">
      <c r="A107" s="4" t="s">
        <v>20</v>
      </c>
      <c r="B107" s="4">
        <v>1999</v>
      </c>
      <c r="C107" s="4" t="s">
        <v>26</v>
      </c>
      <c r="D107" s="19">
        <v>60800</v>
      </c>
    </row>
    <row r="108" spans="1:4" x14ac:dyDescent="0.2">
      <c r="A108" s="4" t="s">
        <v>21</v>
      </c>
      <c r="B108" s="4">
        <v>1999</v>
      </c>
      <c r="C108" s="4" t="s">
        <v>26</v>
      </c>
      <c r="D108" s="19">
        <v>31200</v>
      </c>
    </row>
    <row r="109" spans="1:4" x14ac:dyDescent="0.2">
      <c r="A109" s="4" t="s">
        <v>22</v>
      </c>
      <c r="B109" s="4">
        <v>1999</v>
      </c>
      <c r="C109" s="4" t="s">
        <v>26</v>
      </c>
      <c r="D109" s="19">
        <v>139800</v>
      </c>
    </row>
    <row r="110" spans="1:4" x14ac:dyDescent="0.2">
      <c r="A110" s="4" t="s">
        <v>23</v>
      </c>
      <c r="B110" s="4">
        <v>1999</v>
      </c>
      <c r="C110" s="4" t="s">
        <v>26</v>
      </c>
      <c r="D110" s="19">
        <v>111100</v>
      </c>
    </row>
    <row r="111" spans="1:4" x14ac:dyDescent="0.2">
      <c r="A111" s="4" t="s">
        <v>24</v>
      </c>
      <c r="B111" s="4">
        <v>1999</v>
      </c>
      <c r="C111" s="4" t="s">
        <v>26</v>
      </c>
      <c r="D111" s="19">
        <v>0</v>
      </c>
    </row>
    <row r="112" spans="1:4" x14ac:dyDescent="0.2">
      <c r="A112" s="4" t="s">
        <v>2</v>
      </c>
      <c r="B112" s="4">
        <v>2011</v>
      </c>
      <c r="C112" s="4" t="s">
        <v>26</v>
      </c>
      <c r="D112" s="19">
        <v>296800</v>
      </c>
    </row>
    <row r="113" spans="1:4" x14ac:dyDescent="0.2">
      <c r="A113" s="4" t="s">
        <v>4</v>
      </c>
      <c r="B113" s="4">
        <v>2011</v>
      </c>
      <c r="C113" s="4" t="s">
        <v>26</v>
      </c>
      <c r="D113" s="19">
        <v>74900</v>
      </c>
    </row>
    <row r="114" spans="1:4" x14ac:dyDescent="0.2">
      <c r="A114" s="4" t="s">
        <v>5</v>
      </c>
      <c r="B114" s="4">
        <v>2011</v>
      </c>
      <c r="C114" s="4" t="s">
        <v>26</v>
      </c>
      <c r="D114" s="19">
        <v>45100</v>
      </c>
    </row>
    <row r="115" spans="1:4" x14ac:dyDescent="0.2">
      <c r="A115" s="4" t="s">
        <v>6</v>
      </c>
      <c r="B115" s="4">
        <v>2011</v>
      </c>
      <c r="C115" s="4" t="s">
        <v>26</v>
      </c>
      <c r="D115" s="19">
        <v>35300</v>
      </c>
    </row>
    <row r="116" spans="1:4" x14ac:dyDescent="0.2">
      <c r="A116" s="4" t="s">
        <v>7</v>
      </c>
      <c r="B116" s="4">
        <v>2011</v>
      </c>
      <c r="C116" s="4" t="s">
        <v>26</v>
      </c>
      <c r="D116" s="19">
        <v>44900</v>
      </c>
    </row>
    <row r="117" spans="1:4" x14ac:dyDescent="0.2">
      <c r="A117" s="4" t="s">
        <v>8</v>
      </c>
      <c r="B117" s="4">
        <v>2011</v>
      </c>
      <c r="C117" s="4" t="s">
        <v>26</v>
      </c>
      <c r="D117" s="19">
        <v>64300</v>
      </c>
    </row>
    <row r="118" spans="1:4" x14ac:dyDescent="0.2">
      <c r="A118" s="4" t="s">
        <v>9</v>
      </c>
      <c r="B118" s="4">
        <v>2011</v>
      </c>
      <c r="C118" s="4" t="s">
        <v>26</v>
      </c>
      <c r="D118" s="19">
        <v>111000</v>
      </c>
    </row>
    <row r="119" spans="1:4" x14ac:dyDescent="0.2">
      <c r="A119" s="4" t="s">
        <v>10</v>
      </c>
      <c r="B119" s="4">
        <v>2011</v>
      </c>
      <c r="C119" s="4" t="s">
        <v>26</v>
      </c>
      <c r="D119" s="19">
        <v>64500</v>
      </c>
    </row>
    <row r="120" spans="1:4" x14ac:dyDescent="0.2">
      <c r="A120" s="4" t="s">
        <v>11</v>
      </c>
      <c r="B120" s="4">
        <v>2011</v>
      </c>
      <c r="C120" s="4" t="s">
        <v>26</v>
      </c>
      <c r="D120" s="19">
        <v>64700</v>
      </c>
    </row>
    <row r="121" spans="1:4" x14ac:dyDescent="0.2">
      <c r="A121" s="4" t="s">
        <v>12</v>
      </c>
      <c r="B121" s="4">
        <v>2011</v>
      </c>
      <c r="C121" s="4" t="s">
        <v>26</v>
      </c>
      <c r="D121" s="19">
        <v>34800</v>
      </c>
    </row>
    <row r="122" spans="1:4" x14ac:dyDescent="0.2">
      <c r="A122" s="4" t="s">
        <v>13</v>
      </c>
      <c r="B122" s="4">
        <v>2011</v>
      </c>
      <c r="C122" s="4" t="s">
        <v>26</v>
      </c>
      <c r="D122" s="19">
        <v>73300</v>
      </c>
    </row>
    <row r="123" spans="1:4" x14ac:dyDescent="0.2">
      <c r="A123" s="4" t="s">
        <v>14</v>
      </c>
      <c r="B123" s="4">
        <v>2011</v>
      </c>
      <c r="C123" s="4" t="s">
        <v>26</v>
      </c>
      <c r="D123" s="19">
        <v>123900</v>
      </c>
    </row>
    <row r="124" spans="1:4" x14ac:dyDescent="0.2">
      <c r="A124" s="4" t="s">
        <v>15</v>
      </c>
      <c r="B124" s="4">
        <v>2011</v>
      </c>
      <c r="C124" s="4" t="s">
        <v>26</v>
      </c>
      <c r="D124" s="19">
        <v>93300</v>
      </c>
    </row>
    <row r="125" spans="1:4" x14ac:dyDescent="0.2">
      <c r="A125" s="4" t="s">
        <v>16</v>
      </c>
      <c r="B125" s="4">
        <v>2011</v>
      </c>
      <c r="C125" s="4" t="s">
        <v>26</v>
      </c>
      <c r="D125" s="19">
        <v>112100</v>
      </c>
    </row>
    <row r="126" spans="1:4" x14ac:dyDescent="0.2">
      <c r="A126" s="4" t="s">
        <v>17</v>
      </c>
      <c r="B126" s="4">
        <v>2011</v>
      </c>
      <c r="C126" s="4" t="s">
        <v>26</v>
      </c>
      <c r="D126" s="19">
        <v>18900</v>
      </c>
    </row>
    <row r="127" spans="1:4" x14ac:dyDescent="0.2">
      <c r="A127" s="4" t="s">
        <v>18</v>
      </c>
      <c r="B127" s="4">
        <v>2011</v>
      </c>
      <c r="C127" s="4" t="s">
        <v>26</v>
      </c>
      <c r="D127" s="19">
        <v>55700</v>
      </c>
    </row>
    <row r="128" spans="1:4" x14ac:dyDescent="0.2">
      <c r="A128" s="4" t="s">
        <v>19</v>
      </c>
      <c r="B128" s="4">
        <v>2011</v>
      </c>
      <c r="C128" s="4" t="s">
        <v>26</v>
      </c>
      <c r="D128" s="19">
        <v>73400</v>
      </c>
    </row>
    <row r="129" spans="1:4" x14ac:dyDescent="0.2">
      <c r="A129" s="4" t="s">
        <v>20</v>
      </c>
      <c r="B129" s="4">
        <v>2011</v>
      </c>
      <c r="C129" s="4" t="s">
        <v>26</v>
      </c>
      <c r="D129" s="19">
        <v>82200</v>
      </c>
    </row>
    <row r="130" spans="1:4" x14ac:dyDescent="0.2">
      <c r="A130" s="4" t="s">
        <v>21</v>
      </c>
      <c r="B130" s="4">
        <v>2011</v>
      </c>
      <c r="C130" s="4" t="s">
        <v>26</v>
      </c>
      <c r="D130" s="19">
        <v>42600</v>
      </c>
    </row>
    <row r="131" spans="1:4" x14ac:dyDescent="0.2">
      <c r="A131" s="4" t="s">
        <v>22</v>
      </c>
      <c r="B131" s="4">
        <v>2011</v>
      </c>
      <c r="C131" s="4" t="s">
        <v>26</v>
      </c>
      <c r="D131" s="19">
        <v>211200</v>
      </c>
    </row>
    <row r="132" spans="1:4" x14ac:dyDescent="0.2">
      <c r="A132" s="4" t="s">
        <v>23</v>
      </c>
      <c r="B132" s="4">
        <v>2011</v>
      </c>
      <c r="C132" s="4" t="s">
        <v>26</v>
      </c>
      <c r="D132" s="19">
        <v>149700</v>
      </c>
    </row>
    <row r="133" spans="1:4" x14ac:dyDescent="0.2">
      <c r="A133" s="4" t="s">
        <v>24</v>
      </c>
      <c r="B133" s="4">
        <v>2011</v>
      </c>
      <c r="C133" s="4" t="s">
        <v>26</v>
      </c>
      <c r="D133" s="19">
        <v>8700</v>
      </c>
    </row>
    <row r="134" spans="1:4" x14ac:dyDescent="0.2">
      <c r="A134" s="4" t="s">
        <v>2</v>
      </c>
      <c r="B134" s="4">
        <v>1999</v>
      </c>
      <c r="C134" s="4" t="s">
        <v>27</v>
      </c>
      <c r="D134" s="19">
        <v>1179400</v>
      </c>
    </row>
    <row r="135" spans="1:4" x14ac:dyDescent="0.2">
      <c r="A135" s="4" t="s">
        <v>4</v>
      </c>
      <c r="B135" s="4">
        <v>1999</v>
      </c>
      <c r="C135" s="4" t="s">
        <v>27</v>
      </c>
      <c r="D135" s="19">
        <v>182600</v>
      </c>
    </row>
    <row r="136" spans="1:4" x14ac:dyDescent="0.2">
      <c r="A136" s="4" t="s">
        <v>5</v>
      </c>
      <c r="B136" s="4">
        <v>1999</v>
      </c>
      <c r="C136" s="4" t="s">
        <v>27</v>
      </c>
      <c r="D136" s="19">
        <v>137000</v>
      </c>
    </row>
    <row r="137" spans="1:4" x14ac:dyDescent="0.2">
      <c r="A137" s="4" t="s">
        <v>6</v>
      </c>
      <c r="B137" s="4">
        <v>1999</v>
      </c>
      <c r="C137" s="4" t="s">
        <v>27</v>
      </c>
      <c r="D137" s="19">
        <v>81400</v>
      </c>
    </row>
    <row r="138" spans="1:4" x14ac:dyDescent="0.2">
      <c r="A138" s="4" t="s">
        <v>7</v>
      </c>
      <c r="B138" s="4">
        <v>1999</v>
      </c>
      <c r="C138" s="4" t="s">
        <v>27</v>
      </c>
      <c r="D138" s="19">
        <v>101000</v>
      </c>
    </row>
    <row r="139" spans="1:4" x14ac:dyDescent="0.2">
      <c r="A139" s="4" t="s">
        <v>8</v>
      </c>
      <c r="B139" s="4">
        <v>1999</v>
      </c>
      <c r="C139" s="4" t="s">
        <v>27</v>
      </c>
      <c r="D139" s="19">
        <v>157100</v>
      </c>
    </row>
    <row r="140" spans="1:4" x14ac:dyDescent="0.2">
      <c r="A140" s="4" t="s">
        <v>9</v>
      </c>
      <c r="B140" s="4">
        <v>1999</v>
      </c>
      <c r="C140" s="4" t="s">
        <v>27</v>
      </c>
      <c r="D140" s="19">
        <v>326600</v>
      </c>
    </row>
    <row r="141" spans="1:4" x14ac:dyDescent="0.2">
      <c r="A141" s="4" t="s">
        <v>10</v>
      </c>
      <c r="B141" s="4">
        <v>1999</v>
      </c>
      <c r="C141" s="4" t="s">
        <v>27</v>
      </c>
      <c r="D141" s="19">
        <v>155300</v>
      </c>
    </row>
    <row r="142" spans="1:4" x14ac:dyDescent="0.2">
      <c r="A142" s="4" t="s">
        <v>11</v>
      </c>
      <c r="B142" s="4">
        <v>1999</v>
      </c>
      <c r="C142" s="4" t="s">
        <v>27</v>
      </c>
      <c r="D142" s="19">
        <v>165200</v>
      </c>
    </row>
    <row r="143" spans="1:4" x14ac:dyDescent="0.2">
      <c r="A143" s="4" t="s">
        <v>12</v>
      </c>
      <c r="B143" s="4">
        <v>1999</v>
      </c>
      <c r="C143" s="4" t="s">
        <v>27</v>
      </c>
      <c r="D143" s="19">
        <v>101400</v>
      </c>
    </row>
    <row r="144" spans="1:4" x14ac:dyDescent="0.2">
      <c r="A144" s="4" t="s">
        <v>13</v>
      </c>
      <c r="B144" s="4">
        <v>1999</v>
      </c>
      <c r="C144" s="4" t="s">
        <v>27</v>
      </c>
      <c r="D144" s="19">
        <v>188200</v>
      </c>
    </row>
    <row r="145" spans="1:4" x14ac:dyDescent="0.2">
      <c r="A145" s="4" t="s">
        <v>14</v>
      </c>
      <c r="B145" s="4">
        <v>1999</v>
      </c>
      <c r="C145" s="4" t="s">
        <v>27</v>
      </c>
      <c r="D145" s="19">
        <v>265800</v>
      </c>
    </row>
    <row r="146" spans="1:4" x14ac:dyDescent="0.2">
      <c r="A146" s="4" t="s">
        <v>15</v>
      </c>
      <c r="B146" s="4">
        <v>1999</v>
      </c>
      <c r="C146" s="4" t="s">
        <v>27</v>
      </c>
      <c r="D146" s="19">
        <v>242500</v>
      </c>
    </row>
    <row r="147" spans="1:4" x14ac:dyDescent="0.2">
      <c r="A147" s="4" t="s">
        <v>16</v>
      </c>
      <c r="B147" s="4">
        <v>1999</v>
      </c>
      <c r="C147" s="4" t="s">
        <v>27</v>
      </c>
      <c r="D147" s="19">
        <v>289800</v>
      </c>
    </row>
    <row r="148" spans="1:4" x14ac:dyDescent="0.2">
      <c r="A148" s="4" t="s">
        <v>17</v>
      </c>
      <c r="B148" s="4">
        <v>1999</v>
      </c>
      <c r="C148" s="4" t="s">
        <v>27</v>
      </c>
      <c r="D148" s="19">
        <v>56500</v>
      </c>
    </row>
    <row r="149" spans="1:4" x14ac:dyDescent="0.2">
      <c r="A149" s="4" t="s">
        <v>18</v>
      </c>
      <c r="B149" s="4">
        <v>1999</v>
      </c>
      <c r="C149" s="4" t="s">
        <v>27</v>
      </c>
      <c r="D149" s="19">
        <v>124300</v>
      </c>
    </row>
    <row r="150" spans="1:4" x14ac:dyDescent="0.2">
      <c r="A150" s="4" t="s">
        <v>19</v>
      </c>
      <c r="B150" s="4">
        <v>1999</v>
      </c>
      <c r="C150" s="4" t="s">
        <v>27</v>
      </c>
      <c r="D150" s="19">
        <v>171600</v>
      </c>
    </row>
    <row r="151" spans="1:4" x14ac:dyDescent="0.2">
      <c r="A151" s="4" t="s">
        <v>20</v>
      </c>
      <c r="B151" s="4">
        <v>1999</v>
      </c>
      <c r="C151" s="4" t="s">
        <v>27</v>
      </c>
      <c r="D151" s="19">
        <v>209300</v>
      </c>
    </row>
    <row r="152" spans="1:4" x14ac:dyDescent="0.2">
      <c r="A152" s="4" t="s">
        <v>21</v>
      </c>
      <c r="B152" s="4">
        <v>1999</v>
      </c>
      <c r="C152" s="4" t="s">
        <v>27</v>
      </c>
      <c r="D152" s="19">
        <v>98600</v>
      </c>
    </row>
    <row r="153" spans="1:4" x14ac:dyDescent="0.2">
      <c r="A153" s="4" t="s">
        <v>22</v>
      </c>
      <c r="B153" s="4">
        <v>1999</v>
      </c>
      <c r="C153" s="4" t="s">
        <v>27</v>
      </c>
      <c r="D153" s="19">
        <v>507200</v>
      </c>
    </row>
    <row r="154" spans="1:4" x14ac:dyDescent="0.2">
      <c r="A154" s="4" t="s">
        <v>23</v>
      </c>
      <c r="B154" s="4">
        <v>1999</v>
      </c>
      <c r="C154" s="4" t="s">
        <v>27</v>
      </c>
      <c r="D154" s="19">
        <v>419600</v>
      </c>
    </row>
    <row r="155" spans="1:4" x14ac:dyDescent="0.2">
      <c r="A155" s="4" t="s">
        <v>24</v>
      </c>
      <c r="B155" s="4">
        <v>1999</v>
      </c>
      <c r="C155" s="4" t="s">
        <v>27</v>
      </c>
      <c r="D155" s="19">
        <v>19400</v>
      </c>
    </row>
    <row r="156" spans="1:4" x14ac:dyDescent="0.2">
      <c r="A156" s="4" t="s">
        <v>2</v>
      </c>
      <c r="B156" s="4">
        <v>2011</v>
      </c>
      <c r="C156" s="4" t="s">
        <v>27</v>
      </c>
      <c r="D156" s="19">
        <v>1467100</v>
      </c>
    </row>
    <row r="157" spans="1:4" x14ac:dyDescent="0.2">
      <c r="A157" s="4" t="s">
        <v>4</v>
      </c>
      <c r="B157" s="4">
        <v>2011</v>
      </c>
      <c r="C157" s="4" t="s">
        <v>27</v>
      </c>
      <c r="D157" s="19">
        <v>251100</v>
      </c>
    </row>
    <row r="158" spans="1:4" x14ac:dyDescent="0.2">
      <c r="A158" s="4" t="s">
        <v>5</v>
      </c>
      <c r="B158" s="4">
        <v>2011</v>
      </c>
      <c r="C158" s="4" t="s">
        <v>27</v>
      </c>
      <c r="D158" s="19">
        <v>171300</v>
      </c>
    </row>
    <row r="159" spans="1:4" x14ac:dyDescent="0.2">
      <c r="A159" s="4" t="s">
        <v>6</v>
      </c>
      <c r="B159" s="4">
        <v>2011</v>
      </c>
      <c r="C159" s="4" t="s">
        <v>27</v>
      </c>
      <c r="D159" s="19">
        <v>83700</v>
      </c>
    </row>
    <row r="160" spans="1:4" x14ac:dyDescent="0.2">
      <c r="A160" s="4" t="s">
        <v>7</v>
      </c>
      <c r="B160" s="4">
        <v>2011</v>
      </c>
      <c r="C160" s="4" t="s">
        <v>27</v>
      </c>
      <c r="D160" s="19">
        <v>119600</v>
      </c>
    </row>
    <row r="161" spans="1:4" x14ac:dyDescent="0.2">
      <c r="A161" s="4" t="s">
        <v>8</v>
      </c>
      <c r="B161" s="4">
        <v>2011</v>
      </c>
      <c r="C161" s="4" t="s">
        <v>27</v>
      </c>
      <c r="D161" s="19">
        <v>174900</v>
      </c>
    </row>
    <row r="162" spans="1:4" x14ac:dyDescent="0.2">
      <c r="A162" s="4" t="s">
        <v>9</v>
      </c>
      <c r="B162" s="4">
        <v>2011</v>
      </c>
      <c r="C162" s="4" t="s">
        <v>27</v>
      </c>
      <c r="D162" s="19">
        <v>369200</v>
      </c>
    </row>
    <row r="163" spans="1:4" x14ac:dyDescent="0.2">
      <c r="A163" s="4" t="s">
        <v>10</v>
      </c>
      <c r="B163" s="4">
        <v>2011</v>
      </c>
      <c r="C163" s="4" t="s">
        <v>27</v>
      </c>
      <c r="D163" s="19">
        <v>200600</v>
      </c>
    </row>
    <row r="164" spans="1:4" x14ac:dyDescent="0.2">
      <c r="A164" s="4" t="s">
        <v>11</v>
      </c>
      <c r="B164" s="4">
        <v>2011</v>
      </c>
      <c r="C164" s="4" t="s">
        <v>27</v>
      </c>
      <c r="D164" s="19">
        <v>201100.00000000003</v>
      </c>
    </row>
    <row r="165" spans="1:4" x14ac:dyDescent="0.2">
      <c r="A165" s="4" t="s">
        <v>12</v>
      </c>
      <c r="B165" s="4">
        <v>2011</v>
      </c>
      <c r="C165" s="4" t="s">
        <v>27</v>
      </c>
      <c r="D165" s="19">
        <v>92400</v>
      </c>
    </row>
    <row r="166" spans="1:4" x14ac:dyDescent="0.2">
      <c r="A166" s="4" t="s">
        <v>13</v>
      </c>
      <c r="B166" s="4">
        <v>2011</v>
      </c>
      <c r="C166" s="4" t="s">
        <v>27</v>
      </c>
      <c r="D166" s="19">
        <v>220600</v>
      </c>
    </row>
    <row r="167" spans="1:4" x14ac:dyDescent="0.2">
      <c r="A167" s="4" t="s">
        <v>14</v>
      </c>
      <c r="B167" s="4">
        <v>2011</v>
      </c>
      <c r="C167" s="4" t="s">
        <v>27</v>
      </c>
      <c r="D167" s="19">
        <v>306500</v>
      </c>
    </row>
    <row r="168" spans="1:4" x14ac:dyDescent="0.2">
      <c r="A168" s="4" t="s">
        <v>15</v>
      </c>
      <c r="B168" s="4">
        <v>2011</v>
      </c>
      <c r="C168" s="4" t="s">
        <v>27</v>
      </c>
      <c r="D168" s="19">
        <v>291600</v>
      </c>
    </row>
    <row r="169" spans="1:4" x14ac:dyDescent="0.2">
      <c r="A169" s="4" t="s">
        <v>16</v>
      </c>
      <c r="B169" s="4">
        <v>2011</v>
      </c>
      <c r="C169" s="4" t="s">
        <v>27</v>
      </c>
      <c r="D169" s="19">
        <v>320300</v>
      </c>
    </row>
    <row r="170" spans="1:4" x14ac:dyDescent="0.2">
      <c r="A170" s="4" t="s">
        <v>17</v>
      </c>
      <c r="B170" s="4">
        <v>2011</v>
      </c>
      <c r="C170" s="4" t="s">
        <v>27</v>
      </c>
      <c r="D170" s="19">
        <v>67900</v>
      </c>
    </row>
    <row r="171" spans="1:4" x14ac:dyDescent="0.2">
      <c r="A171" s="4" t="s">
        <v>18</v>
      </c>
      <c r="B171" s="4">
        <v>2011</v>
      </c>
      <c r="C171" s="4" t="s">
        <v>27</v>
      </c>
      <c r="D171" s="19">
        <v>141000</v>
      </c>
    </row>
    <row r="172" spans="1:4" x14ac:dyDescent="0.2">
      <c r="A172" s="4" t="s">
        <v>19</v>
      </c>
      <c r="B172" s="4">
        <v>2011</v>
      </c>
      <c r="C172" s="4" t="s">
        <v>27</v>
      </c>
      <c r="D172" s="19">
        <v>225400</v>
      </c>
    </row>
    <row r="173" spans="1:4" x14ac:dyDescent="0.2">
      <c r="A173" s="4" t="s">
        <v>20</v>
      </c>
      <c r="B173" s="4">
        <v>2011</v>
      </c>
      <c r="C173" s="4" t="s">
        <v>27</v>
      </c>
      <c r="D173" s="19">
        <v>290100</v>
      </c>
    </row>
    <row r="174" spans="1:4" x14ac:dyDescent="0.2">
      <c r="A174" s="4" t="s">
        <v>21</v>
      </c>
      <c r="B174" s="4">
        <v>2011</v>
      </c>
      <c r="C174" s="4" t="s">
        <v>27</v>
      </c>
      <c r="D174" s="19">
        <v>108500</v>
      </c>
    </row>
    <row r="175" spans="1:4" x14ac:dyDescent="0.2">
      <c r="A175" s="4" t="s">
        <v>22</v>
      </c>
      <c r="B175" s="4">
        <v>2011</v>
      </c>
      <c r="C175" s="4" t="s">
        <v>27</v>
      </c>
      <c r="D175" s="19">
        <v>631200</v>
      </c>
    </row>
    <row r="176" spans="1:4" x14ac:dyDescent="0.2">
      <c r="A176" s="4" t="s">
        <v>23</v>
      </c>
      <c r="B176" s="4">
        <v>2011</v>
      </c>
      <c r="C176" s="4" t="s">
        <v>27</v>
      </c>
      <c r="D176" s="19">
        <v>501700</v>
      </c>
    </row>
    <row r="177" spans="1:4" x14ac:dyDescent="0.2">
      <c r="A177" s="4" t="s">
        <v>24</v>
      </c>
      <c r="B177" s="4">
        <v>2011</v>
      </c>
      <c r="C177" s="4" t="s">
        <v>27</v>
      </c>
      <c r="D177" s="19">
        <v>19900</v>
      </c>
    </row>
    <row r="178" spans="1:4" x14ac:dyDescent="0.2">
      <c r="A178" s="4" t="s">
        <v>2</v>
      </c>
      <c r="B178" s="4">
        <v>1999</v>
      </c>
      <c r="C178" s="4" t="s">
        <v>28</v>
      </c>
      <c r="D178" s="19">
        <v>1074900</v>
      </c>
    </row>
    <row r="179" spans="1:4" x14ac:dyDescent="0.2">
      <c r="A179" s="4" t="s">
        <v>4</v>
      </c>
      <c r="B179" s="4">
        <v>1999</v>
      </c>
      <c r="C179" s="4" t="s">
        <v>28</v>
      </c>
      <c r="D179" s="19">
        <v>92400</v>
      </c>
    </row>
    <row r="180" spans="1:4" x14ac:dyDescent="0.2">
      <c r="A180" s="4" t="s">
        <v>5</v>
      </c>
      <c r="B180" s="4">
        <v>1999</v>
      </c>
      <c r="C180" s="4" t="s">
        <v>28</v>
      </c>
      <c r="D180" s="19">
        <v>42000</v>
      </c>
    </row>
    <row r="181" spans="1:4" x14ac:dyDescent="0.2">
      <c r="A181" s="4" t="s">
        <v>6</v>
      </c>
      <c r="B181" s="4">
        <v>1999</v>
      </c>
      <c r="C181" s="4" t="s">
        <v>28</v>
      </c>
      <c r="D181" s="19">
        <v>29500</v>
      </c>
    </row>
    <row r="182" spans="1:4" x14ac:dyDescent="0.2">
      <c r="A182" s="4" t="s">
        <v>7</v>
      </c>
      <c r="B182" s="4">
        <v>1999</v>
      </c>
      <c r="C182" s="4" t="s">
        <v>28</v>
      </c>
      <c r="D182" s="19">
        <v>47600</v>
      </c>
    </row>
    <row r="183" spans="1:4" x14ac:dyDescent="0.2">
      <c r="A183" s="4" t="s">
        <v>8</v>
      </c>
      <c r="B183" s="4">
        <v>1999</v>
      </c>
      <c r="C183" s="4" t="s">
        <v>28</v>
      </c>
      <c r="D183" s="19">
        <v>67800</v>
      </c>
    </row>
    <row r="184" spans="1:4" x14ac:dyDescent="0.2">
      <c r="A184" s="4" t="s">
        <v>9</v>
      </c>
      <c r="B184" s="4">
        <v>1999</v>
      </c>
      <c r="C184" s="4" t="s">
        <v>28</v>
      </c>
      <c r="D184" s="19">
        <v>125100</v>
      </c>
    </row>
    <row r="185" spans="1:4" x14ac:dyDescent="0.2">
      <c r="A185" s="4" t="s">
        <v>10</v>
      </c>
      <c r="B185" s="4">
        <v>1999</v>
      </c>
      <c r="C185" s="4" t="s">
        <v>28</v>
      </c>
      <c r="D185" s="19">
        <v>54900</v>
      </c>
    </row>
    <row r="186" spans="1:4" x14ac:dyDescent="0.2">
      <c r="A186" s="4" t="s">
        <v>11</v>
      </c>
      <c r="B186" s="4">
        <v>1999</v>
      </c>
      <c r="C186" s="4" t="s">
        <v>28</v>
      </c>
      <c r="D186" s="19">
        <v>74000</v>
      </c>
    </row>
    <row r="187" spans="1:4" x14ac:dyDescent="0.2">
      <c r="A187" s="4" t="s">
        <v>12</v>
      </c>
      <c r="B187" s="4">
        <v>1999</v>
      </c>
      <c r="C187" s="4" t="s">
        <v>28</v>
      </c>
      <c r="D187" s="19">
        <v>39400</v>
      </c>
    </row>
    <row r="188" spans="1:4" x14ac:dyDescent="0.2">
      <c r="A188" s="4" t="s">
        <v>13</v>
      </c>
      <c r="B188" s="4">
        <v>1999</v>
      </c>
      <c r="C188" s="4" t="s">
        <v>28</v>
      </c>
      <c r="D188" s="19">
        <v>75700</v>
      </c>
    </row>
    <row r="189" spans="1:4" x14ac:dyDescent="0.2">
      <c r="A189" s="4" t="s">
        <v>14</v>
      </c>
      <c r="B189" s="4">
        <v>1999</v>
      </c>
      <c r="C189" s="4" t="s">
        <v>28</v>
      </c>
      <c r="D189" s="19">
        <v>109400</v>
      </c>
    </row>
    <row r="190" spans="1:4" x14ac:dyDescent="0.2">
      <c r="A190" s="4" t="s">
        <v>15</v>
      </c>
      <c r="B190" s="4">
        <v>1999</v>
      </c>
      <c r="C190" s="4" t="s">
        <v>28</v>
      </c>
      <c r="D190" s="19">
        <v>95300</v>
      </c>
    </row>
    <row r="191" spans="1:4" x14ac:dyDescent="0.2">
      <c r="A191" s="4" t="s">
        <v>16</v>
      </c>
      <c r="B191" s="4">
        <v>1999</v>
      </c>
      <c r="C191" s="4" t="s">
        <v>28</v>
      </c>
      <c r="D191" s="19">
        <v>117300</v>
      </c>
    </row>
    <row r="192" spans="1:4" x14ac:dyDescent="0.2">
      <c r="A192" s="4" t="s">
        <v>17</v>
      </c>
      <c r="B192" s="4">
        <v>1999</v>
      </c>
      <c r="C192" s="4" t="s">
        <v>28</v>
      </c>
      <c r="D192" s="19">
        <v>16000</v>
      </c>
    </row>
    <row r="193" spans="1:4" x14ac:dyDescent="0.2">
      <c r="A193" s="4" t="s">
        <v>18</v>
      </c>
      <c r="B193" s="4">
        <v>1999</v>
      </c>
      <c r="C193" s="4" t="s">
        <v>28</v>
      </c>
      <c r="D193" s="19">
        <v>53000</v>
      </c>
    </row>
    <row r="194" spans="1:4" x14ac:dyDescent="0.2">
      <c r="A194" s="4" t="s">
        <v>19</v>
      </c>
      <c r="B194" s="4">
        <v>1999</v>
      </c>
      <c r="C194" s="4" t="s">
        <v>28</v>
      </c>
      <c r="D194" s="19">
        <v>74600</v>
      </c>
    </row>
    <row r="195" spans="1:4" x14ac:dyDescent="0.2">
      <c r="A195" s="4" t="s">
        <v>20</v>
      </c>
      <c r="B195" s="4">
        <v>1999</v>
      </c>
      <c r="C195" s="4" t="s">
        <v>28</v>
      </c>
      <c r="D195" s="19">
        <v>101500</v>
      </c>
    </row>
    <row r="196" spans="1:4" x14ac:dyDescent="0.2">
      <c r="A196" s="4" t="s">
        <v>21</v>
      </c>
      <c r="B196" s="4">
        <v>1999</v>
      </c>
      <c r="C196" s="4" t="s">
        <v>28</v>
      </c>
      <c r="D196" s="19">
        <v>35500</v>
      </c>
    </row>
    <row r="197" spans="1:4" x14ac:dyDescent="0.2">
      <c r="A197" s="4" t="s">
        <v>22</v>
      </c>
      <c r="B197" s="4">
        <v>1999</v>
      </c>
      <c r="C197" s="4" t="s">
        <v>28</v>
      </c>
      <c r="D197" s="19">
        <v>269800</v>
      </c>
    </row>
    <row r="198" spans="1:4" x14ac:dyDescent="0.2">
      <c r="A198" s="4" t="s">
        <v>23</v>
      </c>
      <c r="B198" s="4">
        <v>1999</v>
      </c>
      <c r="C198" s="4" t="s">
        <v>28</v>
      </c>
      <c r="D198" s="19">
        <v>174000</v>
      </c>
    </row>
    <row r="199" spans="1:4" x14ac:dyDescent="0.2">
      <c r="A199" s="4" t="s">
        <v>24</v>
      </c>
      <c r="B199" s="4">
        <v>1999</v>
      </c>
      <c r="C199" s="4" t="s">
        <v>28</v>
      </c>
      <c r="D199" s="19">
        <v>0</v>
      </c>
    </row>
    <row r="200" spans="1:4" x14ac:dyDescent="0.2">
      <c r="A200" s="4" t="s">
        <v>2</v>
      </c>
      <c r="B200" s="4">
        <v>2011</v>
      </c>
      <c r="C200" s="4" t="s">
        <v>28</v>
      </c>
      <c r="D200" s="19">
        <v>1099300</v>
      </c>
    </row>
    <row r="201" spans="1:4" x14ac:dyDescent="0.2">
      <c r="A201" s="4" t="s">
        <v>4</v>
      </c>
      <c r="B201" s="4">
        <v>2011</v>
      </c>
      <c r="C201" s="4" t="s">
        <v>28</v>
      </c>
      <c r="D201" s="19">
        <v>118500</v>
      </c>
    </row>
    <row r="202" spans="1:4" x14ac:dyDescent="0.2">
      <c r="A202" s="4" t="s">
        <v>5</v>
      </c>
      <c r="B202" s="4">
        <v>2011</v>
      </c>
      <c r="C202" s="4" t="s">
        <v>28</v>
      </c>
      <c r="D202" s="19">
        <v>57600</v>
      </c>
    </row>
    <row r="203" spans="1:4" x14ac:dyDescent="0.2">
      <c r="A203" s="4" t="s">
        <v>6</v>
      </c>
      <c r="B203" s="4">
        <v>2011</v>
      </c>
      <c r="C203" s="4" t="s">
        <v>28</v>
      </c>
      <c r="D203" s="19">
        <v>27500</v>
      </c>
    </row>
    <row r="204" spans="1:4" x14ac:dyDescent="0.2">
      <c r="A204" s="4" t="s">
        <v>7</v>
      </c>
      <c r="B204" s="4">
        <v>2011</v>
      </c>
      <c r="C204" s="4" t="s">
        <v>28</v>
      </c>
      <c r="D204" s="19">
        <v>49900.000000000007</v>
      </c>
    </row>
    <row r="205" spans="1:4" x14ac:dyDescent="0.2">
      <c r="A205" s="4" t="s">
        <v>8</v>
      </c>
      <c r="B205" s="4">
        <v>2011</v>
      </c>
      <c r="C205" s="4" t="s">
        <v>28</v>
      </c>
      <c r="D205" s="19">
        <v>73000</v>
      </c>
    </row>
    <row r="206" spans="1:4" x14ac:dyDescent="0.2">
      <c r="A206" s="4" t="s">
        <v>9</v>
      </c>
      <c r="B206" s="4">
        <v>2011</v>
      </c>
      <c r="C206" s="4" t="s">
        <v>28</v>
      </c>
      <c r="D206" s="19">
        <v>172400</v>
      </c>
    </row>
    <row r="207" spans="1:4" x14ac:dyDescent="0.2">
      <c r="A207" s="4" t="s">
        <v>10</v>
      </c>
      <c r="B207" s="4">
        <v>2011</v>
      </c>
      <c r="C207" s="4" t="s">
        <v>28</v>
      </c>
      <c r="D207" s="19">
        <v>79600</v>
      </c>
    </row>
    <row r="208" spans="1:4" x14ac:dyDescent="0.2">
      <c r="A208" s="4" t="s">
        <v>11</v>
      </c>
      <c r="B208" s="4">
        <v>2011</v>
      </c>
      <c r="C208" s="4" t="s">
        <v>28</v>
      </c>
      <c r="D208" s="19">
        <v>97500</v>
      </c>
    </row>
    <row r="209" spans="1:4" x14ac:dyDescent="0.2">
      <c r="A209" s="4" t="s">
        <v>12</v>
      </c>
      <c r="B209" s="4">
        <v>2011</v>
      </c>
      <c r="C209" s="4" t="s">
        <v>28</v>
      </c>
      <c r="D209" s="19">
        <v>50100</v>
      </c>
    </row>
    <row r="210" spans="1:4" x14ac:dyDescent="0.2">
      <c r="A210" s="4" t="s">
        <v>13</v>
      </c>
      <c r="B210" s="4">
        <v>2011</v>
      </c>
      <c r="C210" s="4" t="s">
        <v>28</v>
      </c>
      <c r="D210" s="19">
        <v>104500</v>
      </c>
    </row>
    <row r="211" spans="1:4" x14ac:dyDescent="0.2">
      <c r="A211" s="4" t="s">
        <v>14</v>
      </c>
      <c r="B211" s="4">
        <v>2011</v>
      </c>
      <c r="C211" s="4" t="s">
        <v>28</v>
      </c>
      <c r="D211" s="19">
        <v>173300</v>
      </c>
    </row>
    <row r="212" spans="1:4" x14ac:dyDescent="0.2">
      <c r="A212" s="4" t="s">
        <v>15</v>
      </c>
      <c r="B212" s="4">
        <v>2011</v>
      </c>
      <c r="C212" s="4" t="s">
        <v>28</v>
      </c>
      <c r="D212" s="19">
        <v>132600</v>
      </c>
    </row>
    <row r="213" spans="1:4" x14ac:dyDescent="0.2">
      <c r="A213" s="4" t="s">
        <v>16</v>
      </c>
      <c r="B213" s="4">
        <v>2011</v>
      </c>
      <c r="C213" s="4" t="s">
        <v>28</v>
      </c>
      <c r="D213" s="19">
        <v>147700</v>
      </c>
    </row>
    <row r="214" spans="1:4" x14ac:dyDescent="0.2">
      <c r="A214" s="4" t="s">
        <v>17</v>
      </c>
      <c r="B214" s="4">
        <v>2011</v>
      </c>
      <c r="C214" s="4" t="s">
        <v>28</v>
      </c>
      <c r="D214" s="19">
        <v>21600</v>
      </c>
    </row>
    <row r="215" spans="1:4" x14ac:dyDescent="0.2">
      <c r="A215" s="4" t="s">
        <v>18</v>
      </c>
      <c r="B215" s="4">
        <v>2011</v>
      </c>
      <c r="C215" s="4" t="s">
        <v>28</v>
      </c>
      <c r="D215" s="19">
        <v>94000</v>
      </c>
    </row>
    <row r="216" spans="1:4" x14ac:dyDescent="0.2">
      <c r="A216" s="4" t="s">
        <v>19</v>
      </c>
      <c r="B216" s="4">
        <v>2011</v>
      </c>
      <c r="C216" s="4" t="s">
        <v>28</v>
      </c>
      <c r="D216" s="19">
        <v>106100</v>
      </c>
    </row>
    <row r="217" spans="1:4" x14ac:dyDescent="0.2">
      <c r="A217" s="4" t="s">
        <v>20</v>
      </c>
      <c r="B217" s="4">
        <v>2011</v>
      </c>
      <c r="C217" s="4" t="s">
        <v>28</v>
      </c>
      <c r="D217" s="19">
        <v>180100</v>
      </c>
    </row>
    <row r="218" spans="1:4" x14ac:dyDescent="0.2">
      <c r="A218" s="4" t="s">
        <v>21</v>
      </c>
      <c r="B218" s="4">
        <v>2011</v>
      </c>
      <c r="C218" s="4" t="s">
        <v>28</v>
      </c>
      <c r="D218" s="19">
        <v>39300</v>
      </c>
    </row>
    <row r="219" spans="1:4" x14ac:dyDescent="0.2">
      <c r="A219" s="4" t="s">
        <v>22</v>
      </c>
      <c r="B219" s="4">
        <v>2011</v>
      </c>
      <c r="C219" s="4" t="s">
        <v>28</v>
      </c>
      <c r="D219" s="19">
        <v>347500</v>
      </c>
    </row>
    <row r="220" spans="1:4" x14ac:dyDescent="0.2">
      <c r="A220" s="4" t="s">
        <v>23</v>
      </c>
      <c r="B220" s="4">
        <v>2011</v>
      </c>
      <c r="C220" s="4" t="s">
        <v>28</v>
      </c>
      <c r="D220" s="19">
        <v>265799.99999999994</v>
      </c>
    </row>
    <row r="221" spans="1:4" x14ac:dyDescent="0.2">
      <c r="A221" s="4" t="s">
        <v>24</v>
      </c>
      <c r="B221" s="4">
        <v>2011</v>
      </c>
      <c r="C221" s="4" t="s">
        <v>28</v>
      </c>
      <c r="D221" s="19">
        <v>8100</v>
      </c>
    </row>
    <row r="222" spans="1:4" x14ac:dyDescent="0.2">
      <c r="A222" s="4" t="s">
        <v>2</v>
      </c>
      <c r="B222" s="4">
        <v>1999</v>
      </c>
      <c r="C222" s="4" t="s">
        <v>29</v>
      </c>
      <c r="D222" s="19">
        <v>1601900</v>
      </c>
    </row>
    <row r="223" spans="1:4" x14ac:dyDescent="0.2">
      <c r="A223" s="4" t="s">
        <v>4</v>
      </c>
      <c r="B223" s="4">
        <v>1999</v>
      </c>
      <c r="C223" s="4" t="s">
        <v>29</v>
      </c>
      <c r="D223" s="19">
        <v>302200</v>
      </c>
    </row>
    <row r="224" spans="1:4" x14ac:dyDescent="0.2">
      <c r="A224" s="4" t="s">
        <v>5</v>
      </c>
      <c r="B224" s="4">
        <v>1999</v>
      </c>
      <c r="C224" s="4" t="s">
        <v>29</v>
      </c>
      <c r="D224" s="19">
        <v>215100</v>
      </c>
    </row>
    <row r="225" spans="1:4" x14ac:dyDescent="0.2">
      <c r="A225" s="4" t="s">
        <v>6</v>
      </c>
      <c r="B225" s="4">
        <v>1999</v>
      </c>
      <c r="C225" s="4" t="s">
        <v>29</v>
      </c>
      <c r="D225" s="19">
        <v>141600</v>
      </c>
    </row>
    <row r="226" spans="1:4" x14ac:dyDescent="0.2">
      <c r="A226" s="4" t="s">
        <v>7</v>
      </c>
      <c r="B226" s="4">
        <v>1999</v>
      </c>
      <c r="C226" s="4" t="s">
        <v>29</v>
      </c>
      <c r="D226" s="19">
        <v>172700</v>
      </c>
    </row>
    <row r="227" spans="1:4" x14ac:dyDescent="0.2">
      <c r="A227" s="4" t="s">
        <v>8</v>
      </c>
      <c r="B227" s="4">
        <v>1999</v>
      </c>
      <c r="C227" s="4" t="s">
        <v>29</v>
      </c>
      <c r="D227" s="19">
        <v>235100</v>
      </c>
    </row>
    <row r="228" spans="1:4" x14ac:dyDescent="0.2">
      <c r="A228" s="4" t="s">
        <v>9</v>
      </c>
      <c r="B228" s="4">
        <v>1999</v>
      </c>
      <c r="C228" s="4" t="s">
        <v>29</v>
      </c>
      <c r="D228" s="19">
        <v>458900</v>
      </c>
    </row>
    <row r="229" spans="1:4" x14ac:dyDescent="0.2">
      <c r="A229" s="4" t="s">
        <v>10</v>
      </c>
      <c r="B229" s="4">
        <v>1999</v>
      </c>
      <c r="C229" s="4" t="s">
        <v>29</v>
      </c>
      <c r="D229" s="19">
        <v>212300</v>
      </c>
    </row>
    <row r="230" spans="1:4" x14ac:dyDescent="0.2">
      <c r="A230" s="4" t="s">
        <v>11</v>
      </c>
      <c r="B230" s="4">
        <v>1999</v>
      </c>
      <c r="C230" s="4" t="s">
        <v>29</v>
      </c>
      <c r="D230" s="19">
        <v>212700</v>
      </c>
    </row>
    <row r="231" spans="1:4" x14ac:dyDescent="0.2">
      <c r="A231" s="4" t="s">
        <v>12</v>
      </c>
      <c r="B231" s="4">
        <v>1999</v>
      </c>
      <c r="C231" s="4" t="s">
        <v>29</v>
      </c>
      <c r="D231" s="19">
        <v>157700</v>
      </c>
    </row>
    <row r="232" spans="1:4" x14ac:dyDescent="0.2">
      <c r="A232" s="4" t="s">
        <v>13</v>
      </c>
      <c r="B232" s="4">
        <v>1999</v>
      </c>
      <c r="C232" s="4" t="s">
        <v>29</v>
      </c>
      <c r="D232" s="19">
        <v>294700</v>
      </c>
    </row>
    <row r="233" spans="1:4" x14ac:dyDescent="0.2">
      <c r="A233" s="4" t="s">
        <v>14</v>
      </c>
      <c r="B233" s="4">
        <v>1999</v>
      </c>
      <c r="C233" s="4" t="s">
        <v>29</v>
      </c>
      <c r="D233" s="19">
        <v>409500</v>
      </c>
    </row>
    <row r="234" spans="1:4" x14ac:dyDescent="0.2">
      <c r="A234" s="4" t="s">
        <v>15</v>
      </c>
      <c r="B234" s="4">
        <v>1999</v>
      </c>
      <c r="C234" s="4" t="s">
        <v>29</v>
      </c>
      <c r="D234" s="19">
        <v>421100</v>
      </c>
    </row>
    <row r="235" spans="1:4" x14ac:dyDescent="0.2">
      <c r="A235" s="4" t="s">
        <v>16</v>
      </c>
      <c r="B235" s="4">
        <v>1999</v>
      </c>
      <c r="C235" s="4" t="s">
        <v>29</v>
      </c>
      <c r="D235" s="19">
        <v>398200</v>
      </c>
    </row>
    <row r="236" spans="1:4" x14ac:dyDescent="0.2">
      <c r="A236" s="4" t="s">
        <v>17</v>
      </c>
      <c r="B236" s="4">
        <v>1999</v>
      </c>
      <c r="C236" s="4" t="s">
        <v>29</v>
      </c>
      <c r="D236" s="19">
        <v>88000</v>
      </c>
    </row>
    <row r="237" spans="1:4" x14ac:dyDescent="0.2">
      <c r="A237" s="4" t="s">
        <v>18</v>
      </c>
      <c r="B237" s="4">
        <v>1999</v>
      </c>
      <c r="C237" s="4" t="s">
        <v>29</v>
      </c>
      <c r="D237" s="19">
        <v>222800</v>
      </c>
    </row>
    <row r="238" spans="1:4" x14ac:dyDescent="0.2">
      <c r="A238" s="4" t="s">
        <v>19</v>
      </c>
      <c r="B238" s="4">
        <v>1999</v>
      </c>
      <c r="C238" s="4" t="s">
        <v>29</v>
      </c>
      <c r="D238" s="19">
        <v>265100</v>
      </c>
    </row>
    <row r="239" spans="1:4" x14ac:dyDescent="0.2">
      <c r="A239" s="4" t="s">
        <v>20</v>
      </c>
      <c r="B239" s="4">
        <v>1999</v>
      </c>
      <c r="C239" s="4" t="s">
        <v>29</v>
      </c>
      <c r="D239" s="19">
        <v>338900</v>
      </c>
    </row>
    <row r="240" spans="1:4" x14ac:dyDescent="0.2">
      <c r="A240" s="4" t="s">
        <v>21</v>
      </c>
      <c r="B240" s="4">
        <v>1999</v>
      </c>
      <c r="C240" s="4" t="s">
        <v>29</v>
      </c>
      <c r="D240" s="19">
        <v>169000</v>
      </c>
    </row>
    <row r="241" spans="1:4" x14ac:dyDescent="0.2">
      <c r="A241" s="4" t="s">
        <v>22</v>
      </c>
      <c r="B241" s="4">
        <v>1999</v>
      </c>
      <c r="C241" s="4" t="s">
        <v>29</v>
      </c>
      <c r="D241" s="19">
        <v>696400</v>
      </c>
    </row>
    <row r="242" spans="1:4" x14ac:dyDescent="0.2">
      <c r="A242" s="4" t="s">
        <v>23</v>
      </c>
      <c r="B242" s="4">
        <v>1999</v>
      </c>
      <c r="C242" s="4" t="s">
        <v>29</v>
      </c>
      <c r="D242" s="19">
        <v>574400</v>
      </c>
    </row>
    <row r="243" spans="1:4" x14ac:dyDescent="0.2">
      <c r="A243" s="4" t="s">
        <v>24</v>
      </c>
      <c r="B243" s="4">
        <v>1999</v>
      </c>
      <c r="C243" s="4" t="s">
        <v>29</v>
      </c>
      <c r="D243" s="19">
        <v>29100</v>
      </c>
    </row>
    <row r="244" spans="1:4" x14ac:dyDescent="0.2">
      <c r="A244" s="4" t="s">
        <v>2</v>
      </c>
      <c r="B244" s="4">
        <v>2011</v>
      </c>
      <c r="C244" s="4" t="s">
        <v>29</v>
      </c>
      <c r="D244" s="19">
        <v>1744100</v>
      </c>
    </row>
    <row r="245" spans="1:4" x14ac:dyDescent="0.2">
      <c r="A245" s="4" t="s">
        <v>4</v>
      </c>
      <c r="B245" s="4">
        <v>2011</v>
      </c>
      <c r="C245" s="4" t="s">
        <v>29</v>
      </c>
      <c r="D245" s="19">
        <v>368400</v>
      </c>
    </row>
    <row r="246" spans="1:4" x14ac:dyDescent="0.2">
      <c r="A246" s="4" t="s">
        <v>5</v>
      </c>
      <c r="B246" s="4">
        <v>2011</v>
      </c>
      <c r="C246" s="4" t="s">
        <v>29</v>
      </c>
      <c r="D246" s="19">
        <v>239000</v>
      </c>
    </row>
    <row r="247" spans="1:4" x14ac:dyDescent="0.2">
      <c r="A247" s="4" t="s">
        <v>6</v>
      </c>
      <c r="B247" s="4">
        <v>2011</v>
      </c>
      <c r="C247" s="4" t="s">
        <v>29</v>
      </c>
      <c r="D247" s="19">
        <v>173500</v>
      </c>
    </row>
    <row r="248" spans="1:4" x14ac:dyDescent="0.2">
      <c r="A248" s="4" t="s">
        <v>7</v>
      </c>
      <c r="B248" s="4">
        <v>2011</v>
      </c>
      <c r="C248" s="4" t="s">
        <v>29</v>
      </c>
      <c r="D248" s="19">
        <v>214900</v>
      </c>
    </row>
    <row r="249" spans="1:4" x14ac:dyDescent="0.2">
      <c r="A249" s="4" t="s">
        <v>8</v>
      </c>
      <c r="B249" s="4">
        <v>2011</v>
      </c>
      <c r="C249" s="4" t="s">
        <v>29</v>
      </c>
      <c r="D249" s="19">
        <v>267000</v>
      </c>
    </row>
    <row r="250" spans="1:4" x14ac:dyDescent="0.2">
      <c r="A250" s="4" t="s">
        <v>9</v>
      </c>
      <c r="B250" s="4">
        <v>2011</v>
      </c>
      <c r="C250" s="4" t="s">
        <v>29</v>
      </c>
      <c r="D250" s="19">
        <v>571600</v>
      </c>
    </row>
    <row r="251" spans="1:4" x14ac:dyDescent="0.2">
      <c r="A251" s="4" t="s">
        <v>10</v>
      </c>
      <c r="B251" s="4">
        <v>2011</v>
      </c>
      <c r="C251" s="4" t="s">
        <v>29</v>
      </c>
      <c r="D251" s="19">
        <v>261700</v>
      </c>
    </row>
    <row r="252" spans="1:4" x14ac:dyDescent="0.2">
      <c r="A252" s="4" t="s">
        <v>11</v>
      </c>
      <c r="B252" s="4">
        <v>2011</v>
      </c>
      <c r="C252" s="4" t="s">
        <v>29</v>
      </c>
      <c r="D252" s="19">
        <v>284900</v>
      </c>
    </row>
    <row r="253" spans="1:4" x14ac:dyDescent="0.2">
      <c r="A253" s="4" t="s">
        <v>12</v>
      </c>
      <c r="B253" s="4">
        <v>2011</v>
      </c>
      <c r="C253" s="4" t="s">
        <v>29</v>
      </c>
      <c r="D253" s="19">
        <v>193000</v>
      </c>
    </row>
    <row r="254" spans="1:4" x14ac:dyDescent="0.2">
      <c r="A254" s="4" t="s">
        <v>13</v>
      </c>
      <c r="B254" s="4">
        <v>2011</v>
      </c>
      <c r="C254" s="4" t="s">
        <v>29</v>
      </c>
      <c r="D254" s="19">
        <v>345900</v>
      </c>
    </row>
    <row r="255" spans="1:4" x14ac:dyDescent="0.2">
      <c r="A255" s="4" t="s">
        <v>14</v>
      </c>
      <c r="B255" s="4">
        <v>2011</v>
      </c>
      <c r="C255" s="4" t="s">
        <v>29</v>
      </c>
      <c r="D255" s="19">
        <v>526900</v>
      </c>
    </row>
    <row r="256" spans="1:4" x14ac:dyDescent="0.2">
      <c r="A256" s="4" t="s">
        <v>15</v>
      </c>
      <c r="B256" s="4">
        <v>2011</v>
      </c>
      <c r="C256" s="4" t="s">
        <v>29</v>
      </c>
      <c r="D256" s="19">
        <v>490600</v>
      </c>
    </row>
    <row r="257" spans="1:4" x14ac:dyDescent="0.2">
      <c r="A257" s="4" t="s">
        <v>16</v>
      </c>
      <c r="B257" s="4">
        <v>2011</v>
      </c>
      <c r="C257" s="4" t="s">
        <v>29</v>
      </c>
      <c r="D257" s="19">
        <v>495400</v>
      </c>
    </row>
    <row r="258" spans="1:4" x14ac:dyDescent="0.2">
      <c r="A258" s="4" t="s">
        <v>17</v>
      </c>
      <c r="B258" s="4">
        <v>2011</v>
      </c>
      <c r="C258" s="4" t="s">
        <v>29</v>
      </c>
      <c r="D258" s="19">
        <v>120300</v>
      </c>
    </row>
    <row r="259" spans="1:4" x14ac:dyDescent="0.2">
      <c r="A259" s="4" t="s">
        <v>18</v>
      </c>
      <c r="B259" s="4">
        <v>2011</v>
      </c>
      <c r="C259" s="4" t="s">
        <v>29</v>
      </c>
      <c r="D259" s="19">
        <v>260300</v>
      </c>
    </row>
    <row r="260" spans="1:4" x14ac:dyDescent="0.2">
      <c r="A260" s="4" t="s">
        <v>19</v>
      </c>
      <c r="B260" s="4">
        <v>2011</v>
      </c>
      <c r="C260" s="4" t="s">
        <v>29</v>
      </c>
      <c r="D260" s="19">
        <v>420400</v>
      </c>
    </row>
    <row r="261" spans="1:4" x14ac:dyDescent="0.2">
      <c r="A261" s="4" t="s">
        <v>20</v>
      </c>
      <c r="B261" s="4">
        <v>2011</v>
      </c>
      <c r="C261" s="4" t="s">
        <v>29</v>
      </c>
      <c r="D261" s="19">
        <v>453600</v>
      </c>
    </row>
    <row r="262" spans="1:4" x14ac:dyDescent="0.2">
      <c r="A262" s="4" t="s">
        <v>21</v>
      </c>
      <c r="B262" s="4">
        <v>2011</v>
      </c>
      <c r="C262" s="4" t="s">
        <v>29</v>
      </c>
      <c r="D262" s="19">
        <v>200600.00000000003</v>
      </c>
    </row>
    <row r="263" spans="1:4" x14ac:dyDescent="0.2">
      <c r="A263" s="4" t="s">
        <v>22</v>
      </c>
      <c r="B263" s="4">
        <v>2011</v>
      </c>
      <c r="C263" s="4" t="s">
        <v>29</v>
      </c>
      <c r="D263" s="19">
        <v>885099.99999999988</v>
      </c>
    </row>
    <row r="264" spans="1:4" x14ac:dyDescent="0.2">
      <c r="A264" s="4" t="s">
        <v>23</v>
      </c>
      <c r="B264" s="4">
        <v>2011</v>
      </c>
      <c r="C264" s="4" t="s">
        <v>29</v>
      </c>
      <c r="D264" s="19">
        <v>762700</v>
      </c>
    </row>
    <row r="265" spans="1:4" x14ac:dyDescent="0.2">
      <c r="A265" s="4" t="s">
        <v>24</v>
      </c>
      <c r="B265" s="4">
        <v>2011</v>
      </c>
      <c r="C265" s="4" t="s">
        <v>29</v>
      </c>
      <c r="D265" s="19">
        <v>33300</v>
      </c>
    </row>
    <row r="266" spans="1:4" x14ac:dyDescent="0.2">
      <c r="A266" s="4" t="s">
        <v>2</v>
      </c>
      <c r="B266" s="4">
        <v>2012</v>
      </c>
      <c r="C266" s="4" t="s">
        <v>3</v>
      </c>
      <c r="D266" s="19">
        <v>8600</v>
      </c>
    </row>
    <row r="267" spans="1:4" x14ac:dyDescent="0.2">
      <c r="A267" s="4" t="s">
        <v>4</v>
      </c>
      <c r="B267" s="4">
        <v>2012</v>
      </c>
      <c r="C267" s="4" t="s">
        <v>3</v>
      </c>
      <c r="D267" s="19">
        <v>39900</v>
      </c>
    </row>
    <row r="268" spans="1:4" x14ac:dyDescent="0.2">
      <c r="A268" s="4" t="s">
        <v>5</v>
      </c>
      <c r="B268" s="4">
        <v>2012</v>
      </c>
      <c r="C268" s="4" t="s">
        <v>3</v>
      </c>
      <c r="D268" s="19">
        <v>36400</v>
      </c>
    </row>
    <row r="269" spans="1:4" x14ac:dyDescent="0.2">
      <c r="A269" s="4" t="s">
        <v>6</v>
      </c>
      <c r="B269" s="4">
        <v>2012</v>
      </c>
      <c r="C269" s="4" t="s">
        <v>3</v>
      </c>
      <c r="D269" s="19">
        <v>15800</v>
      </c>
    </row>
    <row r="270" spans="1:4" x14ac:dyDescent="0.2">
      <c r="A270" s="4" t="s">
        <v>7</v>
      </c>
      <c r="B270" s="4">
        <v>2012</v>
      </c>
      <c r="C270" s="4" t="s">
        <v>3</v>
      </c>
      <c r="D270" s="19">
        <v>31800</v>
      </c>
    </row>
    <row r="271" spans="1:4" x14ac:dyDescent="0.2">
      <c r="A271" s="4" t="s">
        <v>8</v>
      </c>
      <c r="B271" s="4">
        <v>2012</v>
      </c>
      <c r="C271" s="4" t="s">
        <v>3</v>
      </c>
      <c r="D271" s="19">
        <v>10800</v>
      </c>
    </row>
    <row r="272" spans="1:4" x14ac:dyDescent="0.2">
      <c r="A272" s="4" t="s">
        <v>9</v>
      </c>
      <c r="B272" s="4">
        <v>2012</v>
      </c>
      <c r="C272" s="4" t="s">
        <v>3</v>
      </c>
      <c r="D272" s="19">
        <v>16100.000000000002</v>
      </c>
    </row>
    <row r="273" spans="1:4" x14ac:dyDescent="0.2">
      <c r="A273" s="4" t="s">
        <v>10</v>
      </c>
      <c r="B273" s="4">
        <v>2012</v>
      </c>
      <c r="C273" s="4" t="s">
        <v>3</v>
      </c>
      <c r="D273" s="19">
        <v>22500</v>
      </c>
    </row>
    <row r="274" spans="1:4" x14ac:dyDescent="0.2">
      <c r="A274" s="4" t="s">
        <v>11</v>
      </c>
      <c r="B274" s="4">
        <v>2012</v>
      </c>
      <c r="C274" s="4" t="s">
        <v>3</v>
      </c>
      <c r="D274" s="19">
        <v>7300</v>
      </c>
    </row>
    <row r="275" spans="1:4" x14ac:dyDescent="0.2">
      <c r="A275" s="4" t="s">
        <v>12</v>
      </c>
      <c r="B275" s="4">
        <v>2012</v>
      </c>
      <c r="C275" s="4" t="s">
        <v>3</v>
      </c>
      <c r="D275" s="19">
        <v>29000</v>
      </c>
    </row>
    <row r="276" spans="1:4" x14ac:dyDescent="0.2">
      <c r="A276" s="4" t="s">
        <v>13</v>
      </c>
      <c r="B276" s="4">
        <v>2012</v>
      </c>
      <c r="C276" s="4" t="s">
        <v>3</v>
      </c>
      <c r="D276" s="19">
        <v>17600</v>
      </c>
    </row>
    <row r="277" spans="1:4" x14ac:dyDescent="0.2">
      <c r="A277" s="4" t="s">
        <v>14</v>
      </c>
      <c r="B277" s="4">
        <v>2012</v>
      </c>
      <c r="C277" s="4" t="s">
        <v>3</v>
      </c>
      <c r="D277" s="19">
        <v>60300</v>
      </c>
    </row>
    <row r="278" spans="1:4" x14ac:dyDescent="0.2">
      <c r="A278" s="4" t="s">
        <v>15</v>
      </c>
      <c r="B278" s="4">
        <v>2012</v>
      </c>
      <c r="C278" s="4" t="s">
        <v>3</v>
      </c>
      <c r="D278" s="19">
        <v>76900</v>
      </c>
    </row>
    <row r="279" spans="1:4" x14ac:dyDescent="0.2">
      <c r="A279" s="4" t="s">
        <v>16</v>
      </c>
      <c r="B279" s="4">
        <v>2012</v>
      </c>
      <c r="C279" s="4" t="s">
        <v>3</v>
      </c>
      <c r="D279" s="19">
        <v>52200</v>
      </c>
    </row>
    <row r="280" spans="1:4" x14ac:dyDescent="0.2">
      <c r="A280" s="4" t="s">
        <v>17</v>
      </c>
      <c r="B280" s="4">
        <v>2012</v>
      </c>
      <c r="C280" s="4" t="s">
        <v>3</v>
      </c>
      <c r="D280" s="19">
        <v>16000</v>
      </c>
    </row>
    <row r="281" spans="1:4" x14ac:dyDescent="0.2">
      <c r="A281" s="4" t="s">
        <v>18</v>
      </c>
      <c r="B281" s="4">
        <v>2012</v>
      </c>
      <c r="C281" s="4" t="s">
        <v>3</v>
      </c>
      <c r="D281" s="19">
        <v>32700.000000000004</v>
      </c>
    </row>
    <row r="282" spans="1:4" x14ac:dyDescent="0.2">
      <c r="A282" s="4" t="s">
        <v>19</v>
      </c>
      <c r="B282" s="4">
        <v>2012</v>
      </c>
      <c r="C282" s="4" t="s">
        <v>3</v>
      </c>
      <c r="D282" s="19">
        <v>33900</v>
      </c>
    </row>
    <row r="283" spans="1:4" x14ac:dyDescent="0.2">
      <c r="A283" s="4" t="s">
        <v>20</v>
      </c>
      <c r="B283" s="4">
        <v>2012</v>
      </c>
      <c r="C283" s="4" t="s">
        <v>3</v>
      </c>
      <c r="D283" s="19">
        <v>60500</v>
      </c>
    </row>
    <row r="284" spans="1:4" x14ac:dyDescent="0.2">
      <c r="A284" s="4" t="s">
        <v>21</v>
      </c>
      <c r="B284" s="4">
        <v>2012</v>
      </c>
      <c r="C284" s="4" t="s">
        <v>3</v>
      </c>
      <c r="D284" s="19">
        <v>38600</v>
      </c>
    </row>
    <row r="285" spans="1:4" x14ac:dyDescent="0.2">
      <c r="A285" s="4" t="s">
        <v>22</v>
      </c>
      <c r="B285" s="4">
        <v>2012</v>
      </c>
      <c r="C285" s="4" t="s">
        <v>3</v>
      </c>
      <c r="D285" s="19">
        <v>71500</v>
      </c>
    </row>
    <row r="286" spans="1:4" x14ac:dyDescent="0.2">
      <c r="A286" s="4" t="s">
        <v>23</v>
      </c>
      <c r="B286" s="4">
        <v>2012</v>
      </c>
      <c r="C286" s="4" t="s">
        <v>3</v>
      </c>
      <c r="D286" s="19">
        <v>42800</v>
      </c>
    </row>
    <row r="287" spans="1:4" x14ac:dyDescent="0.2">
      <c r="A287" s="4" t="s">
        <v>24</v>
      </c>
      <c r="B287" s="4">
        <v>2012</v>
      </c>
      <c r="C287" s="4" t="s">
        <v>3</v>
      </c>
      <c r="D287" s="19">
        <v>0</v>
      </c>
    </row>
    <row r="288" spans="1:4" x14ac:dyDescent="0.2">
      <c r="A288" s="4" t="s">
        <v>2</v>
      </c>
      <c r="B288" s="4">
        <v>2019</v>
      </c>
      <c r="C288" s="4" t="s">
        <v>3</v>
      </c>
      <c r="D288" s="19">
        <v>14500</v>
      </c>
    </row>
    <row r="289" spans="1:4" x14ac:dyDescent="0.2">
      <c r="A289" s="4" t="s">
        <v>4</v>
      </c>
      <c r="B289" s="4">
        <v>2019</v>
      </c>
      <c r="C289" s="4" t="s">
        <v>3</v>
      </c>
      <c r="D289" s="19">
        <v>26500</v>
      </c>
    </row>
    <row r="290" spans="1:4" x14ac:dyDescent="0.2">
      <c r="A290" s="4" t="s">
        <v>5</v>
      </c>
      <c r="B290" s="4">
        <v>2019</v>
      </c>
      <c r="C290" s="4" t="s">
        <v>3</v>
      </c>
      <c r="D290" s="19">
        <v>22800</v>
      </c>
    </row>
    <row r="291" spans="1:4" x14ac:dyDescent="0.2">
      <c r="A291" s="4" t="s">
        <v>6</v>
      </c>
      <c r="B291" s="4">
        <v>2019</v>
      </c>
      <c r="C291" s="4" t="s">
        <v>3</v>
      </c>
      <c r="D291" s="19">
        <v>12000</v>
      </c>
    </row>
    <row r="292" spans="1:4" x14ac:dyDescent="0.2">
      <c r="A292" s="4" t="s">
        <v>7</v>
      </c>
      <c r="B292" s="4">
        <v>2019</v>
      </c>
      <c r="C292" s="4" t="s">
        <v>3</v>
      </c>
      <c r="D292" s="19">
        <v>36900</v>
      </c>
    </row>
    <row r="293" spans="1:4" x14ac:dyDescent="0.2">
      <c r="A293" s="4" t="s">
        <v>8</v>
      </c>
      <c r="B293" s="4">
        <v>2019</v>
      </c>
      <c r="C293" s="4" t="s">
        <v>3</v>
      </c>
      <c r="D293" s="19">
        <v>19100</v>
      </c>
    </row>
    <row r="294" spans="1:4" x14ac:dyDescent="0.2">
      <c r="A294" s="4" t="s">
        <v>9</v>
      </c>
      <c r="B294" s="4">
        <v>2019</v>
      </c>
      <c r="C294" s="4" t="s">
        <v>3</v>
      </c>
      <c r="D294" s="19">
        <v>17400</v>
      </c>
    </row>
    <row r="295" spans="1:4" x14ac:dyDescent="0.2">
      <c r="A295" s="4" t="s">
        <v>10</v>
      </c>
      <c r="B295" s="4">
        <v>2019</v>
      </c>
      <c r="C295" s="4" t="s">
        <v>3</v>
      </c>
      <c r="D295" s="19">
        <v>21100</v>
      </c>
    </row>
    <row r="296" spans="1:4" x14ac:dyDescent="0.2">
      <c r="A296" s="4" t="s">
        <v>11</v>
      </c>
      <c r="B296" s="4">
        <v>2019</v>
      </c>
      <c r="C296" s="4" t="s">
        <v>3</v>
      </c>
      <c r="D296" s="19">
        <v>12300</v>
      </c>
    </row>
    <row r="297" spans="1:4" x14ac:dyDescent="0.2">
      <c r="A297" s="4" t="s">
        <v>12</v>
      </c>
      <c r="B297" s="4">
        <v>2019</v>
      </c>
      <c r="C297" s="4" t="s">
        <v>3</v>
      </c>
      <c r="D297" s="19">
        <v>30500</v>
      </c>
    </row>
    <row r="298" spans="1:4" x14ac:dyDescent="0.2">
      <c r="A298" s="4" t="s">
        <v>13</v>
      </c>
      <c r="B298" s="4">
        <v>2019</v>
      </c>
      <c r="C298" s="4" t="s">
        <v>3</v>
      </c>
      <c r="D298" s="19">
        <v>11300</v>
      </c>
    </row>
    <row r="299" spans="1:4" x14ac:dyDescent="0.2">
      <c r="A299" s="4" t="s">
        <v>14</v>
      </c>
      <c r="B299" s="4">
        <v>2019</v>
      </c>
      <c r="C299" s="4" t="s">
        <v>3</v>
      </c>
      <c r="D299" s="19">
        <v>46500</v>
      </c>
    </row>
    <row r="300" spans="1:4" x14ac:dyDescent="0.2">
      <c r="A300" s="4" t="s">
        <v>15</v>
      </c>
      <c r="B300" s="4">
        <v>2019</v>
      </c>
      <c r="C300" s="4" t="s">
        <v>3</v>
      </c>
      <c r="D300" s="19">
        <v>59200</v>
      </c>
    </row>
    <row r="301" spans="1:4" x14ac:dyDescent="0.2">
      <c r="A301" s="4" t="s">
        <v>16</v>
      </c>
      <c r="B301" s="4">
        <v>2019</v>
      </c>
      <c r="C301" s="4" t="s">
        <v>3</v>
      </c>
      <c r="D301" s="19">
        <v>63300</v>
      </c>
    </row>
    <row r="302" spans="1:4" x14ac:dyDescent="0.2">
      <c r="A302" s="4" t="s">
        <v>17</v>
      </c>
      <c r="B302" s="4">
        <v>2019</v>
      </c>
      <c r="C302" s="4" t="s">
        <v>3</v>
      </c>
      <c r="D302" s="19">
        <v>14300</v>
      </c>
    </row>
    <row r="303" spans="1:4" x14ac:dyDescent="0.2">
      <c r="A303" s="4" t="s">
        <v>18</v>
      </c>
      <c r="B303" s="4">
        <v>2019</v>
      </c>
      <c r="C303" s="4" t="s">
        <v>3</v>
      </c>
      <c r="D303" s="19">
        <v>35000</v>
      </c>
    </row>
    <row r="304" spans="1:4" x14ac:dyDescent="0.2">
      <c r="A304" s="4" t="s">
        <v>19</v>
      </c>
      <c r="B304" s="4">
        <v>2019</v>
      </c>
      <c r="C304" s="4" t="s">
        <v>3</v>
      </c>
      <c r="D304" s="19">
        <v>37000</v>
      </c>
    </row>
    <row r="305" spans="1:4" x14ac:dyDescent="0.2">
      <c r="A305" s="4" t="s">
        <v>20</v>
      </c>
      <c r="B305" s="4">
        <v>2019</v>
      </c>
      <c r="C305" s="4" t="s">
        <v>3</v>
      </c>
      <c r="D305" s="19">
        <v>30500</v>
      </c>
    </row>
    <row r="306" spans="1:4" x14ac:dyDescent="0.2">
      <c r="A306" s="4" t="s">
        <v>21</v>
      </c>
      <c r="B306" s="4">
        <v>2019</v>
      </c>
      <c r="C306" s="4" t="s">
        <v>3</v>
      </c>
      <c r="D306" s="19">
        <v>28000</v>
      </c>
    </row>
    <row r="307" spans="1:4" x14ac:dyDescent="0.2">
      <c r="A307" s="4" t="s">
        <v>22</v>
      </c>
      <c r="B307" s="4">
        <v>2019</v>
      </c>
      <c r="C307" s="4" t="s">
        <v>3</v>
      </c>
      <c r="D307" s="19">
        <v>55600</v>
      </c>
    </row>
    <row r="308" spans="1:4" x14ac:dyDescent="0.2">
      <c r="A308" s="4" t="s">
        <v>23</v>
      </c>
      <c r="B308" s="4">
        <v>2019</v>
      </c>
      <c r="C308" s="4" t="s">
        <v>3</v>
      </c>
      <c r="D308" s="19">
        <v>24600</v>
      </c>
    </row>
    <row r="309" spans="1:4" x14ac:dyDescent="0.2">
      <c r="A309" s="4" t="s">
        <v>24</v>
      </c>
      <c r="B309" s="4">
        <v>2019</v>
      </c>
      <c r="C309" s="4" t="s">
        <v>3</v>
      </c>
      <c r="D309" s="19">
        <v>0</v>
      </c>
    </row>
    <row r="310" spans="1:4" x14ac:dyDescent="0.2">
      <c r="A310" s="4" t="s">
        <v>2</v>
      </c>
      <c r="B310" s="4">
        <v>2012</v>
      </c>
      <c r="C310" s="4" t="s">
        <v>25</v>
      </c>
      <c r="D310" s="19">
        <v>470500</v>
      </c>
    </row>
    <row r="311" spans="1:4" x14ac:dyDescent="0.2">
      <c r="A311" s="4" t="s">
        <v>4</v>
      </c>
      <c r="B311" s="4">
        <v>2012</v>
      </c>
      <c r="C311" s="4" t="s">
        <v>25</v>
      </c>
      <c r="D311" s="19">
        <v>174900</v>
      </c>
    </row>
    <row r="312" spans="1:4" x14ac:dyDescent="0.2">
      <c r="A312" s="4" t="s">
        <v>5</v>
      </c>
      <c r="B312" s="4">
        <v>2012</v>
      </c>
      <c r="C312" s="4" t="s">
        <v>25</v>
      </c>
      <c r="D312" s="19">
        <v>104400</v>
      </c>
    </row>
    <row r="313" spans="1:4" x14ac:dyDescent="0.2">
      <c r="A313" s="4" t="s">
        <v>6</v>
      </c>
      <c r="B313" s="4">
        <v>2012</v>
      </c>
      <c r="C313" s="4" t="s">
        <v>25</v>
      </c>
      <c r="D313" s="19">
        <v>128400</v>
      </c>
    </row>
    <row r="314" spans="1:4" x14ac:dyDescent="0.2">
      <c r="A314" s="4" t="s">
        <v>7</v>
      </c>
      <c r="B314" s="4">
        <v>2012</v>
      </c>
      <c r="C314" s="4" t="s">
        <v>25</v>
      </c>
      <c r="D314" s="19">
        <v>90800</v>
      </c>
    </row>
    <row r="315" spans="1:4" x14ac:dyDescent="0.2">
      <c r="A315" s="4" t="s">
        <v>8</v>
      </c>
      <c r="B315" s="4">
        <v>2012</v>
      </c>
      <c r="C315" s="4" t="s">
        <v>25</v>
      </c>
      <c r="D315" s="19">
        <v>148400</v>
      </c>
    </row>
    <row r="316" spans="1:4" x14ac:dyDescent="0.2">
      <c r="A316" s="4" t="s">
        <v>9</v>
      </c>
      <c r="B316" s="4">
        <v>2012</v>
      </c>
      <c r="C316" s="4" t="s">
        <v>25</v>
      </c>
      <c r="D316" s="19">
        <v>253400</v>
      </c>
    </row>
    <row r="317" spans="1:4" x14ac:dyDescent="0.2">
      <c r="A317" s="4" t="s">
        <v>10</v>
      </c>
      <c r="B317" s="4">
        <v>2012</v>
      </c>
      <c r="C317" s="4" t="s">
        <v>25</v>
      </c>
      <c r="D317" s="19">
        <v>129600</v>
      </c>
    </row>
    <row r="318" spans="1:4" x14ac:dyDescent="0.2">
      <c r="A318" s="4" t="s">
        <v>11</v>
      </c>
      <c r="B318" s="4">
        <v>2012</v>
      </c>
      <c r="C318" s="4" t="s">
        <v>25</v>
      </c>
      <c r="D318" s="19">
        <v>172700</v>
      </c>
    </row>
    <row r="319" spans="1:4" x14ac:dyDescent="0.2">
      <c r="A319" s="4" t="s">
        <v>12</v>
      </c>
      <c r="B319" s="4">
        <v>2012</v>
      </c>
      <c r="C319" s="4" t="s">
        <v>25</v>
      </c>
      <c r="D319" s="19">
        <v>97300</v>
      </c>
    </row>
    <row r="320" spans="1:4" x14ac:dyDescent="0.2">
      <c r="A320" s="4" t="s">
        <v>13</v>
      </c>
      <c r="B320" s="4">
        <v>2012</v>
      </c>
      <c r="C320" s="4" t="s">
        <v>25</v>
      </c>
      <c r="D320" s="19">
        <v>158800</v>
      </c>
    </row>
    <row r="321" spans="1:4" x14ac:dyDescent="0.2">
      <c r="A321" s="4" t="s">
        <v>14</v>
      </c>
      <c r="B321" s="4">
        <v>2012</v>
      </c>
      <c r="C321" s="4" t="s">
        <v>25</v>
      </c>
      <c r="D321" s="19">
        <v>284500</v>
      </c>
    </row>
    <row r="322" spans="1:4" x14ac:dyDescent="0.2">
      <c r="A322" s="4" t="s">
        <v>15</v>
      </c>
      <c r="B322" s="4">
        <v>2012</v>
      </c>
      <c r="C322" s="4" t="s">
        <v>25</v>
      </c>
      <c r="D322" s="19">
        <v>192000</v>
      </c>
    </row>
    <row r="323" spans="1:4" x14ac:dyDescent="0.2">
      <c r="A323" s="4" t="s">
        <v>16</v>
      </c>
      <c r="B323" s="4">
        <v>2012</v>
      </c>
      <c r="C323" s="4" t="s">
        <v>25</v>
      </c>
      <c r="D323" s="19">
        <v>144900</v>
      </c>
    </row>
    <row r="324" spans="1:4" x14ac:dyDescent="0.2">
      <c r="A324" s="4" t="s">
        <v>17</v>
      </c>
      <c r="B324" s="4">
        <v>2012</v>
      </c>
      <c r="C324" s="4" t="s">
        <v>25</v>
      </c>
      <c r="D324" s="19">
        <v>40600</v>
      </c>
    </row>
    <row r="325" spans="1:4" x14ac:dyDescent="0.2">
      <c r="A325" s="4" t="s">
        <v>18</v>
      </c>
      <c r="B325" s="4">
        <v>2012</v>
      </c>
      <c r="C325" s="4" t="s">
        <v>25</v>
      </c>
      <c r="D325" s="19">
        <v>129600</v>
      </c>
    </row>
    <row r="326" spans="1:4" x14ac:dyDescent="0.2">
      <c r="A326" s="4" t="s">
        <v>19</v>
      </c>
      <c r="B326" s="4">
        <v>2012</v>
      </c>
      <c r="C326" s="4" t="s">
        <v>25</v>
      </c>
      <c r="D326" s="19">
        <v>86000</v>
      </c>
    </row>
    <row r="327" spans="1:4" x14ac:dyDescent="0.2">
      <c r="A327" s="4" t="s">
        <v>20</v>
      </c>
      <c r="B327" s="4">
        <v>2012</v>
      </c>
      <c r="C327" s="4" t="s">
        <v>25</v>
      </c>
      <c r="D327" s="19">
        <v>164800</v>
      </c>
    </row>
    <row r="328" spans="1:4" x14ac:dyDescent="0.2">
      <c r="A328" s="4" t="s">
        <v>21</v>
      </c>
      <c r="B328" s="4">
        <v>2012</v>
      </c>
      <c r="C328" s="4" t="s">
        <v>25</v>
      </c>
      <c r="D328" s="19">
        <v>95500</v>
      </c>
    </row>
    <row r="329" spans="1:4" x14ac:dyDescent="0.2">
      <c r="A329" s="4" t="s">
        <v>22</v>
      </c>
      <c r="B329" s="4">
        <v>2012</v>
      </c>
      <c r="C329" s="4" t="s">
        <v>25</v>
      </c>
      <c r="D329" s="19">
        <v>446700</v>
      </c>
    </row>
    <row r="330" spans="1:4" x14ac:dyDescent="0.2">
      <c r="A330" s="4" t="s">
        <v>23</v>
      </c>
      <c r="B330" s="4">
        <v>2012</v>
      </c>
      <c r="C330" s="4" t="s">
        <v>25</v>
      </c>
      <c r="D330" s="19">
        <v>191700</v>
      </c>
    </row>
    <row r="331" spans="1:4" x14ac:dyDescent="0.2">
      <c r="A331" s="4" t="s">
        <v>24</v>
      </c>
      <c r="B331" s="4">
        <v>2012</v>
      </c>
      <c r="C331" s="4" t="s">
        <v>25</v>
      </c>
      <c r="D331" s="19">
        <v>10900</v>
      </c>
    </row>
    <row r="332" spans="1:4" x14ac:dyDescent="0.2">
      <c r="A332" s="4" t="s">
        <v>2</v>
      </c>
      <c r="B332" s="4">
        <v>2019</v>
      </c>
      <c r="C332" s="4" t="s">
        <v>25</v>
      </c>
      <c r="D332" s="19">
        <v>391200</v>
      </c>
    </row>
    <row r="333" spans="1:4" x14ac:dyDescent="0.2">
      <c r="A333" s="4" t="s">
        <v>4</v>
      </c>
      <c r="B333" s="4">
        <v>2019</v>
      </c>
      <c r="C333" s="4" t="s">
        <v>25</v>
      </c>
      <c r="D333" s="19">
        <v>163700</v>
      </c>
    </row>
    <row r="334" spans="1:4" x14ac:dyDescent="0.2">
      <c r="A334" s="4" t="s">
        <v>5</v>
      </c>
      <c r="B334" s="4">
        <v>2019</v>
      </c>
      <c r="C334" s="4" t="s">
        <v>25</v>
      </c>
      <c r="D334" s="19">
        <v>106200</v>
      </c>
    </row>
    <row r="335" spans="1:4" x14ac:dyDescent="0.2">
      <c r="A335" s="4" t="s">
        <v>6</v>
      </c>
      <c r="B335" s="4">
        <v>2019</v>
      </c>
      <c r="C335" s="4" t="s">
        <v>25</v>
      </c>
      <c r="D335" s="19">
        <v>124000</v>
      </c>
    </row>
    <row r="336" spans="1:4" x14ac:dyDescent="0.2">
      <c r="A336" s="4" t="s">
        <v>7</v>
      </c>
      <c r="B336" s="4">
        <v>2019</v>
      </c>
      <c r="C336" s="4" t="s">
        <v>25</v>
      </c>
      <c r="D336" s="19">
        <v>111200</v>
      </c>
    </row>
    <row r="337" spans="1:4" x14ac:dyDescent="0.2">
      <c r="A337" s="4" t="s">
        <v>8</v>
      </c>
      <c r="B337" s="4">
        <v>2019</v>
      </c>
      <c r="C337" s="4" t="s">
        <v>25</v>
      </c>
      <c r="D337" s="19">
        <v>121700</v>
      </c>
    </row>
    <row r="338" spans="1:4" x14ac:dyDescent="0.2">
      <c r="A338" s="4" t="s">
        <v>9</v>
      </c>
      <c r="B338" s="4">
        <v>2019</v>
      </c>
      <c r="C338" s="4" t="s">
        <v>25</v>
      </c>
      <c r="D338" s="19">
        <v>227200</v>
      </c>
    </row>
    <row r="339" spans="1:4" x14ac:dyDescent="0.2">
      <c r="A339" s="4" t="s">
        <v>10</v>
      </c>
      <c r="B339" s="4">
        <v>2019</v>
      </c>
      <c r="C339" s="4" t="s">
        <v>25</v>
      </c>
      <c r="D339" s="19">
        <v>102500</v>
      </c>
    </row>
    <row r="340" spans="1:4" x14ac:dyDescent="0.2">
      <c r="A340" s="4" t="s">
        <v>11</v>
      </c>
      <c r="B340" s="4">
        <v>2019</v>
      </c>
      <c r="C340" s="4" t="s">
        <v>25</v>
      </c>
      <c r="D340" s="19">
        <v>160600</v>
      </c>
    </row>
    <row r="341" spans="1:4" x14ac:dyDescent="0.2">
      <c r="A341" s="4" t="s">
        <v>12</v>
      </c>
      <c r="B341" s="4">
        <v>2019</v>
      </c>
      <c r="C341" s="4" t="s">
        <v>25</v>
      </c>
      <c r="D341" s="19">
        <v>83600</v>
      </c>
    </row>
    <row r="342" spans="1:4" x14ac:dyDescent="0.2">
      <c r="A342" s="4" t="s">
        <v>13</v>
      </c>
      <c r="B342" s="4">
        <v>2019</v>
      </c>
      <c r="C342" s="4" t="s">
        <v>25</v>
      </c>
      <c r="D342" s="19">
        <v>145900</v>
      </c>
    </row>
    <row r="343" spans="1:4" x14ac:dyDescent="0.2">
      <c r="A343" s="4" t="s">
        <v>14</v>
      </c>
      <c r="B343" s="4">
        <v>2019</v>
      </c>
      <c r="C343" s="4" t="s">
        <v>25</v>
      </c>
      <c r="D343" s="19">
        <v>283900</v>
      </c>
    </row>
    <row r="344" spans="1:4" x14ac:dyDescent="0.2">
      <c r="A344" s="4" t="s">
        <v>15</v>
      </c>
      <c r="B344" s="4">
        <v>2019</v>
      </c>
      <c r="C344" s="4" t="s">
        <v>25</v>
      </c>
      <c r="D344" s="19">
        <v>210300</v>
      </c>
    </row>
    <row r="345" spans="1:4" x14ac:dyDescent="0.2">
      <c r="A345" s="4" t="s">
        <v>16</v>
      </c>
      <c r="B345" s="4">
        <v>2019</v>
      </c>
      <c r="C345" s="4" t="s">
        <v>25</v>
      </c>
      <c r="D345" s="19">
        <v>151200</v>
      </c>
    </row>
    <row r="346" spans="1:4" x14ac:dyDescent="0.2">
      <c r="A346" s="4" t="s">
        <v>17</v>
      </c>
      <c r="B346" s="4">
        <v>2019</v>
      </c>
      <c r="C346" s="4" t="s">
        <v>25</v>
      </c>
      <c r="D346" s="19">
        <v>34900</v>
      </c>
    </row>
    <row r="347" spans="1:4" x14ac:dyDescent="0.2">
      <c r="A347" s="4" t="s">
        <v>18</v>
      </c>
      <c r="B347" s="4">
        <v>2019</v>
      </c>
      <c r="C347" s="4" t="s">
        <v>25</v>
      </c>
      <c r="D347" s="19">
        <v>116500</v>
      </c>
    </row>
    <row r="348" spans="1:4" x14ac:dyDescent="0.2">
      <c r="A348" s="4" t="s">
        <v>19</v>
      </c>
      <c r="B348" s="4">
        <v>2019</v>
      </c>
      <c r="C348" s="4" t="s">
        <v>25</v>
      </c>
      <c r="D348" s="19">
        <v>88800</v>
      </c>
    </row>
    <row r="349" spans="1:4" x14ac:dyDescent="0.2">
      <c r="A349" s="4" t="s">
        <v>20</v>
      </c>
      <c r="B349" s="4">
        <v>2019</v>
      </c>
      <c r="C349" s="4" t="s">
        <v>25</v>
      </c>
      <c r="D349" s="19">
        <v>195900</v>
      </c>
    </row>
    <row r="350" spans="1:4" x14ac:dyDescent="0.2">
      <c r="A350" s="4" t="s">
        <v>21</v>
      </c>
      <c r="B350" s="4">
        <v>2019</v>
      </c>
      <c r="C350" s="4" t="s">
        <v>25</v>
      </c>
      <c r="D350" s="19">
        <v>102900</v>
      </c>
    </row>
    <row r="351" spans="1:4" x14ac:dyDescent="0.2">
      <c r="A351" s="4" t="s">
        <v>22</v>
      </c>
      <c r="B351" s="4">
        <v>2019</v>
      </c>
      <c r="C351" s="4" t="s">
        <v>25</v>
      </c>
      <c r="D351" s="19">
        <v>482100</v>
      </c>
    </row>
    <row r="352" spans="1:4" x14ac:dyDescent="0.2">
      <c r="A352" s="4" t="s">
        <v>23</v>
      </c>
      <c r="B352" s="4">
        <v>2019</v>
      </c>
      <c r="C352" s="4" t="s">
        <v>25</v>
      </c>
      <c r="D352" s="19">
        <v>173000</v>
      </c>
    </row>
    <row r="353" spans="1:4" x14ac:dyDescent="0.2">
      <c r="A353" s="4" t="s">
        <v>24</v>
      </c>
      <c r="B353" s="4">
        <v>2019</v>
      </c>
      <c r="C353" s="4" t="s">
        <v>25</v>
      </c>
      <c r="D353" s="19">
        <v>9000</v>
      </c>
    </row>
    <row r="354" spans="1:4" x14ac:dyDescent="0.2">
      <c r="A354" s="4" t="s">
        <v>2</v>
      </c>
      <c r="B354" s="4">
        <v>2012</v>
      </c>
      <c r="C354" s="4" t="s">
        <v>26</v>
      </c>
      <c r="D354" s="19">
        <v>302500</v>
      </c>
    </row>
    <row r="355" spans="1:4" x14ac:dyDescent="0.2">
      <c r="A355" s="4" t="s">
        <v>4</v>
      </c>
      <c r="B355" s="4">
        <v>2012</v>
      </c>
      <c r="C355" s="4" t="s">
        <v>26</v>
      </c>
      <c r="D355" s="19">
        <v>75600</v>
      </c>
    </row>
    <row r="356" spans="1:4" x14ac:dyDescent="0.2">
      <c r="A356" s="4" t="s">
        <v>5</v>
      </c>
      <c r="B356" s="4">
        <v>2012</v>
      </c>
      <c r="C356" s="4" t="s">
        <v>26</v>
      </c>
      <c r="D356" s="19">
        <v>41900</v>
      </c>
    </row>
    <row r="357" spans="1:4" x14ac:dyDescent="0.2">
      <c r="A357" s="4" t="s">
        <v>6</v>
      </c>
      <c r="B357" s="4">
        <v>2012</v>
      </c>
      <c r="C357" s="4" t="s">
        <v>26</v>
      </c>
      <c r="D357" s="19">
        <v>33200</v>
      </c>
    </row>
    <row r="358" spans="1:4" x14ac:dyDescent="0.2">
      <c r="A358" s="4" t="s">
        <v>7</v>
      </c>
      <c r="B358" s="4">
        <v>2012</v>
      </c>
      <c r="C358" s="4" t="s">
        <v>26</v>
      </c>
      <c r="D358" s="19">
        <v>45200</v>
      </c>
    </row>
    <row r="359" spans="1:4" x14ac:dyDescent="0.2">
      <c r="A359" s="4" t="s">
        <v>8</v>
      </c>
      <c r="B359" s="4">
        <v>2012</v>
      </c>
      <c r="C359" s="4" t="s">
        <v>26</v>
      </c>
      <c r="D359" s="19">
        <v>56300</v>
      </c>
    </row>
    <row r="360" spans="1:4" x14ac:dyDescent="0.2">
      <c r="A360" s="4" t="s">
        <v>9</v>
      </c>
      <c r="B360" s="4">
        <v>2012</v>
      </c>
      <c r="C360" s="4" t="s">
        <v>26</v>
      </c>
      <c r="D360" s="19">
        <v>103800</v>
      </c>
    </row>
    <row r="361" spans="1:4" x14ac:dyDescent="0.2">
      <c r="A361" s="4" t="s">
        <v>10</v>
      </c>
      <c r="B361" s="4">
        <v>2012</v>
      </c>
      <c r="C361" s="4" t="s">
        <v>26</v>
      </c>
      <c r="D361" s="19">
        <v>53300</v>
      </c>
    </row>
    <row r="362" spans="1:4" x14ac:dyDescent="0.2">
      <c r="A362" s="4" t="s">
        <v>11</v>
      </c>
      <c r="B362" s="4">
        <v>2012</v>
      </c>
      <c r="C362" s="4" t="s">
        <v>26</v>
      </c>
      <c r="D362" s="19">
        <v>57300</v>
      </c>
    </row>
    <row r="363" spans="1:4" x14ac:dyDescent="0.2">
      <c r="A363" s="4" t="s">
        <v>12</v>
      </c>
      <c r="B363" s="4">
        <v>2012</v>
      </c>
      <c r="C363" s="4" t="s">
        <v>26</v>
      </c>
      <c r="D363" s="19">
        <v>40300</v>
      </c>
    </row>
    <row r="364" spans="1:4" x14ac:dyDescent="0.2">
      <c r="A364" s="4" t="s">
        <v>13</v>
      </c>
      <c r="B364" s="4">
        <v>2012</v>
      </c>
      <c r="C364" s="4" t="s">
        <v>26</v>
      </c>
      <c r="D364" s="19">
        <v>68800</v>
      </c>
    </row>
    <row r="365" spans="1:4" x14ac:dyDescent="0.2">
      <c r="A365" s="4" t="s">
        <v>14</v>
      </c>
      <c r="B365" s="4">
        <v>2012</v>
      </c>
      <c r="C365" s="4" t="s">
        <v>26</v>
      </c>
      <c r="D365" s="19">
        <v>120000</v>
      </c>
    </row>
    <row r="366" spans="1:4" x14ac:dyDescent="0.2">
      <c r="A366" s="4" t="s">
        <v>15</v>
      </c>
      <c r="B366" s="4">
        <v>2012</v>
      </c>
      <c r="C366" s="4" t="s">
        <v>26</v>
      </c>
      <c r="D366" s="19">
        <v>88700</v>
      </c>
    </row>
    <row r="367" spans="1:4" x14ac:dyDescent="0.2">
      <c r="A367" s="4" t="s">
        <v>16</v>
      </c>
      <c r="B367" s="4">
        <v>2012</v>
      </c>
      <c r="C367" s="4" t="s">
        <v>26</v>
      </c>
      <c r="D367" s="19">
        <v>114200</v>
      </c>
    </row>
    <row r="368" spans="1:4" x14ac:dyDescent="0.2">
      <c r="A368" s="4" t="s">
        <v>17</v>
      </c>
      <c r="B368" s="4">
        <v>2012</v>
      </c>
      <c r="C368" s="4" t="s">
        <v>26</v>
      </c>
      <c r="D368" s="19">
        <v>19700</v>
      </c>
    </row>
    <row r="369" spans="1:4" x14ac:dyDescent="0.2">
      <c r="A369" s="4" t="s">
        <v>18</v>
      </c>
      <c r="B369" s="4">
        <v>2012</v>
      </c>
      <c r="C369" s="4" t="s">
        <v>26</v>
      </c>
      <c r="D369" s="19">
        <v>60100</v>
      </c>
    </row>
    <row r="370" spans="1:4" x14ac:dyDescent="0.2">
      <c r="A370" s="4" t="s">
        <v>19</v>
      </c>
      <c r="B370" s="4">
        <v>2012</v>
      </c>
      <c r="C370" s="4" t="s">
        <v>26</v>
      </c>
      <c r="D370" s="19">
        <v>72700</v>
      </c>
    </row>
    <row r="371" spans="1:4" x14ac:dyDescent="0.2">
      <c r="A371" s="4" t="s">
        <v>20</v>
      </c>
      <c r="B371" s="4">
        <v>2012</v>
      </c>
      <c r="C371" s="4" t="s">
        <v>26</v>
      </c>
      <c r="D371" s="19">
        <v>87300</v>
      </c>
    </row>
    <row r="372" spans="1:4" x14ac:dyDescent="0.2">
      <c r="A372" s="4" t="s">
        <v>21</v>
      </c>
      <c r="B372" s="4">
        <v>2012</v>
      </c>
      <c r="C372" s="4" t="s">
        <v>26</v>
      </c>
      <c r="D372" s="19">
        <v>40500</v>
      </c>
    </row>
    <row r="373" spans="1:4" x14ac:dyDescent="0.2">
      <c r="A373" s="4" t="s">
        <v>22</v>
      </c>
      <c r="B373" s="4">
        <v>2012</v>
      </c>
      <c r="C373" s="4" t="s">
        <v>26</v>
      </c>
      <c r="D373" s="19">
        <v>220200</v>
      </c>
    </row>
    <row r="374" spans="1:4" x14ac:dyDescent="0.2">
      <c r="A374" s="4" t="s">
        <v>23</v>
      </c>
      <c r="B374" s="4">
        <v>2012</v>
      </c>
      <c r="C374" s="4" t="s">
        <v>26</v>
      </c>
      <c r="D374" s="19">
        <v>147800</v>
      </c>
    </row>
    <row r="375" spans="1:4" x14ac:dyDescent="0.2">
      <c r="A375" s="4" t="s">
        <v>24</v>
      </c>
      <c r="B375" s="4">
        <v>2012</v>
      </c>
      <c r="C375" s="4" t="s">
        <v>26</v>
      </c>
      <c r="D375" s="19">
        <v>6700</v>
      </c>
    </row>
    <row r="376" spans="1:4" x14ac:dyDescent="0.2">
      <c r="A376" s="4" t="s">
        <v>2</v>
      </c>
      <c r="B376" s="4">
        <v>2019</v>
      </c>
      <c r="C376" s="4" t="s">
        <v>26</v>
      </c>
      <c r="D376" s="19">
        <v>263100</v>
      </c>
    </row>
    <row r="377" spans="1:4" x14ac:dyDescent="0.2">
      <c r="A377" s="4" t="s">
        <v>4</v>
      </c>
      <c r="B377" s="4">
        <v>2019</v>
      </c>
      <c r="C377" s="4" t="s">
        <v>26</v>
      </c>
      <c r="D377" s="19">
        <v>74300</v>
      </c>
    </row>
    <row r="378" spans="1:4" x14ac:dyDescent="0.2">
      <c r="A378" s="4" t="s">
        <v>5</v>
      </c>
      <c r="B378" s="4">
        <v>2019</v>
      </c>
      <c r="C378" s="4" t="s">
        <v>26</v>
      </c>
      <c r="D378" s="19">
        <v>43400</v>
      </c>
    </row>
    <row r="379" spans="1:4" x14ac:dyDescent="0.2">
      <c r="A379" s="4" t="s">
        <v>6</v>
      </c>
      <c r="B379" s="4">
        <v>2019</v>
      </c>
      <c r="C379" s="4" t="s">
        <v>26</v>
      </c>
      <c r="D379" s="19">
        <v>30700</v>
      </c>
    </row>
    <row r="380" spans="1:4" x14ac:dyDescent="0.2">
      <c r="A380" s="4" t="s">
        <v>7</v>
      </c>
      <c r="B380" s="4">
        <v>2019</v>
      </c>
      <c r="C380" s="4" t="s">
        <v>26</v>
      </c>
      <c r="D380" s="19">
        <v>37700</v>
      </c>
    </row>
    <row r="381" spans="1:4" x14ac:dyDescent="0.2">
      <c r="A381" s="4" t="s">
        <v>8</v>
      </c>
      <c r="B381" s="4">
        <v>2019</v>
      </c>
      <c r="C381" s="4" t="s">
        <v>26</v>
      </c>
      <c r="D381" s="19">
        <v>59800</v>
      </c>
    </row>
    <row r="382" spans="1:4" x14ac:dyDescent="0.2">
      <c r="A382" s="4" t="s">
        <v>9</v>
      </c>
      <c r="B382" s="4">
        <v>2019</v>
      </c>
      <c r="C382" s="4" t="s">
        <v>26</v>
      </c>
      <c r="D382" s="19">
        <v>87300</v>
      </c>
    </row>
    <row r="383" spans="1:4" x14ac:dyDescent="0.2">
      <c r="A383" s="4" t="s">
        <v>10</v>
      </c>
      <c r="B383" s="4">
        <v>2019</v>
      </c>
      <c r="C383" s="4" t="s">
        <v>26</v>
      </c>
      <c r="D383" s="19">
        <v>50600</v>
      </c>
    </row>
    <row r="384" spans="1:4" x14ac:dyDescent="0.2">
      <c r="A384" s="4" t="s">
        <v>11</v>
      </c>
      <c r="B384" s="4">
        <v>2019</v>
      </c>
      <c r="C384" s="4" t="s">
        <v>26</v>
      </c>
      <c r="D384" s="19">
        <v>63600</v>
      </c>
    </row>
    <row r="385" spans="1:4" x14ac:dyDescent="0.2">
      <c r="A385" s="4" t="s">
        <v>12</v>
      </c>
      <c r="B385" s="4">
        <v>2019</v>
      </c>
      <c r="C385" s="4" t="s">
        <v>26</v>
      </c>
      <c r="D385" s="19">
        <v>32299.999999999996</v>
      </c>
    </row>
    <row r="386" spans="1:4" x14ac:dyDescent="0.2">
      <c r="A386" s="4" t="s">
        <v>13</v>
      </c>
      <c r="B386" s="4">
        <v>2019</v>
      </c>
      <c r="C386" s="4" t="s">
        <v>26</v>
      </c>
      <c r="D386" s="19">
        <v>75900</v>
      </c>
    </row>
    <row r="387" spans="1:4" x14ac:dyDescent="0.2">
      <c r="A387" s="4" t="s">
        <v>14</v>
      </c>
      <c r="B387" s="4">
        <v>2019</v>
      </c>
      <c r="C387" s="4" t="s">
        <v>26</v>
      </c>
      <c r="D387" s="19">
        <v>116800</v>
      </c>
    </row>
    <row r="388" spans="1:4" x14ac:dyDescent="0.2">
      <c r="A388" s="4" t="s">
        <v>15</v>
      </c>
      <c r="B388" s="4">
        <v>2019</v>
      </c>
      <c r="C388" s="4" t="s">
        <v>26</v>
      </c>
      <c r="D388" s="19">
        <v>95600</v>
      </c>
    </row>
    <row r="389" spans="1:4" x14ac:dyDescent="0.2">
      <c r="A389" s="4" t="s">
        <v>16</v>
      </c>
      <c r="B389" s="4">
        <v>2019</v>
      </c>
      <c r="C389" s="4" t="s">
        <v>26</v>
      </c>
      <c r="D389" s="19">
        <v>108900</v>
      </c>
    </row>
    <row r="390" spans="1:4" x14ac:dyDescent="0.2">
      <c r="A390" s="4" t="s">
        <v>17</v>
      </c>
      <c r="B390" s="4">
        <v>2019</v>
      </c>
      <c r="C390" s="4" t="s">
        <v>26</v>
      </c>
      <c r="D390" s="19">
        <v>17400</v>
      </c>
    </row>
    <row r="391" spans="1:4" x14ac:dyDescent="0.2">
      <c r="A391" s="4" t="s">
        <v>18</v>
      </c>
      <c r="B391" s="4">
        <v>2019</v>
      </c>
      <c r="C391" s="4" t="s">
        <v>26</v>
      </c>
      <c r="D391" s="19">
        <v>58800</v>
      </c>
    </row>
    <row r="392" spans="1:4" x14ac:dyDescent="0.2">
      <c r="A392" s="4" t="s">
        <v>19</v>
      </c>
      <c r="B392" s="4">
        <v>2019</v>
      </c>
      <c r="C392" s="4" t="s">
        <v>26</v>
      </c>
      <c r="D392" s="19">
        <v>80300</v>
      </c>
    </row>
    <row r="393" spans="1:4" x14ac:dyDescent="0.2">
      <c r="A393" s="4" t="s">
        <v>20</v>
      </c>
      <c r="B393" s="4">
        <v>2019</v>
      </c>
      <c r="C393" s="4" t="s">
        <v>26</v>
      </c>
      <c r="D393" s="19">
        <v>85200</v>
      </c>
    </row>
    <row r="394" spans="1:4" x14ac:dyDescent="0.2">
      <c r="A394" s="4" t="s">
        <v>21</v>
      </c>
      <c r="B394" s="4">
        <v>2019</v>
      </c>
      <c r="C394" s="4" t="s">
        <v>26</v>
      </c>
      <c r="D394" s="19">
        <v>36800</v>
      </c>
    </row>
    <row r="395" spans="1:4" x14ac:dyDescent="0.2">
      <c r="A395" s="4" t="s">
        <v>22</v>
      </c>
      <c r="B395" s="4">
        <v>2019</v>
      </c>
      <c r="C395" s="4" t="s">
        <v>26</v>
      </c>
      <c r="D395" s="19">
        <v>194200</v>
      </c>
    </row>
    <row r="396" spans="1:4" x14ac:dyDescent="0.2">
      <c r="A396" s="4" t="s">
        <v>23</v>
      </c>
      <c r="B396" s="4">
        <v>2019</v>
      </c>
      <c r="C396" s="4" t="s">
        <v>26</v>
      </c>
      <c r="D396" s="19">
        <v>121000</v>
      </c>
    </row>
    <row r="397" spans="1:4" x14ac:dyDescent="0.2">
      <c r="A397" s="4" t="s">
        <v>24</v>
      </c>
      <c r="B397" s="4">
        <v>2019</v>
      </c>
      <c r="C397" s="4" t="s">
        <v>26</v>
      </c>
      <c r="D397" s="19">
        <v>14600</v>
      </c>
    </row>
    <row r="398" spans="1:4" x14ac:dyDescent="0.2">
      <c r="A398" s="4" t="s">
        <v>2</v>
      </c>
      <c r="B398" s="4">
        <v>2012</v>
      </c>
      <c r="C398" s="4" t="s">
        <v>27</v>
      </c>
      <c r="D398" s="19">
        <v>1525000</v>
      </c>
    </row>
    <row r="399" spans="1:4" x14ac:dyDescent="0.2">
      <c r="A399" s="4" t="s">
        <v>4</v>
      </c>
      <c r="B399" s="4">
        <v>2012</v>
      </c>
      <c r="C399" s="4" t="s">
        <v>27</v>
      </c>
      <c r="D399" s="19">
        <v>231600</v>
      </c>
    </row>
    <row r="400" spans="1:4" x14ac:dyDescent="0.2">
      <c r="A400" s="4" t="s">
        <v>5</v>
      </c>
      <c r="B400" s="4">
        <v>2012</v>
      </c>
      <c r="C400" s="4" t="s">
        <v>27</v>
      </c>
      <c r="D400" s="19">
        <v>163300</v>
      </c>
    </row>
    <row r="401" spans="1:4" x14ac:dyDescent="0.2">
      <c r="A401" s="4" t="s">
        <v>6</v>
      </c>
      <c r="B401" s="4">
        <v>2012</v>
      </c>
      <c r="C401" s="4" t="s">
        <v>27</v>
      </c>
      <c r="D401" s="19">
        <v>85200</v>
      </c>
    </row>
    <row r="402" spans="1:4" x14ac:dyDescent="0.2">
      <c r="A402" s="4" t="s">
        <v>7</v>
      </c>
      <c r="B402" s="4">
        <v>2012</v>
      </c>
      <c r="C402" s="4" t="s">
        <v>27</v>
      </c>
      <c r="D402" s="19">
        <v>138200</v>
      </c>
    </row>
    <row r="403" spans="1:4" x14ac:dyDescent="0.2">
      <c r="A403" s="4" t="s">
        <v>8</v>
      </c>
      <c r="B403" s="4">
        <v>2012</v>
      </c>
      <c r="C403" s="4" t="s">
        <v>27</v>
      </c>
      <c r="D403" s="19">
        <v>155400</v>
      </c>
    </row>
    <row r="404" spans="1:4" x14ac:dyDescent="0.2">
      <c r="A404" s="4" t="s">
        <v>9</v>
      </c>
      <c r="B404" s="4">
        <v>2012</v>
      </c>
      <c r="C404" s="4" t="s">
        <v>27</v>
      </c>
      <c r="D404" s="19">
        <v>362500</v>
      </c>
    </row>
    <row r="405" spans="1:4" x14ac:dyDescent="0.2">
      <c r="A405" s="4" t="s">
        <v>10</v>
      </c>
      <c r="B405" s="4">
        <v>2012</v>
      </c>
      <c r="C405" s="4" t="s">
        <v>27</v>
      </c>
      <c r="D405" s="19">
        <v>199600</v>
      </c>
    </row>
    <row r="406" spans="1:4" x14ac:dyDescent="0.2">
      <c r="A406" s="4" t="s">
        <v>11</v>
      </c>
      <c r="B406" s="4">
        <v>2012</v>
      </c>
      <c r="C406" s="4" t="s">
        <v>27</v>
      </c>
      <c r="D406" s="19">
        <v>192600</v>
      </c>
    </row>
    <row r="407" spans="1:4" x14ac:dyDescent="0.2">
      <c r="A407" s="4" t="s">
        <v>12</v>
      </c>
      <c r="B407" s="4">
        <v>2012</v>
      </c>
      <c r="C407" s="4" t="s">
        <v>27</v>
      </c>
      <c r="D407" s="19">
        <v>99400</v>
      </c>
    </row>
    <row r="408" spans="1:4" x14ac:dyDescent="0.2">
      <c r="A408" s="4" t="s">
        <v>13</v>
      </c>
      <c r="B408" s="4">
        <v>2012</v>
      </c>
      <c r="C408" s="4" t="s">
        <v>27</v>
      </c>
      <c r="D408" s="19">
        <v>202300</v>
      </c>
    </row>
    <row r="409" spans="1:4" x14ac:dyDescent="0.2">
      <c r="A409" s="4" t="s">
        <v>14</v>
      </c>
      <c r="B409" s="4">
        <v>2012</v>
      </c>
      <c r="C409" s="4" t="s">
        <v>27</v>
      </c>
      <c r="D409" s="19">
        <v>350000</v>
      </c>
    </row>
    <row r="410" spans="1:4" x14ac:dyDescent="0.2">
      <c r="A410" s="4" t="s">
        <v>15</v>
      </c>
      <c r="B410" s="4">
        <v>2012</v>
      </c>
      <c r="C410" s="4" t="s">
        <v>27</v>
      </c>
      <c r="D410" s="19">
        <v>312300</v>
      </c>
    </row>
    <row r="411" spans="1:4" x14ac:dyDescent="0.2">
      <c r="A411" s="4" t="s">
        <v>16</v>
      </c>
      <c r="B411" s="4">
        <v>2012</v>
      </c>
      <c r="C411" s="4" t="s">
        <v>27</v>
      </c>
      <c r="D411" s="19">
        <v>318400</v>
      </c>
    </row>
    <row r="412" spans="1:4" x14ac:dyDescent="0.2">
      <c r="A412" s="4" t="s">
        <v>17</v>
      </c>
      <c r="B412" s="4">
        <v>2012</v>
      </c>
      <c r="C412" s="4" t="s">
        <v>27</v>
      </c>
      <c r="D412" s="19">
        <v>57600</v>
      </c>
    </row>
    <row r="413" spans="1:4" x14ac:dyDescent="0.2">
      <c r="A413" s="4" t="s">
        <v>18</v>
      </c>
      <c r="B413" s="4">
        <v>2012</v>
      </c>
      <c r="C413" s="4" t="s">
        <v>27</v>
      </c>
      <c r="D413" s="19">
        <v>135500</v>
      </c>
    </row>
    <row r="414" spans="1:4" x14ac:dyDescent="0.2">
      <c r="A414" s="4" t="s">
        <v>19</v>
      </c>
      <c r="B414" s="4">
        <v>2012</v>
      </c>
      <c r="C414" s="4" t="s">
        <v>27</v>
      </c>
      <c r="D414" s="19">
        <v>212900</v>
      </c>
    </row>
    <row r="415" spans="1:4" x14ac:dyDescent="0.2">
      <c r="A415" s="4" t="s">
        <v>20</v>
      </c>
      <c r="B415" s="4">
        <v>2012</v>
      </c>
      <c r="C415" s="4" t="s">
        <v>27</v>
      </c>
      <c r="D415" s="19">
        <v>272800</v>
      </c>
    </row>
    <row r="416" spans="1:4" x14ac:dyDescent="0.2">
      <c r="A416" s="4" t="s">
        <v>21</v>
      </c>
      <c r="B416" s="4">
        <v>2012</v>
      </c>
      <c r="C416" s="4" t="s">
        <v>27</v>
      </c>
      <c r="D416" s="19">
        <v>105400</v>
      </c>
    </row>
    <row r="417" spans="1:4" x14ac:dyDescent="0.2">
      <c r="A417" s="4" t="s">
        <v>22</v>
      </c>
      <c r="B417" s="4">
        <v>2012</v>
      </c>
      <c r="C417" s="4" t="s">
        <v>27</v>
      </c>
      <c r="D417" s="19">
        <v>633600</v>
      </c>
    </row>
    <row r="418" spans="1:4" x14ac:dyDescent="0.2">
      <c r="A418" s="4" t="s">
        <v>23</v>
      </c>
      <c r="B418" s="4">
        <v>2012</v>
      </c>
      <c r="C418" s="4" t="s">
        <v>27</v>
      </c>
      <c r="D418" s="19">
        <v>502500</v>
      </c>
    </row>
    <row r="419" spans="1:4" x14ac:dyDescent="0.2">
      <c r="A419" s="4" t="s">
        <v>24</v>
      </c>
      <c r="B419" s="4">
        <v>2012</v>
      </c>
      <c r="C419" s="4" t="s">
        <v>27</v>
      </c>
      <c r="D419" s="19">
        <v>17600</v>
      </c>
    </row>
    <row r="420" spans="1:4" x14ac:dyDescent="0.2">
      <c r="A420" s="4" t="s">
        <v>2</v>
      </c>
      <c r="B420" s="4">
        <v>2019</v>
      </c>
      <c r="C420" s="4" t="s">
        <v>27</v>
      </c>
      <c r="D420" s="19">
        <v>1574600</v>
      </c>
    </row>
    <row r="421" spans="1:4" x14ac:dyDescent="0.2">
      <c r="A421" s="4" t="s">
        <v>4</v>
      </c>
      <c r="B421" s="4">
        <v>2019</v>
      </c>
      <c r="C421" s="4" t="s">
        <v>27</v>
      </c>
      <c r="D421" s="19">
        <v>244299.99999999997</v>
      </c>
    </row>
    <row r="422" spans="1:4" x14ac:dyDescent="0.2">
      <c r="A422" s="4" t="s">
        <v>5</v>
      </c>
      <c r="B422" s="4">
        <v>2019</v>
      </c>
      <c r="C422" s="4" t="s">
        <v>27</v>
      </c>
      <c r="D422" s="19">
        <v>151399.99999999997</v>
      </c>
    </row>
    <row r="423" spans="1:4" x14ac:dyDescent="0.2">
      <c r="A423" s="4" t="s">
        <v>6</v>
      </c>
      <c r="B423" s="4">
        <v>2019</v>
      </c>
      <c r="C423" s="4" t="s">
        <v>27</v>
      </c>
      <c r="D423" s="19">
        <v>91700</v>
      </c>
    </row>
    <row r="424" spans="1:4" x14ac:dyDescent="0.2">
      <c r="A424" s="4" t="s">
        <v>7</v>
      </c>
      <c r="B424" s="4">
        <v>2019</v>
      </c>
      <c r="C424" s="4" t="s">
        <v>27</v>
      </c>
      <c r="D424" s="19">
        <v>114700</v>
      </c>
    </row>
    <row r="425" spans="1:4" x14ac:dyDescent="0.2">
      <c r="A425" s="4" t="s">
        <v>8</v>
      </c>
      <c r="B425" s="4">
        <v>2019</v>
      </c>
      <c r="C425" s="4" t="s">
        <v>27</v>
      </c>
      <c r="D425" s="19">
        <v>154700</v>
      </c>
    </row>
    <row r="426" spans="1:4" x14ac:dyDescent="0.2">
      <c r="A426" s="4" t="s">
        <v>9</v>
      </c>
      <c r="B426" s="4">
        <v>2019</v>
      </c>
      <c r="C426" s="4" t="s">
        <v>27</v>
      </c>
      <c r="D426" s="19">
        <v>343100</v>
      </c>
    </row>
    <row r="427" spans="1:4" x14ac:dyDescent="0.2">
      <c r="A427" s="4" t="s">
        <v>10</v>
      </c>
      <c r="B427" s="4">
        <v>2019</v>
      </c>
      <c r="C427" s="4" t="s">
        <v>27</v>
      </c>
      <c r="D427" s="19">
        <v>202600</v>
      </c>
    </row>
    <row r="428" spans="1:4" x14ac:dyDescent="0.2">
      <c r="A428" s="4" t="s">
        <v>11</v>
      </c>
      <c r="B428" s="4">
        <v>2019</v>
      </c>
      <c r="C428" s="4" t="s">
        <v>27</v>
      </c>
      <c r="D428" s="19">
        <v>199200.00000000003</v>
      </c>
    </row>
    <row r="429" spans="1:4" x14ac:dyDescent="0.2">
      <c r="A429" s="4" t="s">
        <v>12</v>
      </c>
      <c r="B429" s="4">
        <v>2019</v>
      </c>
      <c r="C429" s="4" t="s">
        <v>27</v>
      </c>
      <c r="D429" s="19">
        <v>103900</v>
      </c>
    </row>
    <row r="430" spans="1:4" x14ac:dyDescent="0.2">
      <c r="A430" s="4" t="s">
        <v>13</v>
      </c>
      <c r="B430" s="4">
        <v>2019</v>
      </c>
      <c r="C430" s="4" t="s">
        <v>27</v>
      </c>
      <c r="D430" s="19">
        <v>235700</v>
      </c>
    </row>
    <row r="431" spans="1:4" x14ac:dyDescent="0.2">
      <c r="A431" s="4" t="s">
        <v>14</v>
      </c>
      <c r="B431" s="4">
        <v>2019</v>
      </c>
      <c r="C431" s="4" t="s">
        <v>27</v>
      </c>
      <c r="D431" s="19">
        <v>374300</v>
      </c>
    </row>
    <row r="432" spans="1:4" x14ac:dyDescent="0.2">
      <c r="A432" s="4" t="s">
        <v>15</v>
      </c>
      <c r="B432" s="4">
        <v>2019</v>
      </c>
      <c r="C432" s="4" t="s">
        <v>27</v>
      </c>
      <c r="D432" s="19">
        <v>340200.00000000006</v>
      </c>
    </row>
    <row r="433" spans="1:4" x14ac:dyDescent="0.2">
      <c r="A433" s="4" t="s">
        <v>16</v>
      </c>
      <c r="B433" s="4">
        <v>2019</v>
      </c>
      <c r="C433" s="4" t="s">
        <v>27</v>
      </c>
      <c r="D433" s="19">
        <v>342100</v>
      </c>
    </row>
    <row r="434" spans="1:4" x14ac:dyDescent="0.2">
      <c r="A434" s="4" t="s">
        <v>17</v>
      </c>
      <c r="B434" s="4">
        <v>2019</v>
      </c>
      <c r="C434" s="4" t="s">
        <v>27</v>
      </c>
      <c r="D434" s="19">
        <v>53900</v>
      </c>
    </row>
    <row r="435" spans="1:4" x14ac:dyDescent="0.2">
      <c r="A435" s="4" t="s">
        <v>18</v>
      </c>
      <c r="B435" s="4">
        <v>2019</v>
      </c>
      <c r="C435" s="4" t="s">
        <v>27</v>
      </c>
      <c r="D435" s="19">
        <v>142700</v>
      </c>
    </row>
    <row r="436" spans="1:4" x14ac:dyDescent="0.2">
      <c r="A436" s="4" t="s">
        <v>19</v>
      </c>
      <c r="B436" s="4">
        <v>2019</v>
      </c>
      <c r="C436" s="4" t="s">
        <v>27</v>
      </c>
      <c r="D436" s="19">
        <v>245300</v>
      </c>
    </row>
    <row r="437" spans="1:4" x14ac:dyDescent="0.2">
      <c r="A437" s="4" t="s">
        <v>20</v>
      </c>
      <c r="B437" s="4">
        <v>2019</v>
      </c>
      <c r="C437" s="4" t="s">
        <v>27</v>
      </c>
      <c r="D437" s="19">
        <v>282900</v>
      </c>
    </row>
    <row r="438" spans="1:4" x14ac:dyDescent="0.2">
      <c r="A438" s="4" t="s">
        <v>21</v>
      </c>
      <c r="B438" s="4">
        <v>2019</v>
      </c>
      <c r="C438" s="4" t="s">
        <v>27</v>
      </c>
      <c r="D438" s="19">
        <v>106000</v>
      </c>
    </row>
    <row r="439" spans="1:4" x14ac:dyDescent="0.2">
      <c r="A439" s="4" t="s">
        <v>22</v>
      </c>
      <c r="B439" s="4">
        <v>2019</v>
      </c>
      <c r="C439" s="4" t="s">
        <v>27</v>
      </c>
      <c r="D439" s="19">
        <v>666100</v>
      </c>
    </row>
    <row r="440" spans="1:4" x14ac:dyDescent="0.2">
      <c r="A440" s="4" t="s">
        <v>23</v>
      </c>
      <c r="B440" s="4">
        <v>2019</v>
      </c>
      <c r="C440" s="4" t="s">
        <v>27</v>
      </c>
      <c r="D440" s="19">
        <v>468400.00000000006</v>
      </c>
    </row>
    <row r="441" spans="1:4" x14ac:dyDescent="0.2">
      <c r="A441" s="4" t="s">
        <v>24</v>
      </c>
      <c r="B441" s="4">
        <v>2019</v>
      </c>
      <c r="C441" s="4" t="s">
        <v>27</v>
      </c>
      <c r="D441" s="19">
        <v>36900</v>
      </c>
    </row>
    <row r="442" spans="1:4" x14ac:dyDescent="0.2">
      <c r="A442" s="4" t="s">
        <v>2</v>
      </c>
      <c r="B442" s="4">
        <v>2012</v>
      </c>
      <c r="C442" s="4" t="s">
        <v>28</v>
      </c>
      <c r="D442" s="19">
        <v>1113900</v>
      </c>
    </row>
    <row r="443" spans="1:4" x14ac:dyDescent="0.2">
      <c r="A443" s="4" t="s">
        <v>4</v>
      </c>
      <c r="B443" s="4">
        <v>2012</v>
      </c>
      <c r="C443" s="4" t="s">
        <v>28</v>
      </c>
      <c r="D443" s="19">
        <v>123600.00000000001</v>
      </c>
    </row>
    <row r="444" spans="1:4" x14ac:dyDescent="0.2">
      <c r="A444" s="4" t="s">
        <v>5</v>
      </c>
      <c r="B444" s="4">
        <v>2012</v>
      </c>
      <c r="C444" s="4" t="s">
        <v>28</v>
      </c>
      <c r="D444" s="19">
        <v>68100</v>
      </c>
    </row>
    <row r="445" spans="1:4" x14ac:dyDescent="0.2">
      <c r="A445" s="4" t="s">
        <v>6</v>
      </c>
      <c r="B445" s="4">
        <v>2012</v>
      </c>
      <c r="C445" s="4" t="s">
        <v>28</v>
      </c>
      <c r="D445" s="19">
        <v>34200</v>
      </c>
    </row>
    <row r="446" spans="1:4" x14ac:dyDescent="0.2">
      <c r="A446" s="4" t="s">
        <v>7</v>
      </c>
      <c r="B446" s="4">
        <v>2012</v>
      </c>
      <c r="C446" s="4" t="s">
        <v>28</v>
      </c>
      <c r="D446" s="19">
        <v>53500</v>
      </c>
    </row>
    <row r="447" spans="1:4" x14ac:dyDescent="0.2">
      <c r="A447" s="4" t="s">
        <v>8</v>
      </c>
      <c r="B447" s="4">
        <v>2012</v>
      </c>
      <c r="C447" s="4" t="s">
        <v>28</v>
      </c>
      <c r="D447" s="19">
        <v>74100</v>
      </c>
    </row>
    <row r="448" spans="1:4" x14ac:dyDescent="0.2">
      <c r="A448" s="4" t="s">
        <v>9</v>
      </c>
      <c r="B448" s="4">
        <v>2012</v>
      </c>
      <c r="C448" s="4" t="s">
        <v>28</v>
      </c>
      <c r="D448" s="19">
        <v>169500</v>
      </c>
    </row>
    <row r="449" spans="1:4" x14ac:dyDescent="0.2">
      <c r="A449" s="4" t="s">
        <v>10</v>
      </c>
      <c r="B449" s="4">
        <v>2012</v>
      </c>
      <c r="C449" s="4" t="s">
        <v>28</v>
      </c>
      <c r="D449" s="19">
        <v>70900</v>
      </c>
    </row>
    <row r="450" spans="1:4" x14ac:dyDescent="0.2">
      <c r="A450" s="4" t="s">
        <v>11</v>
      </c>
      <c r="B450" s="4">
        <v>2012</v>
      </c>
      <c r="C450" s="4" t="s">
        <v>28</v>
      </c>
      <c r="D450" s="19">
        <v>87900</v>
      </c>
    </row>
    <row r="451" spans="1:4" x14ac:dyDescent="0.2">
      <c r="A451" s="4" t="s">
        <v>12</v>
      </c>
      <c r="B451" s="4">
        <v>2012</v>
      </c>
      <c r="C451" s="4" t="s">
        <v>28</v>
      </c>
      <c r="D451" s="19">
        <v>47800.000000000007</v>
      </c>
    </row>
    <row r="452" spans="1:4" x14ac:dyDescent="0.2">
      <c r="A452" s="4" t="s">
        <v>13</v>
      </c>
      <c r="B452" s="4">
        <v>2012</v>
      </c>
      <c r="C452" s="4" t="s">
        <v>28</v>
      </c>
      <c r="D452" s="19">
        <v>98900</v>
      </c>
    </row>
    <row r="453" spans="1:4" x14ac:dyDescent="0.2">
      <c r="A453" s="4" t="s">
        <v>14</v>
      </c>
      <c r="B453" s="4">
        <v>2012</v>
      </c>
      <c r="C453" s="4" t="s">
        <v>28</v>
      </c>
      <c r="D453" s="19">
        <v>174900</v>
      </c>
    </row>
    <row r="454" spans="1:4" x14ac:dyDescent="0.2">
      <c r="A454" s="4" t="s">
        <v>15</v>
      </c>
      <c r="B454" s="4">
        <v>2012</v>
      </c>
      <c r="C454" s="4" t="s">
        <v>28</v>
      </c>
      <c r="D454" s="19">
        <v>140000</v>
      </c>
    </row>
    <row r="455" spans="1:4" x14ac:dyDescent="0.2">
      <c r="A455" s="4" t="s">
        <v>16</v>
      </c>
      <c r="B455" s="4">
        <v>2012</v>
      </c>
      <c r="C455" s="4" t="s">
        <v>28</v>
      </c>
      <c r="D455" s="19">
        <v>156100</v>
      </c>
    </row>
    <row r="456" spans="1:4" x14ac:dyDescent="0.2">
      <c r="A456" s="4" t="s">
        <v>17</v>
      </c>
      <c r="B456" s="4">
        <v>2012</v>
      </c>
      <c r="C456" s="4" t="s">
        <v>28</v>
      </c>
      <c r="D456" s="19">
        <v>13800</v>
      </c>
    </row>
    <row r="457" spans="1:4" x14ac:dyDescent="0.2">
      <c r="A457" s="4" t="s">
        <v>18</v>
      </c>
      <c r="B457" s="4">
        <v>2012</v>
      </c>
      <c r="C457" s="4" t="s">
        <v>28</v>
      </c>
      <c r="D457" s="19">
        <v>84000</v>
      </c>
    </row>
    <row r="458" spans="1:4" x14ac:dyDescent="0.2">
      <c r="A458" s="4" t="s">
        <v>19</v>
      </c>
      <c r="B458" s="4">
        <v>2012</v>
      </c>
      <c r="C458" s="4" t="s">
        <v>28</v>
      </c>
      <c r="D458" s="19">
        <v>99199.999999999985</v>
      </c>
    </row>
    <row r="459" spans="1:4" x14ac:dyDescent="0.2">
      <c r="A459" s="4" t="s">
        <v>20</v>
      </c>
      <c r="B459" s="4">
        <v>2012</v>
      </c>
      <c r="C459" s="4" t="s">
        <v>28</v>
      </c>
      <c r="D459" s="19">
        <v>162200</v>
      </c>
    </row>
    <row r="460" spans="1:4" x14ac:dyDescent="0.2">
      <c r="A460" s="4" t="s">
        <v>21</v>
      </c>
      <c r="B460" s="4">
        <v>2012</v>
      </c>
      <c r="C460" s="4" t="s">
        <v>28</v>
      </c>
      <c r="D460" s="19">
        <v>51700</v>
      </c>
    </row>
    <row r="461" spans="1:4" x14ac:dyDescent="0.2">
      <c r="A461" s="4" t="s">
        <v>22</v>
      </c>
      <c r="B461" s="4">
        <v>2012</v>
      </c>
      <c r="C461" s="4" t="s">
        <v>28</v>
      </c>
      <c r="D461" s="19">
        <v>359200</v>
      </c>
    </row>
    <row r="462" spans="1:4" x14ac:dyDescent="0.2">
      <c r="A462" s="4" t="s">
        <v>23</v>
      </c>
      <c r="B462" s="4">
        <v>2012</v>
      </c>
      <c r="C462" s="4" t="s">
        <v>28</v>
      </c>
      <c r="D462" s="19">
        <v>280200</v>
      </c>
    </row>
    <row r="463" spans="1:4" x14ac:dyDescent="0.2">
      <c r="A463" s="4" t="s">
        <v>24</v>
      </c>
      <c r="B463" s="4">
        <v>2012</v>
      </c>
      <c r="C463" s="4" t="s">
        <v>28</v>
      </c>
      <c r="D463" s="19">
        <v>7500</v>
      </c>
    </row>
    <row r="464" spans="1:4" x14ac:dyDescent="0.2">
      <c r="A464" s="4" t="s">
        <v>2</v>
      </c>
      <c r="B464" s="4">
        <v>2019</v>
      </c>
      <c r="C464" s="4" t="s">
        <v>28</v>
      </c>
      <c r="D464" s="19">
        <v>1215600</v>
      </c>
    </row>
    <row r="465" spans="1:4" x14ac:dyDescent="0.2">
      <c r="A465" s="4" t="s">
        <v>4</v>
      </c>
      <c r="B465" s="4">
        <v>2019</v>
      </c>
      <c r="C465" s="4" t="s">
        <v>28</v>
      </c>
      <c r="D465" s="19">
        <v>118100</v>
      </c>
    </row>
    <row r="466" spans="1:4" x14ac:dyDescent="0.2">
      <c r="A466" s="4" t="s">
        <v>5</v>
      </c>
      <c r="B466" s="4">
        <v>2019</v>
      </c>
      <c r="C466" s="4" t="s">
        <v>28</v>
      </c>
      <c r="D466" s="19">
        <v>65300</v>
      </c>
    </row>
    <row r="467" spans="1:4" x14ac:dyDescent="0.2">
      <c r="A467" s="4" t="s">
        <v>6</v>
      </c>
      <c r="B467" s="4">
        <v>2019</v>
      </c>
      <c r="C467" s="4" t="s">
        <v>28</v>
      </c>
      <c r="D467" s="19">
        <v>39600</v>
      </c>
    </row>
    <row r="468" spans="1:4" x14ac:dyDescent="0.2">
      <c r="A468" s="4" t="s">
        <v>7</v>
      </c>
      <c r="B468" s="4">
        <v>2019</v>
      </c>
      <c r="C468" s="4" t="s">
        <v>28</v>
      </c>
      <c r="D468" s="19">
        <v>47300</v>
      </c>
    </row>
    <row r="469" spans="1:4" x14ac:dyDescent="0.2">
      <c r="A469" s="4" t="s">
        <v>8</v>
      </c>
      <c r="B469" s="4">
        <v>2019</v>
      </c>
      <c r="C469" s="4" t="s">
        <v>28</v>
      </c>
      <c r="D469" s="19">
        <v>85600</v>
      </c>
    </row>
    <row r="470" spans="1:4" x14ac:dyDescent="0.2">
      <c r="A470" s="4" t="s">
        <v>9</v>
      </c>
      <c r="B470" s="4">
        <v>2019</v>
      </c>
      <c r="C470" s="4" t="s">
        <v>28</v>
      </c>
      <c r="D470" s="19">
        <v>164300</v>
      </c>
    </row>
    <row r="471" spans="1:4" x14ac:dyDescent="0.2">
      <c r="A471" s="4" t="s">
        <v>10</v>
      </c>
      <c r="B471" s="4">
        <v>2019</v>
      </c>
      <c r="C471" s="4" t="s">
        <v>28</v>
      </c>
      <c r="D471" s="19">
        <v>61400.000000000007</v>
      </c>
    </row>
    <row r="472" spans="1:4" x14ac:dyDescent="0.2">
      <c r="A472" s="4" t="s">
        <v>11</v>
      </c>
      <c r="B472" s="4">
        <v>2019</v>
      </c>
      <c r="C472" s="4" t="s">
        <v>28</v>
      </c>
      <c r="D472" s="19">
        <v>114600</v>
      </c>
    </row>
    <row r="473" spans="1:4" x14ac:dyDescent="0.2">
      <c r="A473" s="4" t="s">
        <v>12</v>
      </c>
      <c r="B473" s="4">
        <v>2019</v>
      </c>
      <c r="C473" s="4" t="s">
        <v>28</v>
      </c>
      <c r="D473" s="19">
        <v>48800</v>
      </c>
    </row>
    <row r="474" spans="1:4" x14ac:dyDescent="0.2">
      <c r="A474" s="4" t="s">
        <v>13</v>
      </c>
      <c r="B474" s="4">
        <v>2019</v>
      </c>
      <c r="C474" s="4" t="s">
        <v>28</v>
      </c>
      <c r="D474" s="19">
        <v>112199.99999999999</v>
      </c>
    </row>
    <row r="475" spans="1:4" x14ac:dyDescent="0.2">
      <c r="A475" s="4" t="s">
        <v>14</v>
      </c>
      <c r="B475" s="4">
        <v>2019</v>
      </c>
      <c r="C475" s="4" t="s">
        <v>28</v>
      </c>
      <c r="D475" s="19">
        <v>205200.00000000003</v>
      </c>
    </row>
    <row r="476" spans="1:4" x14ac:dyDescent="0.2">
      <c r="A476" s="4" t="s">
        <v>15</v>
      </c>
      <c r="B476" s="4">
        <v>2019</v>
      </c>
      <c r="C476" s="4" t="s">
        <v>28</v>
      </c>
      <c r="D476" s="19">
        <v>150700</v>
      </c>
    </row>
    <row r="477" spans="1:4" x14ac:dyDescent="0.2">
      <c r="A477" s="4" t="s">
        <v>16</v>
      </c>
      <c r="B477" s="4">
        <v>2019</v>
      </c>
      <c r="C477" s="4" t="s">
        <v>28</v>
      </c>
      <c r="D477" s="19">
        <v>165400</v>
      </c>
    </row>
    <row r="478" spans="1:4" x14ac:dyDescent="0.2">
      <c r="A478" s="4" t="s">
        <v>17</v>
      </c>
      <c r="B478" s="4">
        <v>2019</v>
      </c>
      <c r="C478" s="4" t="s">
        <v>28</v>
      </c>
      <c r="D478" s="19">
        <v>22700</v>
      </c>
    </row>
    <row r="479" spans="1:4" x14ac:dyDescent="0.2">
      <c r="A479" s="4" t="s">
        <v>18</v>
      </c>
      <c r="B479" s="4">
        <v>2019</v>
      </c>
      <c r="C479" s="4" t="s">
        <v>28</v>
      </c>
      <c r="D479" s="19">
        <v>77800</v>
      </c>
    </row>
    <row r="480" spans="1:4" x14ac:dyDescent="0.2">
      <c r="A480" s="4" t="s">
        <v>19</v>
      </c>
      <c r="B480" s="4">
        <v>2019</v>
      </c>
      <c r="C480" s="4" t="s">
        <v>28</v>
      </c>
      <c r="D480" s="19">
        <v>112400</v>
      </c>
    </row>
    <row r="481" spans="1:4" x14ac:dyDescent="0.2">
      <c r="A481" s="4" t="s">
        <v>20</v>
      </c>
      <c r="B481" s="4">
        <v>2019</v>
      </c>
      <c r="C481" s="4" t="s">
        <v>28</v>
      </c>
      <c r="D481" s="19">
        <v>183500</v>
      </c>
    </row>
    <row r="482" spans="1:4" x14ac:dyDescent="0.2">
      <c r="A482" s="4" t="s">
        <v>21</v>
      </c>
      <c r="B482" s="4">
        <v>2019</v>
      </c>
      <c r="C482" s="4" t="s">
        <v>28</v>
      </c>
      <c r="D482" s="19">
        <v>54699.999999999993</v>
      </c>
    </row>
    <row r="483" spans="1:4" x14ac:dyDescent="0.2">
      <c r="A483" s="4" t="s">
        <v>22</v>
      </c>
      <c r="B483" s="4">
        <v>2019</v>
      </c>
      <c r="C483" s="4" t="s">
        <v>28</v>
      </c>
      <c r="D483" s="19">
        <v>442900</v>
      </c>
    </row>
    <row r="484" spans="1:4" x14ac:dyDescent="0.2">
      <c r="A484" s="4" t="s">
        <v>23</v>
      </c>
      <c r="B484" s="4">
        <v>2019</v>
      </c>
      <c r="C484" s="4" t="s">
        <v>28</v>
      </c>
      <c r="D484" s="19">
        <v>277400</v>
      </c>
    </row>
    <row r="485" spans="1:4" x14ac:dyDescent="0.2">
      <c r="A485" s="4" t="s">
        <v>24</v>
      </c>
      <c r="B485" s="4">
        <v>2019</v>
      </c>
      <c r="C485" s="4" t="s">
        <v>28</v>
      </c>
      <c r="D485" s="19">
        <v>12600</v>
      </c>
    </row>
    <row r="486" spans="1:4" x14ac:dyDescent="0.2">
      <c r="A486" s="4" t="s">
        <v>2</v>
      </c>
      <c r="B486" s="4">
        <v>2012</v>
      </c>
      <c r="C486" s="4" t="s">
        <v>29</v>
      </c>
      <c r="D486" s="19">
        <v>1743500</v>
      </c>
    </row>
    <row r="487" spans="1:4" x14ac:dyDescent="0.2">
      <c r="A487" s="4" t="s">
        <v>4</v>
      </c>
      <c r="B487" s="4">
        <v>2012</v>
      </c>
      <c r="C487" s="4" t="s">
        <v>29</v>
      </c>
      <c r="D487" s="19">
        <v>363500</v>
      </c>
    </row>
    <row r="488" spans="1:4" x14ac:dyDescent="0.2">
      <c r="A488" s="4" t="s">
        <v>5</v>
      </c>
      <c r="B488" s="4">
        <v>2012</v>
      </c>
      <c r="C488" s="4" t="s">
        <v>29</v>
      </c>
      <c r="D488" s="19">
        <v>228300</v>
      </c>
    </row>
    <row r="489" spans="1:4" x14ac:dyDescent="0.2">
      <c r="A489" s="4" t="s">
        <v>6</v>
      </c>
      <c r="B489" s="4">
        <v>2012</v>
      </c>
      <c r="C489" s="4" t="s">
        <v>29</v>
      </c>
      <c r="D489" s="19">
        <v>173100</v>
      </c>
    </row>
    <row r="490" spans="1:4" x14ac:dyDescent="0.2">
      <c r="A490" s="4" t="s">
        <v>7</v>
      </c>
      <c r="B490" s="4">
        <v>2012</v>
      </c>
      <c r="C490" s="4" t="s">
        <v>29</v>
      </c>
      <c r="D490" s="19">
        <v>215800</v>
      </c>
    </row>
    <row r="491" spans="1:4" x14ac:dyDescent="0.2">
      <c r="A491" s="4" t="s">
        <v>8</v>
      </c>
      <c r="B491" s="4">
        <v>2012</v>
      </c>
      <c r="C491" s="4" t="s">
        <v>29</v>
      </c>
      <c r="D491" s="19">
        <v>275500</v>
      </c>
    </row>
    <row r="492" spans="1:4" x14ac:dyDescent="0.2">
      <c r="A492" s="4" t="s">
        <v>9</v>
      </c>
      <c r="B492" s="4">
        <v>2012</v>
      </c>
      <c r="C492" s="4" t="s">
        <v>29</v>
      </c>
      <c r="D492" s="19">
        <v>595700</v>
      </c>
    </row>
    <row r="493" spans="1:4" x14ac:dyDescent="0.2">
      <c r="A493" s="4" t="s">
        <v>10</v>
      </c>
      <c r="B493" s="4">
        <v>2012</v>
      </c>
      <c r="C493" s="4" t="s">
        <v>29</v>
      </c>
      <c r="D493" s="19">
        <v>273000</v>
      </c>
    </row>
    <row r="494" spans="1:4" x14ac:dyDescent="0.2">
      <c r="A494" s="4" t="s">
        <v>11</v>
      </c>
      <c r="B494" s="4">
        <v>2012</v>
      </c>
      <c r="C494" s="4" t="s">
        <v>29</v>
      </c>
      <c r="D494" s="19">
        <v>287500</v>
      </c>
    </row>
    <row r="495" spans="1:4" x14ac:dyDescent="0.2">
      <c r="A495" s="4" t="s">
        <v>12</v>
      </c>
      <c r="B495" s="4">
        <v>2012</v>
      </c>
      <c r="C495" s="4" t="s">
        <v>29</v>
      </c>
      <c r="D495" s="19">
        <v>187500</v>
      </c>
    </row>
    <row r="496" spans="1:4" x14ac:dyDescent="0.2">
      <c r="A496" s="4" t="s">
        <v>13</v>
      </c>
      <c r="B496" s="4">
        <v>2012</v>
      </c>
      <c r="C496" s="4" t="s">
        <v>29</v>
      </c>
      <c r="D496" s="19">
        <v>366400</v>
      </c>
    </row>
    <row r="497" spans="1:4" x14ac:dyDescent="0.2">
      <c r="A497" s="4" t="s">
        <v>14</v>
      </c>
      <c r="B497" s="4">
        <v>2012</v>
      </c>
      <c r="C497" s="4" t="s">
        <v>29</v>
      </c>
      <c r="D497" s="19">
        <v>515900</v>
      </c>
    </row>
    <row r="498" spans="1:4" x14ac:dyDescent="0.2">
      <c r="A498" s="4" t="s">
        <v>15</v>
      </c>
      <c r="B498" s="4">
        <v>2012</v>
      </c>
      <c r="C498" s="4" t="s">
        <v>29</v>
      </c>
      <c r="D498" s="19">
        <v>478800</v>
      </c>
    </row>
    <row r="499" spans="1:4" x14ac:dyDescent="0.2">
      <c r="A499" s="4" t="s">
        <v>16</v>
      </c>
      <c r="B499" s="4">
        <v>2012</v>
      </c>
      <c r="C499" s="4" t="s">
        <v>29</v>
      </c>
      <c r="D499" s="19">
        <v>513700.00000000006</v>
      </c>
    </row>
    <row r="500" spans="1:4" x14ac:dyDescent="0.2">
      <c r="A500" s="4" t="s">
        <v>17</v>
      </c>
      <c r="B500" s="4">
        <v>2012</v>
      </c>
      <c r="C500" s="4" t="s">
        <v>29</v>
      </c>
      <c r="D500" s="19">
        <v>129000</v>
      </c>
    </row>
    <row r="501" spans="1:4" x14ac:dyDescent="0.2">
      <c r="A501" s="4" t="s">
        <v>18</v>
      </c>
      <c r="B501" s="4">
        <v>2012</v>
      </c>
      <c r="C501" s="4" t="s">
        <v>29</v>
      </c>
      <c r="D501" s="19">
        <v>264800</v>
      </c>
    </row>
    <row r="502" spans="1:4" x14ac:dyDescent="0.2">
      <c r="A502" s="4" t="s">
        <v>19</v>
      </c>
      <c r="B502" s="4">
        <v>2012</v>
      </c>
      <c r="C502" s="4" t="s">
        <v>29</v>
      </c>
      <c r="D502" s="19">
        <v>411200</v>
      </c>
    </row>
    <row r="503" spans="1:4" x14ac:dyDescent="0.2">
      <c r="A503" s="4" t="s">
        <v>20</v>
      </c>
      <c r="B503" s="4">
        <v>2012</v>
      </c>
      <c r="C503" s="4" t="s">
        <v>29</v>
      </c>
      <c r="D503" s="19">
        <v>458400</v>
      </c>
    </row>
    <row r="504" spans="1:4" x14ac:dyDescent="0.2">
      <c r="A504" s="4" t="s">
        <v>21</v>
      </c>
      <c r="B504" s="4">
        <v>2012</v>
      </c>
      <c r="C504" s="4" t="s">
        <v>29</v>
      </c>
      <c r="D504" s="19">
        <v>202000</v>
      </c>
    </row>
    <row r="505" spans="1:4" x14ac:dyDescent="0.2">
      <c r="A505" s="4" t="s">
        <v>22</v>
      </c>
      <c r="B505" s="4">
        <v>2012</v>
      </c>
      <c r="C505" s="4" t="s">
        <v>29</v>
      </c>
      <c r="D505" s="19">
        <v>909200</v>
      </c>
    </row>
    <row r="506" spans="1:4" x14ac:dyDescent="0.2">
      <c r="A506" s="4" t="s">
        <v>23</v>
      </c>
      <c r="B506" s="4">
        <v>2012</v>
      </c>
      <c r="C506" s="4" t="s">
        <v>29</v>
      </c>
      <c r="D506" s="19">
        <v>753600</v>
      </c>
    </row>
    <row r="507" spans="1:4" x14ac:dyDescent="0.2">
      <c r="A507" s="4" t="s">
        <v>24</v>
      </c>
      <c r="B507" s="4">
        <v>2012</v>
      </c>
      <c r="C507" s="4" t="s">
        <v>29</v>
      </c>
      <c r="D507" s="19">
        <v>25400</v>
      </c>
    </row>
    <row r="508" spans="1:4" x14ac:dyDescent="0.2">
      <c r="A508" s="4" t="s">
        <v>2</v>
      </c>
      <c r="B508" s="4">
        <v>2019</v>
      </c>
      <c r="C508" s="4" t="s">
        <v>29</v>
      </c>
      <c r="D508" s="19">
        <v>1800500</v>
      </c>
    </row>
    <row r="509" spans="1:4" x14ac:dyDescent="0.2">
      <c r="A509" s="4" t="s">
        <v>4</v>
      </c>
      <c r="B509" s="4">
        <v>2019</v>
      </c>
      <c r="C509" s="4" t="s">
        <v>29</v>
      </c>
      <c r="D509" s="19">
        <v>368500</v>
      </c>
    </row>
    <row r="510" spans="1:4" x14ac:dyDescent="0.2">
      <c r="A510" s="4" t="s">
        <v>5</v>
      </c>
      <c r="B510" s="4">
        <v>2019</v>
      </c>
      <c r="C510" s="4" t="s">
        <v>29</v>
      </c>
      <c r="D510" s="19">
        <v>243000</v>
      </c>
    </row>
    <row r="511" spans="1:4" x14ac:dyDescent="0.2">
      <c r="A511" s="4" t="s">
        <v>6</v>
      </c>
      <c r="B511" s="4">
        <v>2019</v>
      </c>
      <c r="C511" s="4" t="s">
        <v>29</v>
      </c>
      <c r="D511" s="19">
        <v>153300</v>
      </c>
    </row>
    <row r="512" spans="1:4" x14ac:dyDescent="0.2">
      <c r="A512" s="4" t="s">
        <v>7</v>
      </c>
      <c r="B512" s="4">
        <v>2019</v>
      </c>
      <c r="C512" s="4" t="s">
        <v>29</v>
      </c>
      <c r="D512" s="19">
        <v>206100</v>
      </c>
    </row>
    <row r="513" spans="1:4" x14ac:dyDescent="0.2">
      <c r="A513" s="4" t="s">
        <v>8</v>
      </c>
      <c r="B513" s="4">
        <v>2019</v>
      </c>
      <c r="C513" s="4" t="s">
        <v>29</v>
      </c>
      <c r="D513" s="19">
        <v>260500</v>
      </c>
    </row>
    <row r="514" spans="1:4" x14ac:dyDescent="0.2">
      <c r="A514" s="4" t="s">
        <v>9</v>
      </c>
      <c r="B514" s="4">
        <v>2019</v>
      </c>
      <c r="C514" s="4" t="s">
        <v>29</v>
      </c>
      <c r="D514" s="19">
        <v>614500</v>
      </c>
    </row>
    <row r="515" spans="1:4" x14ac:dyDescent="0.2">
      <c r="A515" s="4" t="s">
        <v>10</v>
      </c>
      <c r="B515" s="4">
        <v>2019</v>
      </c>
      <c r="C515" s="4" t="s">
        <v>29</v>
      </c>
      <c r="D515" s="19">
        <v>288900</v>
      </c>
    </row>
    <row r="516" spans="1:4" x14ac:dyDescent="0.2">
      <c r="A516" s="4" t="s">
        <v>11</v>
      </c>
      <c r="B516" s="4">
        <v>2019</v>
      </c>
      <c r="C516" s="4" t="s">
        <v>29</v>
      </c>
      <c r="D516" s="19">
        <v>288100</v>
      </c>
    </row>
    <row r="517" spans="1:4" x14ac:dyDescent="0.2">
      <c r="A517" s="4" t="s">
        <v>12</v>
      </c>
      <c r="B517" s="4">
        <v>2019</v>
      </c>
      <c r="C517" s="4" t="s">
        <v>29</v>
      </c>
      <c r="D517" s="19">
        <v>172200.00000000003</v>
      </c>
    </row>
    <row r="518" spans="1:4" x14ac:dyDescent="0.2">
      <c r="A518" s="4" t="s">
        <v>13</v>
      </c>
      <c r="B518" s="4">
        <v>2019</v>
      </c>
      <c r="C518" s="4" t="s">
        <v>29</v>
      </c>
      <c r="D518" s="19">
        <v>311600</v>
      </c>
    </row>
    <row r="519" spans="1:4" x14ac:dyDescent="0.2">
      <c r="A519" s="4" t="s">
        <v>14</v>
      </c>
      <c r="B519" s="4">
        <v>2019</v>
      </c>
      <c r="C519" s="4" t="s">
        <v>29</v>
      </c>
      <c r="D519" s="19">
        <v>500900</v>
      </c>
    </row>
    <row r="520" spans="1:4" x14ac:dyDescent="0.2">
      <c r="A520" s="4" t="s">
        <v>15</v>
      </c>
      <c r="B520" s="4">
        <v>2019</v>
      </c>
      <c r="C520" s="4" t="s">
        <v>29</v>
      </c>
      <c r="D520" s="19">
        <v>475299.99999999994</v>
      </c>
    </row>
    <row r="521" spans="1:4" x14ac:dyDescent="0.2">
      <c r="A521" s="4" t="s">
        <v>16</v>
      </c>
      <c r="B521" s="4">
        <v>2019</v>
      </c>
      <c r="C521" s="4" t="s">
        <v>29</v>
      </c>
      <c r="D521" s="19">
        <v>548000</v>
      </c>
    </row>
    <row r="522" spans="1:4" x14ac:dyDescent="0.2">
      <c r="A522" s="4" t="s">
        <v>17</v>
      </c>
      <c r="B522" s="4">
        <v>2019</v>
      </c>
      <c r="C522" s="4" t="s">
        <v>29</v>
      </c>
      <c r="D522" s="19">
        <v>125100</v>
      </c>
    </row>
    <row r="523" spans="1:4" x14ac:dyDescent="0.2">
      <c r="A523" s="4" t="s">
        <v>18</v>
      </c>
      <c r="B523" s="4">
        <v>2019</v>
      </c>
      <c r="C523" s="4" t="s">
        <v>29</v>
      </c>
      <c r="D523" s="19">
        <v>269200</v>
      </c>
    </row>
    <row r="524" spans="1:4" x14ac:dyDescent="0.2">
      <c r="A524" s="4" t="s">
        <v>19</v>
      </c>
      <c r="B524" s="4">
        <v>2019</v>
      </c>
      <c r="C524" s="4" t="s">
        <v>29</v>
      </c>
      <c r="D524" s="19">
        <v>411700</v>
      </c>
    </row>
    <row r="525" spans="1:4" x14ac:dyDescent="0.2">
      <c r="A525" s="4" t="s">
        <v>20</v>
      </c>
      <c r="B525" s="4">
        <v>2019</v>
      </c>
      <c r="C525" s="4" t="s">
        <v>29</v>
      </c>
      <c r="D525" s="19">
        <v>457300</v>
      </c>
    </row>
    <row r="526" spans="1:4" x14ac:dyDescent="0.2">
      <c r="A526" s="4" t="s">
        <v>21</v>
      </c>
      <c r="B526" s="4">
        <v>2019</v>
      </c>
      <c r="C526" s="4" t="s">
        <v>29</v>
      </c>
      <c r="D526" s="19">
        <v>221800</v>
      </c>
    </row>
    <row r="527" spans="1:4" x14ac:dyDescent="0.2">
      <c r="A527" s="4" t="s">
        <v>22</v>
      </c>
      <c r="B527" s="4">
        <v>2019</v>
      </c>
      <c r="C527" s="4" t="s">
        <v>29</v>
      </c>
      <c r="D527" s="19">
        <v>947699.99999999988</v>
      </c>
    </row>
    <row r="528" spans="1:4" x14ac:dyDescent="0.2">
      <c r="A528" s="4" t="s">
        <v>23</v>
      </c>
      <c r="B528" s="4">
        <v>2019</v>
      </c>
      <c r="C528" s="4" t="s">
        <v>29</v>
      </c>
      <c r="D528" s="19">
        <v>802400.00000000012</v>
      </c>
    </row>
    <row r="529" spans="1:4" x14ac:dyDescent="0.2">
      <c r="A529" s="4" t="s">
        <v>24</v>
      </c>
      <c r="B529" s="4">
        <v>2019</v>
      </c>
      <c r="C529" s="4" t="s">
        <v>29</v>
      </c>
      <c r="D529" s="19">
        <v>45500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2871-667F-A740-BB97-B282AF7AE01E}">
  <dimension ref="A1:C25"/>
  <sheetViews>
    <sheetView workbookViewId="0">
      <selection activeCell="K33" sqref="K33"/>
    </sheetView>
  </sheetViews>
  <sheetFormatPr baseColWidth="10" defaultRowHeight="16" x14ac:dyDescent="0.2"/>
  <cols>
    <col min="1" max="2" width="10.83203125" style="1"/>
    <col min="3" max="3" width="17.5" style="3" bestFit="1" customWidth="1"/>
  </cols>
  <sheetData>
    <row r="1" spans="1:3" s="8" customFormat="1" x14ac:dyDescent="0.2">
      <c r="A1" s="6" t="s">
        <v>1</v>
      </c>
      <c r="B1" s="6" t="s">
        <v>30</v>
      </c>
      <c r="C1" s="10" t="s">
        <v>31</v>
      </c>
    </row>
    <row r="2" spans="1:3" x14ac:dyDescent="0.2">
      <c r="A2" s="4">
        <v>1999</v>
      </c>
      <c r="B2" s="4" t="s">
        <v>3</v>
      </c>
      <c r="C2" s="11">
        <v>64781273</v>
      </c>
    </row>
    <row r="3" spans="1:3" x14ac:dyDescent="0.2">
      <c r="A3" s="4">
        <v>1999</v>
      </c>
      <c r="B3" s="4" t="s">
        <v>25</v>
      </c>
      <c r="C3" s="11">
        <v>7950620767</v>
      </c>
    </row>
    <row r="4" spans="1:3" x14ac:dyDescent="0.2">
      <c r="A4" s="4">
        <v>1999</v>
      </c>
      <c r="B4" s="4" t="s">
        <v>26</v>
      </c>
      <c r="C4" s="11">
        <v>0</v>
      </c>
    </row>
    <row r="5" spans="1:3" x14ac:dyDescent="0.2">
      <c r="A5" s="4">
        <v>1999</v>
      </c>
      <c r="B5" s="4" t="s">
        <v>27</v>
      </c>
      <c r="C5" s="11">
        <v>0</v>
      </c>
    </row>
    <row r="6" spans="1:3" x14ac:dyDescent="0.2">
      <c r="A6" s="4">
        <v>1999</v>
      </c>
      <c r="B6" s="4" t="s">
        <v>28</v>
      </c>
      <c r="C6" s="11">
        <v>6167</v>
      </c>
    </row>
    <row r="7" spans="1:3" x14ac:dyDescent="0.2">
      <c r="A7" s="4">
        <v>1999</v>
      </c>
      <c r="B7" s="4" t="s">
        <v>29</v>
      </c>
      <c r="C7" s="11">
        <v>31546240</v>
      </c>
    </row>
    <row r="8" spans="1:3" x14ac:dyDescent="0.2">
      <c r="A8" s="4">
        <v>2011</v>
      </c>
      <c r="B8" s="4" t="s">
        <v>3</v>
      </c>
      <c r="C8" s="11">
        <v>212799718</v>
      </c>
    </row>
    <row r="9" spans="1:3" x14ac:dyDescent="0.2">
      <c r="A9" s="4">
        <v>2011</v>
      </c>
      <c r="B9" s="4" t="s">
        <v>25</v>
      </c>
      <c r="C9" s="11">
        <v>57137720223</v>
      </c>
    </row>
    <row r="10" spans="1:3" x14ac:dyDescent="0.2">
      <c r="A10" s="4">
        <v>2011</v>
      </c>
      <c r="B10" s="4" t="s">
        <v>26</v>
      </c>
      <c r="C10" s="11">
        <v>0</v>
      </c>
    </row>
    <row r="11" spans="1:3" x14ac:dyDescent="0.2">
      <c r="A11" s="4">
        <v>2011</v>
      </c>
      <c r="B11" s="4" t="s">
        <v>27</v>
      </c>
      <c r="C11" s="11">
        <v>0</v>
      </c>
    </row>
    <row r="12" spans="1:3" x14ac:dyDescent="0.2">
      <c r="A12" s="4">
        <v>2011</v>
      </c>
      <c r="B12" s="4" t="s">
        <v>28</v>
      </c>
      <c r="C12" s="11">
        <v>402637</v>
      </c>
    </row>
    <row r="13" spans="1:3" x14ac:dyDescent="0.2">
      <c r="A13" s="4">
        <v>2011</v>
      </c>
      <c r="B13" s="4" t="s">
        <v>29</v>
      </c>
      <c r="C13" s="11">
        <v>69148019</v>
      </c>
    </row>
    <row r="14" spans="1:3" x14ac:dyDescent="0.2">
      <c r="A14" s="4">
        <v>2012</v>
      </c>
      <c r="B14" s="4" t="s">
        <v>3</v>
      </c>
      <c r="C14" s="11">
        <v>172053823</v>
      </c>
    </row>
    <row r="15" spans="1:3" x14ac:dyDescent="0.2">
      <c r="A15" s="4">
        <v>2012</v>
      </c>
      <c r="B15" s="4" t="s">
        <v>25</v>
      </c>
      <c r="C15" s="11">
        <v>53252887159</v>
      </c>
    </row>
    <row r="16" spans="1:3" x14ac:dyDescent="0.2">
      <c r="A16" s="4">
        <v>2012</v>
      </c>
      <c r="B16" s="4" t="s">
        <v>26</v>
      </c>
      <c r="C16" s="11">
        <v>0</v>
      </c>
    </row>
    <row r="17" spans="1:3" x14ac:dyDescent="0.2">
      <c r="A17" s="4">
        <v>2012</v>
      </c>
      <c r="B17" s="4" t="s">
        <v>27</v>
      </c>
      <c r="C17" s="11">
        <v>0</v>
      </c>
    </row>
    <row r="18" spans="1:3" x14ac:dyDescent="0.2">
      <c r="A18" s="4">
        <v>2012</v>
      </c>
      <c r="B18" s="4" t="s">
        <v>28</v>
      </c>
      <c r="C18" s="11">
        <v>353055</v>
      </c>
    </row>
    <row r="19" spans="1:3" x14ac:dyDescent="0.2">
      <c r="A19" s="4">
        <v>2012</v>
      </c>
      <c r="B19" s="4" t="s">
        <v>29</v>
      </c>
      <c r="C19" s="11">
        <v>10839454</v>
      </c>
    </row>
    <row r="20" spans="1:3" x14ac:dyDescent="0.2">
      <c r="A20" s="4">
        <v>2019</v>
      </c>
      <c r="B20" s="4" t="s">
        <v>3</v>
      </c>
      <c r="C20" s="11">
        <v>146845314.26199996</v>
      </c>
    </row>
    <row r="21" spans="1:3" x14ac:dyDescent="0.2">
      <c r="A21" s="4">
        <v>2019</v>
      </c>
      <c r="B21" s="4" t="s">
        <v>25</v>
      </c>
      <c r="C21" s="11">
        <v>59390417512.374008</v>
      </c>
    </row>
    <row r="22" spans="1:3" x14ac:dyDescent="0.2">
      <c r="A22" s="4">
        <v>2019</v>
      </c>
      <c r="B22" s="4" t="s">
        <v>26</v>
      </c>
      <c r="C22" s="11">
        <v>0</v>
      </c>
    </row>
    <row r="23" spans="1:3" x14ac:dyDescent="0.2">
      <c r="A23" s="4">
        <v>2019</v>
      </c>
      <c r="B23" s="4" t="s">
        <v>27</v>
      </c>
      <c r="C23" s="11">
        <v>0</v>
      </c>
    </row>
    <row r="24" spans="1:3" x14ac:dyDescent="0.2">
      <c r="A24" s="4">
        <v>2019</v>
      </c>
      <c r="B24" s="4" t="s">
        <v>28</v>
      </c>
      <c r="C24" s="11">
        <v>260291.07</v>
      </c>
    </row>
    <row r="25" spans="1:3" x14ac:dyDescent="0.2">
      <c r="A25" s="4">
        <v>2019</v>
      </c>
      <c r="B25" s="4" t="s">
        <v>29</v>
      </c>
      <c r="C25" s="11">
        <v>7639184.6460000006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05E5-1A34-FC41-8DE1-C8F408899FC2}">
  <dimension ref="A1:C25"/>
  <sheetViews>
    <sheetView workbookViewId="0">
      <selection activeCell="C2" sqref="C2"/>
    </sheetView>
  </sheetViews>
  <sheetFormatPr baseColWidth="10" defaultRowHeight="16" x14ac:dyDescent="0.2"/>
  <cols>
    <col min="1" max="3" width="10.83203125" style="1"/>
  </cols>
  <sheetData>
    <row r="1" spans="1:3" x14ac:dyDescent="0.2">
      <c r="A1" s="6" t="s">
        <v>1</v>
      </c>
      <c r="B1" s="6" t="s">
        <v>30</v>
      </c>
      <c r="C1" s="6" t="s">
        <v>32</v>
      </c>
    </row>
    <row r="2" spans="1:3" x14ac:dyDescent="0.2">
      <c r="A2" s="4">
        <v>1999</v>
      </c>
      <c r="B2" s="4" t="s">
        <v>3</v>
      </c>
      <c r="C2" s="5">
        <f>SUM(employment!D2:D23)</f>
        <v>919800</v>
      </c>
    </row>
    <row r="3" spans="1:3" x14ac:dyDescent="0.2">
      <c r="A3" s="4">
        <v>1999</v>
      </c>
      <c r="B3" s="4" t="s">
        <v>25</v>
      </c>
      <c r="C3" s="5">
        <f>SUM(employment!D46:D67)</f>
        <v>4463500</v>
      </c>
    </row>
    <row r="4" spans="1:3" x14ac:dyDescent="0.2">
      <c r="A4" s="4">
        <v>1999</v>
      </c>
      <c r="B4" s="4" t="s">
        <v>26</v>
      </c>
      <c r="C4" s="5">
        <f>SUM(employment!D90:D111)</f>
        <v>1435000</v>
      </c>
    </row>
    <row r="5" spans="1:3" x14ac:dyDescent="0.2">
      <c r="A5" s="4">
        <v>1999</v>
      </c>
      <c r="B5" s="4" t="s">
        <v>27</v>
      </c>
      <c r="C5" s="5">
        <f>SUM(employment!D134:D155)</f>
        <v>5179800</v>
      </c>
    </row>
    <row r="6" spans="1:3" x14ac:dyDescent="0.2">
      <c r="A6" s="4">
        <v>1999</v>
      </c>
      <c r="B6" s="4" t="s">
        <v>28</v>
      </c>
      <c r="C6" s="5">
        <f>SUM(employment!D178:D199)</f>
        <v>2769700</v>
      </c>
    </row>
    <row r="7" spans="1:3" x14ac:dyDescent="0.2">
      <c r="A7" s="4">
        <v>1999</v>
      </c>
      <c r="B7" s="4" t="s">
        <v>29</v>
      </c>
      <c r="C7" s="5">
        <f>SUM(employment!D222:D243)</f>
        <v>7617400</v>
      </c>
    </row>
    <row r="8" spans="1:3" x14ac:dyDescent="0.2">
      <c r="A8" s="4">
        <v>2011</v>
      </c>
      <c r="B8" s="4" t="s">
        <v>3</v>
      </c>
      <c r="C8" s="5">
        <f>SUM(employment!D24:D45)</f>
        <v>722400</v>
      </c>
    </row>
    <row r="9" spans="1:3" x14ac:dyDescent="0.2">
      <c r="A9" s="4">
        <v>2011</v>
      </c>
      <c r="B9" s="4" t="s">
        <v>25</v>
      </c>
      <c r="C9" s="5">
        <f>SUM(employment!D68:D89)</f>
        <v>3791200</v>
      </c>
    </row>
    <row r="10" spans="1:3" x14ac:dyDescent="0.2">
      <c r="A10" s="4">
        <v>2011</v>
      </c>
      <c r="B10" s="4" t="s">
        <v>26</v>
      </c>
      <c r="C10" s="5">
        <f>SUM(employment!D112:D133)</f>
        <v>1881300</v>
      </c>
    </row>
    <row r="11" spans="1:3" x14ac:dyDescent="0.2">
      <c r="A11" s="4">
        <v>2011</v>
      </c>
      <c r="B11" s="4" t="s">
        <v>27</v>
      </c>
      <c r="C11" s="5">
        <f>SUM(employment!D156:D177)</f>
        <v>6255700</v>
      </c>
    </row>
    <row r="12" spans="1:3" x14ac:dyDescent="0.2">
      <c r="A12" s="4">
        <v>2011</v>
      </c>
      <c r="B12" s="4" t="s">
        <v>28</v>
      </c>
      <c r="C12" s="5">
        <f>SUM(employment!D200:D221)</f>
        <v>3446000</v>
      </c>
    </row>
    <row r="13" spans="1:3" x14ac:dyDescent="0.2">
      <c r="A13" s="4">
        <v>2011</v>
      </c>
      <c r="B13" s="4" t="s">
        <v>29</v>
      </c>
      <c r="C13" s="5">
        <f>SUM(employment!D244:D265)</f>
        <v>9313200</v>
      </c>
    </row>
    <row r="14" spans="1:3" x14ac:dyDescent="0.2">
      <c r="A14" s="4">
        <v>2012</v>
      </c>
      <c r="B14" s="4" t="s">
        <v>3</v>
      </c>
      <c r="C14" s="5">
        <f>SUM(employment!D266:D287)</f>
        <v>721200</v>
      </c>
    </row>
    <row r="15" spans="1:3" x14ac:dyDescent="0.2">
      <c r="A15" s="4">
        <v>2012</v>
      </c>
      <c r="B15" s="4" t="s">
        <v>25</v>
      </c>
      <c r="C15" s="5">
        <f>SUM(employment!D310:D331)</f>
        <v>3716400</v>
      </c>
    </row>
    <row r="16" spans="1:3" x14ac:dyDescent="0.2">
      <c r="A16" s="4">
        <v>2012</v>
      </c>
      <c r="B16" s="4" t="s">
        <v>26</v>
      </c>
      <c r="C16" s="5">
        <f>SUM(employment!D354:D375)</f>
        <v>1856100</v>
      </c>
    </row>
    <row r="17" spans="1:3" x14ac:dyDescent="0.2">
      <c r="A17" s="4">
        <v>2012</v>
      </c>
      <c r="B17" s="4" t="s">
        <v>27</v>
      </c>
      <c r="C17" s="5">
        <f>SUM(employment!D398:D419)</f>
        <v>6273700</v>
      </c>
    </row>
    <row r="18" spans="1:3" x14ac:dyDescent="0.2">
      <c r="A18" s="4">
        <v>2012</v>
      </c>
      <c r="B18" s="4" t="s">
        <v>28</v>
      </c>
      <c r="C18" s="5">
        <f>SUM(employment!D442:D463)</f>
        <v>3471200</v>
      </c>
    </row>
    <row r="19" spans="1:3" x14ac:dyDescent="0.2">
      <c r="A19" s="4">
        <v>2012</v>
      </c>
      <c r="B19" s="4" t="s">
        <v>29</v>
      </c>
      <c r="C19" s="5">
        <f>SUM(employment!D486:D507)</f>
        <v>9371800</v>
      </c>
    </row>
    <row r="20" spans="1:3" x14ac:dyDescent="0.2">
      <c r="A20" s="4">
        <v>2019</v>
      </c>
      <c r="B20" s="4" t="s">
        <v>3</v>
      </c>
      <c r="C20" s="5">
        <f>SUM(employment!D288:D309)</f>
        <v>618400</v>
      </c>
    </row>
    <row r="21" spans="1:3" x14ac:dyDescent="0.2">
      <c r="A21" s="4">
        <v>2019</v>
      </c>
      <c r="B21" s="4" t="s">
        <v>25</v>
      </c>
      <c r="C21" s="5">
        <f>SUM(employment!D332:D353)</f>
        <v>3586300</v>
      </c>
    </row>
    <row r="22" spans="1:3" x14ac:dyDescent="0.2">
      <c r="A22" s="4">
        <v>2019</v>
      </c>
      <c r="B22" s="4" t="s">
        <v>26</v>
      </c>
      <c r="C22" s="5">
        <f>SUM(employment!D376:D397)</f>
        <v>1748300</v>
      </c>
    </row>
    <row r="23" spans="1:3" x14ac:dyDescent="0.2">
      <c r="A23" s="4">
        <v>2019</v>
      </c>
      <c r="B23" s="4" t="s">
        <v>27</v>
      </c>
      <c r="C23" s="5">
        <f>SUM(employment!D420:D441)</f>
        <v>6474700</v>
      </c>
    </row>
    <row r="24" spans="1:3" x14ac:dyDescent="0.2">
      <c r="A24" s="4">
        <v>2019</v>
      </c>
      <c r="B24" s="4" t="s">
        <v>28</v>
      </c>
      <c r="C24" s="5">
        <f>SUM(employment!D464:D485)</f>
        <v>3778100</v>
      </c>
    </row>
    <row r="25" spans="1:3" x14ac:dyDescent="0.2">
      <c r="A25" s="4">
        <v>2019</v>
      </c>
      <c r="B25" s="4" t="s">
        <v>29</v>
      </c>
      <c r="C25" s="5">
        <f>SUM(employment!D508:D529)</f>
        <v>9512100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1125-2C84-0F45-A336-55893E338218}">
  <dimension ref="A1:C13"/>
  <sheetViews>
    <sheetView workbookViewId="0">
      <selection activeCell="F19" sqref="F19"/>
    </sheetView>
  </sheetViews>
  <sheetFormatPr baseColWidth="10" defaultRowHeight="16" x14ac:dyDescent="0.2"/>
  <cols>
    <col min="1" max="2" width="10.83203125" style="1"/>
    <col min="3" max="3" width="17.5" style="3" bestFit="1" customWidth="1"/>
  </cols>
  <sheetData>
    <row r="1" spans="1:3" x14ac:dyDescent="0.2">
      <c r="A1" s="6" t="s">
        <v>33</v>
      </c>
      <c r="B1" s="6" t="s">
        <v>30</v>
      </c>
      <c r="C1" s="10" t="s">
        <v>36</v>
      </c>
    </row>
    <row r="2" spans="1:3" x14ac:dyDescent="0.2">
      <c r="A2" s="4" t="s">
        <v>34</v>
      </c>
      <c r="B2" s="4" t="s">
        <v>3</v>
      </c>
      <c r="C2" s="11">
        <f>import!C8-import!C2</f>
        <v>148018445</v>
      </c>
    </row>
    <row r="3" spans="1:3" x14ac:dyDescent="0.2">
      <c r="A3" s="4" t="s">
        <v>34</v>
      </c>
      <c r="B3" s="4" t="s">
        <v>25</v>
      </c>
      <c r="C3" s="11">
        <f>import!C9-import!C3</f>
        <v>49187099456</v>
      </c>
    </row>
    <row r="4" spans="1:3" x14ac:dyDescent="0.2">
      <c r="A4" s="4" t="s">
        <v>34</v>
      </c>
      <c r="B4" s="4" t="s">
        <v>26</v>
      </c>
      <c r="C4" s="11">
        <f>import!C10-import!C4</f>
        <v>0</v>
      </c>
    </row>
    <row r="5" spans="1:3" x14ac:dyDescent="0.2">
      <c r="A5" s="4" t="s">
        <v>34</v>
      </c>
      <c r="B5" s="4" t="s">
        <v>27</v>
      </c>
      <c r="C5" s="11">
        <f>import!C11-import!C5</f>
        <v>0</v>
      </c>
    </row>
    <row r="6" spans="1:3" x14ac:dyDescent="0.2">
      <c r="A6" s="4" t="s">
        <v>34</v>
      </c>
      <c r="B6" s="4" t="s">
        <v>28</v>
      </c>
      <c r="C6" s="11">
        <f>import!C12-import!C6</f>
        <v>396470</v>
      </c>
    </row>
    <row r="7" spans="1:3" x14ac:dyDescent="0.2">
      <c r="A7" s="4" t="s">
        <v>34</v>
      </c>
      <c r="B7" s="4" t="s">
        <v>29</v>
      </c>
      <c r="C7" s="11">
        <f>import!C13-import!C7</f>
        <v>37601779</v>
      </c>
    </row>
    <row r="8" spans="1:3" x14ac:dyDescent="0.2">
      <c r="A8" s="4" t="s">
        <v>35</v>
      </c>
      <c r="B8" s="4" t="s">
        <v>3</v>
      </c>
      <c r="C8" s="11">
        <f>import!C20-import!C14</f>
        <v>-25208508.738000035</v>
      </c>
    </row>
    <row r="9" spans="1:3" x14ac:dyDescent="0.2">
      <c r="A9" s="4" t="s">
        <v>35</v>
      </c>
      <c r="B9" s="4" t="s">
        <v>25</v>
      </c>
      <c r="C9" s="11">
        <f>import!C21-import!C15</f>
        <v>6137530353.3740082</v>
      </c>
    </row>
    <row r="10" spans="1:3" x14ac:dyDescent="0.2">
      <c r="A10" s="4" t="s">
        <v>35</v>
      </c>
      <c r="B10" s="4" t="s">
        <v>26</v>
      </c>
      <c r="C10" s="11">
        <f>import!C22-import!C16</f>
        <v>0</v>
      </c>
    </row>
    <row r="11" spans="1:3" x14ac:dyDescent="0.2">
      <c r="A11" s="4" t="s">
        <v>35</v>
      </c>
      <c r="B11" s="4" t="s">
        <v>27</v>
      </c>
      <c r="C11" s="11">
        <f>import!C23-import!C17</f>
        <v>0</v>
      </c>
    </row>
    <row r="12" spans="1:3" x14ac:dyDescent="0.2">
      <c r="A12" s="4" t="s">
        <v>35</v>
      </c>
      <c r="B12" s="4" t="s">
        <v>28</v>
      </c>
      <c r="C12" s="11">
        <f>import!C24-import!C18</f>
        <v>-92763.93</v>
      </c>
    </row>
    <row r="13" spans="1:3" x14ac:dyDescent="0.2">
      <c r="A13" s="4" t="s">
        <v>35</v>
      </c>
      <c r="B13" s="4" t="s">
        <v>29</v>
      </c>
      <c r="C13" s="11">
        <f>import!C25-import!C19</f>
        <v>-3200269.3539999994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4F00-349E-EC4B-B720-38C570B2BA2C}">
  <dimension ref="A1:I13"/>
  <sheetViews>
    <sheetView workbookViewId="0">
      <selection activeCell="F34" sqref="F34"/>
    </sheetView>
  </sheetViews>
  <sheetFormatPr baseColWidth="10" defaultRowHeight="16" x14ac:dyDescent="0.2"/>
  <cols>
    <col min="3" max="3" width="10.83203125" style="1"/>
    <col min="4" max="4" width="18.1640625" style="3" bestFit="1" customWidth="1"/>
    <col min="5" max="5" width="14" style="2" bestFit="1" customWidth="1"/>
  </cols>
  <sheetData>
    <row r="1" spans="1:9" s="8" customFormat="1" x14ac:dyDescent="0.2">
      <c r="A1" s="6" t="s">
        <v>33</v>
      </c>
      <c r="B1" s="12" t="s">
        <v>30</v>
      </c>
      <c r="C1" s="6" t="s">
        <v>38</v>
      </c>
      <c r="D1" s="10" t="s">
        <v>36</v>
      </c>
      <c r="E1" s="13" t="s">
        <v>37</v>
      </c>
    </row>
    <row r="2" spans="1:9" x14ac:dyDescent="0.2">
      <c r="A2" s="4" t="s">
        <v>34</v>
      </c>
      <c r="B2" s="4" t="s">
        <v>3</v>
      </c>
      <c r="C2" s="5">
        <f>L_i!C2</f>
        <v>919800</v>
      </c>
      <c r="D2" s="11">
        <f>delta_M!C2</f>
        <v>148018445</v>
      </c>
      <c r="E2" s="11">
        <f>D2/C2</f>
        <v>160.92459773863882</v>
      </c>
    </row>
    <row r="3" spans="1:9" x14ac:dyDescent="0.2">
      <c r="A3" s="4" t="s">
        <v>34</v>
      </c>
      <c r="B3" s="4" t="s">
        <v>25</v>
      </c>
      <c r="C3" s="5">
        <f>L_i!C3</f>
        <v>4463500</v>
      </c>
      <c r="D3" s="11">
        <f>delta_M!C3</f>
        <v>49187099456</v>
      </c>
      <c r="E3" s="11">
        <f t="shared" ref="E3:E13" si="0">D3/C3</f>
        <v>11019.849771703819</v>
      </c>
    </row>
    <row r="4" spans="1:9" x14ac:dyDescent="0.2">
      <c r="A4" s="4" t="s">
        <v>34</v>
      </c>
      <c r="B4" s="4" t="s">
        <v>26</v>
      </c>
      <c r="C4" s="5">
        <f>L_i!C4</f>
        <v>1435000</v>
      </c>
      <c r="D4" s="11">
        <f>delta_M!C4</f>
        <v>0</v>
      </c>
      <c r="E4" s="11">
        <f t="shared" si="0"/>
        <v>0</v>
      </c>
    </row>
    <row r="5" spans="1:9" x14ac:dyDescent="0.2">
      <c r="A5" s="4" t="s">
        <v>34</v>
      </c>
      <c r="B5" s="4" t="s">
        <v>27</v>
      </c>
      <c r="C5" s="5">
        <f>L_i!C5</f>
        <v>5179800</v>
      </c>
      <c r="D5" s="11">
        <f>delta_M!C5</f>
        <v>0</v>
      </c>
      <c r="E5" s="11">
        <f t="shared" si="0"/>
        <v>0</v>
      </c>
    </row>
    <row r="6" spans="1:9" x14ac:dyDescent="0.2">
      <c r="A6" s="4" t="s">
        <v>34</v>
      </c>
      <c r="B6" s="4" t="s">
        <v>28</v>
      </c>
      <c r="C6" s="5">
        <f>L_i!C6</f>
        <v>2769700</v>
      </c>
      <c r="D6" s="11">
        <f>delta_M!C6</f>
        <v>396470</v>
      </c>
      <c r="E6" s="11">
        <f t="shared" si="0"/>
        <v>0.14314546701808861</v>
      </c>
    </row>
    <row r="7" spans="1:9" x14ac:dyDescent="0.2">
      <c r="A7" s="4" t="s">
        <v>34</v>
      </c>
      <c r="B7" s="4" t="s">
        <v>29</v>
      </c>
      <c r="C7" s="5">
        <f>L_i!C7</f>
        <v>7617400</v>
      </c>
      <c r="D7" s="11">
        <f>delta_M!C7</f>
        <v>37601779</v>
      </c>
      <c r="E7" s="11">
        <f t="shared" si="0"/>
        <v>4.9363009688345105</v>
      </c>
    </row>
    <row r="8" spans="1:9" x14ac:dyDescent="0.2">
      <c r="A8" s="4" t="s">
        <v>35</v>
      </c>
      <c r="B8" s="4" t="s">
        <v>3</v>
      </c>
      <c r="C8" s="5">
        <f>L_i!C14</f>
        <v>721200</v>
      </c>
      <c r="D8" s="11">
        <f>delta_M!C8</f>
        <v>-25208508.738000035</v>
      </c>
      <c r="E8" s="11">
        <f t="shared" si="0"/>
        <v>-34.953561755407705</v>
      </c>
      <c r="I8" s="2"/>
    </row>
    <row r="9" spans="1:9" x14ac:dyDescent="0.2">
      <c r="A9" s="4" t="s">
        <v>35</v>
      </c>
      <c r="B9" s="4" t="s">
        <v>25</v>
      </c>
      <c r="C9" s="5">
        <f>L_i!C15</f>
        <v>3716400</v>
      </c>
      <c r="D9" s="11">
        <f>delta_M!C9</f>
        <v>6137530353.3740082</v>
      </c>
      <c r="E9" s="11">
        <f t="shared" si="0"/>
        <v>1651.4719495678635</v>
      </c>
    </row>
    <row r="10" spans="1:9" x14ac:dyDescent="0.2">
      <c r="A10" s="4" t="s">
        <v>35</v>
      </c>
      <c r="B10" s="4" t="s">
        <v>26</v>
      </c>
      <c r="C10" s="5">
        <f>L_i!C16</f>
        <v>1856100</v>
      </c>
      <c r="D10" s="11">
        <f>delta_M!C10</f>
        <v>0</v>
      </c>
      <c r="E10" s="11">
        <f t="shared" si="0"/>
        <v>0</v>
      </c>
    </row>
    <row r="11" spans="1:9" x14ac:dyDescent="0.2">
      <c r="A11" s="4" t="s">
        <v>35</v>
      </c>
      <c r="B11" s="4" t="s">
        <v>27</v>
      </c>
      <c r="C11" s="5">
        <f>L_i!C17</f>
        <v>6273700</v>
      </c>
      <c r="D11" s="11">
        <f>delta_M!C11</f>
        <v>0</v>
      </c>
      <c r="E11" s="11">
        <f t="shared" si="0"/>
        <v>0</v>
      </c>
    </row>
    <row r="12" spans="1:9" x14ac:dyDescent="0.2">
      <c r="A12" s="4" t="s">
        <v>35</v>
      </c>
      <c r="B12" s="4" t="s">
        <v>28</v>
      </c>
      <c r="C12" s="5">
        <f>L_i!C18</f>
        <v>3471200</v>
      </c>
      <c r="D12" s="11">
        <f>delta_M!C12</f>
        <v>-92763.93</v>
      </c>
      <c r="E12" s="11">
        <f t="shared" si="0"/>
        <v>-2.6723879350080661E-2</v>
      </c>
    </row>
    <row r="13" spans="1:9" x14ac:dyDescent="0.2">
      <c r="A13" s="4" t="s">
        <v>35</v>
      </c>
      <c r="B13" s="4" t="s">
        <v>29</v>
      </c>
      <c r="C13" s="5">
        <f>L_i!C19</f>
        <v>9371800</v>
      </c>
      <c r="D13" s="11">
        <f>delta_M!C13</f>
        <v>-3200269.3539999994</v>
      </c>
      <c r="E13" s="11">
        <f t="shared" si="0"/>
        <v>-0.34147862246313404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782F-FD83-5940-A973-8243C5D4AE8D}">
  <dimension ref="A1:R25"/>
  <sheetViews>
    <sheetView workbookViewId="0">
      <selection activeCell="H31" sqref="H31"/>
    </sheetView>
  </sheetViews>
  <sheetFormatPr baseColWidth="10" defaultRowHeight="16" x14ac:dyDescent="0.2"/>
  <cols>
    <col min="1" max="1" width="23.83203125" bestFit="1" customWidth="1"/>
    <col min="2" max="2" width="11" bestFit="1" customWidth="1"/>
    <col min="3" max="4" width="11.33203125" bestFit="1" customWidth="1"/>
    <col min="5" max="7" width="12.6640625" bestFit="1" customWidth="1"/>
    <col min="8" max="8" width="13.6640625" bestFit="1" customWidth="1"/>
    <col min="11" max="11" width="23.83203125" bestFit="1" customWidth="1"/>
    <col min="12" max="12" width="11" bestFit="1" customWidth="1"/>
    <col min="13" max="14" width="11.33203125" bestFit="1" customWidth="1"/>
    <col min="15" max="18" width="12.6640625" bestFit="1" customWidth="1"/>
  </cols>
  <sheetData>
    <row r="1" spans="1:18" s="8" customFormat="1" x14ac:dyDescent="0.2">
      <c r="A1" s="17">
        <v>1999</v>
      </c>
      <c r="B1" s="17"/>
      <c r="C1" s="17"/>
      <c r="D1" s="17"/>
      <c r="E1" s="17"/>
      <c r="F1" s="17"/>
      <c r="G1" s="17"/>
      <c r="H1" s="17"/>
      <c r="K1" s="17">
        <v>2012</v>
      </c>
      <c r="L1" s="17"/>
      <c r="M1" s="17"/>
      <c r="N1" s="17"/>
      <c r="O1" s="17"/>
      <c r="P1" s="17"/>
      <c r="Q1" s="17"/>
      <c r="R1" s="17"/>
    </row>
    <row r="2" spans="1:18" s="8" customFormat="1" x14ac:dyDescent="0.2">
      <c r="A2" s="12"/>
      <c r="B2" s="12" t="s">
        <v>3</v>
      </c>
      <c r="C2" s="12" t="s">
        <v>25</v>
      </c>
      <c r="D2" s="12" t="s">
        <v>26</v>
      </c>
      <c r="E2" s="12" t="s">
        <v>27</v>
      </c>
      <c r="F2" s="12" t="s">
        <v>28</v>
      </c>
      <c r="G2" s="12" t="s">
        <v>29</v>
      </c>
      <c r="H2" s="12" t="s">
        <v>39</v>
      </c>
      <c r="K2" s="12"/>
      <c r="L2" s="12" t="s">
        <v>3</v>
      </c>
      <c r="M2" s="12" t="s">
        <v>25</v>
      </c>
      <c r="N2" s="12" t="s">
        <v>26</v>
      </c>
      <c r="O2" s="12" t="s">
        <v>27</v>
      </c>
      <c r="P2" s="12" t="s">
        <v>28</v>
      </c>
      <c r="Q2" s="12" t="s">
        <v>29</v>
      </c>
      <c r="R2" s="12" t="s">
        <v>40</v>
      </c>
    </row>
    <row r="3" spans="1:18" x14ac:dyDescent="0.2">
      <c r="A3" s="6" t="s">
        <v>2</v>
      </c>
      <c r="B3" s="21">
        <f>employment!D2</f>
        <v>22600</v>
      </c>
      <c r="C3" s="21">
        <f>employment!D46</f>
        <v>700800</v>
      </c>
      <c r="D3" s="21">
        <f>employment!D90</f>
        <v>250900</v>
      </c>
      <c r="E3" s="21">
        <f>employment!D134</f>
        <v>1179400</v>
      </c>
      <c r="F3" s="21">
        <f>employment!D178</f>
        <v>1074900</v>
      </c>
      <c r="G3" s="21">
        <f>employment!D222</f>
        <v>1601900</v>
      </c>
      <c r="H3" s="21">
        <f>SUM(B3:G3)</f>
        <v>4830500</v>
      </c>
      <c r="K3" s="6" t="s">
        <v>2</v>
      </c>
      <c r="L3" s="20">
        <f>employment!D266</f>
        <v>8600</v>
      </c>
      <c r="M3" s="20">
        <f>employment!D310</f>
        <v>470500</v>
      </c>
      <c r="N3" s="20">
        <f>employment!D354</f>
        <v>302500</v>
      </c>
      <c r="O3" s="20">
        <f>employment!D398</f>
        <v>1525000</v>
      </c>
      <c r="P3" s="20">
        <f>employment!D442</f>
        <v>1113900</v>
      </c>
      <c r="Q3" s="20">
        <f>employment!D486</f>
        <v>1743500</v>
      </c>
      <c r="R3" s="20">
        <f>SUM(L3:Q3)</f>
        <v>5164000</v>
      </c>
    </row>
    <row r="4" spans="1:18" x14ac:dyDescent="0.2">
      <c r="A4" s="6" t="s">
        <v>4</v>
      </c>
      <c r="B4" s="21">
        <f>employment!D3</f>
        <v>53800</v>
      </c>
      <c r="C4" s="21">
        <f>employment!D47</f>
        <v>233500</v>
      </c>
      <c r="D4" s="21">
        <f>employment!D91</f>
        <v>54500</v>
      </c>
      <c r="E4" s="21">
        <f>employment!D135</f>
        <v>182600</v>
      </c>
      <c r="F4" s="21">
        <f>employment!D179</f>
        <v>92400</v>
      </c>
      <c r="G4" s="21">
        <f>employment!D223</f>
        <v>302200</v>
      </c>
      <c r="H4" s="21">
        <f t="shared" ref="H4:H24" si="0">SUM(B4:G4)</f>
        <v>919000</v>
      </c>
      <c r="K4" s="6" t="s">
        <v>4</v>
      </c>
      <c r="L4" s="20">
        <f>employment!D267</f>
        <v>39900</v>
      </c>
      <c r="M4" s="20">
        <f>employment!D311</f>
        <v>174900</v>
      </c>
      <c r="N4" s="20">
        <f>employment!D355</f>
        <v>75600</v>
      </c>
      <c r="O4" s="20">
        <f>employment!D399</f>
        <v>231600</v>
      </c>
      <c r="P4" s="20">
        <f>employment!D443</f>
        <v>123600.00000000001</v>
      </c>
      <c r="Q4" s="20">
        <f>employment!D487</f>
        <v>363500</v>
      </c>
      <c r="R4" s="20">
        <f t="shared" ref="R4:R24" si="1">SUM(L4:Q4)</f>
        <v>1009100</v>
      </c>
    </row>
    <row r="5" spans="1:18" x14ac:dyDescent="0.2">
      <c r="A5" s="6" t="s">
        <v>5</v>
      </c>
      <c r="B5" s="21">
        <f>employment!D4</f>
        <v>41100</v>
      </c>
      <c r="C5" s="21">
        <f>employment!D48</f>
        <v>150400</v>
      </c>
      <c r="D5" s="21">
        <f>employment!D92</f>
        <v>37100</v>
      </c>
      <c r="E5" s="21">
        <f>employment!D136</f>
        <v>137000</v>
      </c>
      <c r="F5" s="21">
        <f>employment!D180</f>
        <v>42000</v>
      </c>
      <c r="G5" s="21">
        <f>employment!D224</f>
        <v>215100</v>
      </c>
      <c r="H5" s="21">
        <f t="shared" si="0"/>
        <v>622700</v>
      </c>
      <c r="K5" s="6" t="s">
        <v>5</v>
      </c>
      <c r="L5" s="20">
        <f>employment!D268</f>
        <v>36400</v>
      </c>
      <c r="M5" s="20">
        <f>employment!D312</f>
        <v>104400</v>
      </c>
      <c r="N5" s="20">
        <f>employment!D356</f>
        <v>41900</v>
      </c>
      <c r="O5" s="20">
        <f>employment!D400</f>
        <v>163300</v>
      </c>
      <c r="P5" s="20">
        <f>employment!D444</f>
        <v>68100</v>
      </c>
      <c r="Q5" s="20">
        <f>employment!D488</f>
        <v>228300</v>
      </c>
      <c r="R5" s="20">
        <f t="shared" si="1"/>
        <v>642400</v>
      </c>
    </row>
    <row r="6" spans="1:18" x14ac:dyDescent="0.2">
      <c r="A6" s="6" t="s">
        <v>6</v>
      </c>
      <c r="B6" s="21">
        <f>employment!D5</f>
        <v>20700</v>
      </c>
      <c r="C6" s="21">
        <f>employment!D49</f>
        <v>143900</v>
      </c>
      <c r="D6" s="21">
        <f>employment!D93</f>
        <v>26200</v>
      </c>
      <c r="E6" s="21">
        <f>employment!D137</f>
        <v>81400</v>
      </c>
      <c r="F6" s="21">
        <f>employment!D181</f>
        <v>29500</v>
      </c>
      <c r="G6" s="21">
        <f>employment!D225</f>
        <v>141600</v>
      </c>
      <c r="H6" s="21">
        <f t="shared" si="0"/>
        <v>443300</v>
      </c>
      <c r="K6" s="6" t="s">
        <v>6</v>
      </c>
      <c r="L6" s="20">
        <f>employment!D269</f>
        <v>15800</v>
      </c>
      <c r="M6" s="20">
        <f>employment!D313</f>
        <v>128400</v>
      </c>
      <c r="N6" s="20">
        <f>employment!D357</f>
        <v>33200</v>
      </c>
      <c r="O6" s="20">
        <f>employment!D401</f>
        <v>85200</v>
      </c>
      <c r="P6" s="20">
        <f>employment!D445</f>
        <v>34200</v>
      </c>
      <c r="Q6" s="20">
        <f>employment!D489</f>
        <v>173100</v>
      </c>
      <c r="R6" s="20">
        <f t="shared" si="1"/>
        <v>469900</v>
      </c>
    </row>
    <row r="7" spans="1:18" x14ac:dyDescent="0.2">
      <c r="A7" s="6" t="s">
        <v>7</v>
      </c>
      <c r="B7" s="21">
        <f>employment!D6</f>
        <v>44700</v>
      </c>
      <c r="C7" s="21">
        <f>employment!D50</f>
        <v>97400</v>
      </c>
      <c r="D7" s="21">
        <f>employment!D94</f>
        <v>31600</v>
      </c>
      <c r="E7" s="21">
        <f>employment!D138</f>
        <v>101000</v>
      </c>
      <c r="F7" s="21">
        <f>employment!D182</f>
        <v>47600</v>
      </c>
      <c r="G7" s="21">
        <f>employment!D226</f>
        <v>172700</v>
      </c>
      <c r="H7" s="21">
        <f t="shared" si="0"/>
        <v>495000</v>
      </c>
      <c r="K7" s="6" t="s">
        <v>7</v>
      </c>
      <c r="L7" s="20">
        <f>employment!D270</f>
        <v>31800</v>
      </c>
      <c r="M7" s="20">
        <f>employment!D314</f>
        <v>90800</v>
      </c>
      <c r="N7" s="20">
        <f>employment!D358</f>
        <v>45200</v>
      </c>
      <c r="O7" s="20">
        <f>employment!D402</f>
        <v>138200</v>
      </c>
      <c r="P7" s="20">
        <f>employment!D446</f>
        <v>53500</v>
      </c>
      <c r="Q7" s="20">
        <f>employment!D490</f>
        <v>215800</v>
      </c>
      <c r="R7" s="20">
        <f t="shared" si="1"/>
        <v>575300</v>
      </c>
    </row>
    <row r="8" spans="1:18" x14ac:dyDescent="0.2">
      <c r="A8" s="6" t="s">
        <v>8</v>
      </c>
      <c r="B8" s="21">
        <f>employment!D7</f>
        <v>16600</v>
      </c>
      <c r="C8" s="21">
        <f>employment!D51</f>
        <v>174400</v>
      </c>
      <c r="D8" s="21">
        <f>employment!D95</f>
        <v>56500</v>
      </c>
      <c r="E8" s="21">
        <f>employment!D139</f>
        <v>157100</v>
      </c>
      <c r="F8" s="21">
        <f>employment!D183</f>
        <v>67800</v>
      </c>
      <c r="G8" s="21">
        <f>employment!D227</f>
        <v>235100</v>
      </c>
      <c r="H8" s="21">
        <f t="shared" si="0"/>
        <v>707500</v>
      </c>
      <c r="K8" s="6" t="s">
        <v>8</v>
      </c>
      <c r="L8" s="20">
        <f>employment!D271</f>
        <v>10800</v>
      </c>
      <c r="M8" s="20">
        <f>employment!D315</f>
        <v>148400</v>
      </c>
      <c r="N8" s="20">
        <f>employment!D359</f>
        <v>56300</v>
      </c>
      <c r="O8" s="20">
        <f>employment!D403</f>
        <v>155400</v>
      </c>
      <c r="P8" s="20">
        <f>employment!D447</f>
        <v>74100</v>
      </c>
      <c r="Q8" s="20">
        <f>employment!D491</f>
        <v>275500</v>
      </c>
      <c r="R8" s="20">
        <f t="shared" si="1"/>
        <v>720500</v>
      </c>
    </row>
    <row r="9" spans="1:18" x14ac:dyDescent="0.2">
      <c r="A9" s="6" t="s">
        <v>9</v>
      </c>
      <c r="B9" s="21">
        <f>employment!D8</f>
        <v>22100</v>
      </c>
      <c r="C9" s="21">
        <f>employment!D52</f>
        <v>304900</v>
      </c>
      <c r="D9" s="21">
        <f>employment!D96</f>
        <v>82100</v>
      </c>
      <c r="E9" s="21">
        <f>employment!D140</f>
        <v>326600</v>
      </c>
      <c r="F9" s="21">
        <f>employment!D184</f>
        <v>125100</v>
      </c>
      <c r="G9" s="21">
        <f>employment!D228</f>
        <v>458900</v>
      </c>
      <c r="H9" s="21">
        <f t="shared" si="0"/>
        <v>1319700</v>
      </c>
      <c r="K9" s="6" t="s">
        <v>9</v>
      </c>
      <c r="L9" s="20">
        <f>employment!D272</f>
        <v>16100.000000000002</v>
      </c>
      <c r="M9" s="20">
        <f>employment!D316</f>
        <v>253400</v>
      </c>
      <c r="N9" s="20">
        <f>employment!D360</f>
        <v>103800</v>
      </c>
      <c r="O9" s="20">
        <f>employment!D404</f>
        <v>362500</v>
      </c>
      <c r="P9" s="20">
        <f>employment!D448</f>
        <v>169500</v>
      </c>
      <c r="Q9" s="20">
        <f>employment!D492</f>
        <v>595700</v>
      </c>
      <c r="R9" s="20">
        <f t="shared" si="1"/>
        <v>1501000</v>
      </c>
    </row>
    <row r="10" spans="1:18" x14ac:dyDescent="0.2">
      <c r="A10" s="6" t="s">
        <v>10</v>
      </c>
      <c r="B10" s="21">
        <f>employment!D9</f>
        <v>25500</v>
      </c>
      <c r="C10" s="21">
        <f>employment!D53</f>
        <v>168700</v>
      </c>
      <c r="D10" s="21">
        <f>employment!D97</f>
        <v>44200</v>
      </c>
      <c r="E10" s="21">
        <f>employment!D141</f>
        <v>155300</v>
      </c>
      <c r="F10" s="21">
        <f>employment!D185</f>
        <v>54900</v>
      </c>
      <c r="G10" s="21">
        <f>employment!D229</f>
        <v>212300</v>
      </c>
      <c r="H10" s="21">
        <f t="shared" si="0"/>
        <v>660900</v>
      </c>
      <c r="K10" s="6" t="s">
        <v>10</v>
      </c>
      <c r="L10" s="20">
        <f>employment!D273</f>
        <v>22500</v>
      </c>
      <c r="M10" s="20">
        <f>employment!D317</f>
        <v>129600</v>
      </c>
      <c r="N10" s="20">
        <f>employment!D361</f>
        <v>53300</v>
      </c>
      <c r="O10" s="20">
        <f>employment!D405</f>
        <v>199600</v>
      </c>
      <c r="P10" s="20">
        <f>employment!D449</f>
        <v>70900</v>
      </c>
      <c r="Q10" s="20">
        <f>employment!D493</f>
        <v>273000</v>
      </c>
      <c r="R10" s="20">
        <f t="shared" si="1"/>
        <v>748900</v>
      </c>
    </row>
    <row r="11" spans="1:18" x14ac:dyDescent="0.2">
      <c r="A11" s="6" t="s">
        <v>11</v>
      </c>
      <c r="B11" s="21">
        <f>employment!D10</f>
        <v>14000</v>
      </c>
      <c r="C11" s="21">
        <f>employment!D54</f>
        <v>216600</v>
      </c>
      <c r="D11" s="21">
        <f>employment!D98</f>
        <v>58400</v>
      </c>
      <c r="E11" s="21">
        <f>employment!D142</f>
        <v>165200</v>
      </c>
      <c r="F11" s="21">
        <f>employment!D186</f>
        <v>74000</v>
      </c>
      <c r="G11" s="21">
        <f>employment!D230</f>
        <v>212700</v>
      </c>
      <c r="H11" s="21">
        <f t="shared" si="0"/>
        <v>740900</v>
      </c>
      <c r="K11" s="6" t="s">
        <v>11</v>
      </c>
      <c r="L11" s="20">
        <f>employment!D274</f>
        <v>7300</v>
      </c>
      <c r="M11" s="20">
        <f>employment!D318</f>
        <v>172700</v>
      </c>
      <c r="N11" s="20">
        <f>employment!D362</f>
        <v>57300</v>
      </c>
      <c r="O11" s="20">
        <f>employment!D406</f>
        <v>192600</v>
      </c>
      <c r="P11" s="20">
        <f>employment!D450</f>
        <v>87900</v>
      </c>
      <c r="Q11" s="20">
        <f>employment!D494</f>
        <v>287500</v>
      </c>
      <c r="R11" s="20">
        <f t="shared" si="1"/>
        <v>805300</v>
      </c>
    </row>
    <row r="12" spans="1:18" x14ac:dyDescent="0.2">
      <c r="A12" s="6" t="s">
        <v>12</v>
      </c>
      <c r="B12" s="21">
        <f>employment!D11</f>
        <v>39900</v>
      </c>
      <c r="C12" s="21">
        <f>employment!D55</f>
        <v>103000</v>
      </c>
      <c r="D12" s="21">
        <f>employment!D99</f>
        <v>30200</v>
      </c>
      <c r="E12" s="21">
        <f>employment!D143</f>
        <v>101400</v>
      </c>
      <c r="F12" s="21">
        <f>employment!D187</f>
        <v>39400</v>
      </c>
      <c r="G12" s="21">
        <f>employment!D231</f>
        <v>157700</v>
      </c>
      <c r="H12" s="21">
        <f t="shared" si="0"/>
        <v>471600</v>
      </c>
      <c r="K12" s="6" t="s">
        <v>12</v>
      </c>
      <c r="L12" s="20">
        <f>employment!D275</f>
        <v>29000</v>
      </c>
      <c r="M12" s="20">
        <f>employment!D319</f>
        <v>97300</v>
      </c>
      <c r="N12" s="20">
        <f>employment!D363</f>
        <v>40300</v>
      </c>
      <c r="O12" s="20">
        <f>employment!D407</f>
        <v>99400</v>
      </c>
      <c r="P12" s="20">
        <f>employment!D451</f>
        <v>47800.000000000007</v>
      </c>
      <c r="Q12" s="20">
        <f>employment!D495</f>
        <v>187500</v>
      </c>
      <c r="R12" s="20">
        <f t="shared" si="1"/>
        <v>501300</v>
      </c>
    </row>
    <row r="13" spans="1:18" x14ac:dyDescent="0.2">
      <c r="A13" s="6" t="s">
        <v>13</v>
      </c>
      <c r="B13" s="21">
        <f>employment!D12</f>
        <v>24700</v>
      </c>
      <c r="C13" s="21">
        <f>employment!D56</f>
        <v>211600</v>
      </c>
      <c r="D13" s="21">
        <f>employment!D100</f>
        <v>66000</v>
      </c>
      <c r="E13" s="21">
        <f>employment!D144</f>
        <v>188200</v>
      </c>
      <c r="F13" s="21">
        <f>employment!D188</f>
        <v>75700</v>
      </c>
      <c r="G13" s="21">
        <f>employment!D232</f>
        <v>294700</v>
      </c>
      <c r="H13" s="21">
        <f t="shared" si="0"/>
        <v>860900</v>
      </c>
      <c r="K13" s="6" t="s">
        <v>13</v>
      </c>
      <c r="L13" s="20">
        <f>employment!D276</f>
        <v>17600</v>
      </c>
      <c r="M13" s="20">
        <f>employment!D320</f>
        <v>158800</v>
      </c>
      <c r="N13" s="20">
        <f>employment!D364</f>
        <v>68800</v>
      </c>
      <c r="O13" s="20">
        <f>employment!D408</f>
        <v>202300</v>
      </c>
      <c r="P13" s="20">
        <f>employment!D452</f>
        <v>98900</v>
      </c>
      <c r="Q13" s="20">
        <f>employment!D496</f>
        <v>366400</v>
      </c>
      <c r="R13" s="20">
        <f t="shared" si="1"/>
        <v>912800</v>
      </c>
    </row>
    <row r="14" spans="1:18" x14ac:dyDescent="0.2">
      <c r="A14" s="6" t="s">
        <v>14</v>
      </c>
      <c r="B14" s="21">
        <f>employment!D13</f>
        <v>83900</v>
      </c>
      <c r="C14" s="21">
        <f>employment!D57</f>
        <v>326900</v>
      </c>
      <c r="D14" s="21">
        <f>employment!D101</f>
        <v>89100</v>
      </c>
      <c r="E14" s="21">
        <f>employment!D145</f>
        <v>265800</v>
      </c>
      <c r="F14" s="21">
        <f>employment!D189</f>
        <v>109400</v>
      </c>
      <c r="G14" s="21">
        <f>employment!D233</f>
        <v>409500</v>
      </c>
      <c r="H14" s="21">
        <f t="shared" si="0"/>
        <v>1284600</v>
      </c>
      <c r="K14" s="6" t="s">
        <v>14</v>
      </c>
      <c r="L14" s="20">
        <f>employment!D277</f>
        <v>60300</v>
      </c>
      <c r="M14" s="20">
        <f>employment!D321</f>
        <v>284500</v>
      </c>
      <c r="N14" s="20">
        <f>employment!D365</f>
        <v>120000</v>
      </c>
      <c r="O14" s="20">
        <f>employment!D409</f>
        <v>350000</v>
      </c>
      <c r="P14" s="20">
        <f>employment!D453</f>
        <v>174900</v>
      </c>
      <c r="Q14" s="20">
        <f>employment!D497</f>
        <v>515900</v>
      </c>
      <c r="R14" s="20">
        <f t="shared" si="1"/>
        <v>1505600</v>
      </c>
    </row>
    <row r="15" spans="1:18" x14ac:dyDescent="0.2">
      <c r="A15" s="6" t="s">
        <v>15</v>
      </c>
      <c r="B15" s="21">
        <f>employment!D14</f>
        <v>89800</v>
      </c>
      <c r="C15" s="21">
        <f>employment!D58</f>
        <v>240100</v>
      </c>
      <c r="D15" s="21">
        <f>employment!D102</f>
        <v>75600</v>
      </c>
      <c r="E15" s="21">
        <f>employment!D146</f>
        <v>242500</v>
      </c>
      <c r="F15" s="21">
        <f>employment!D190</f>
        <v>95300</v>
      </c>
      <c r="G15" s="21">
        <f>employment!D234</f>
        <v>421100</v>
      </c>
      <c r="H15" s="21">
        <f t="shared" si="0"/>
        <v>1164400</v>
      </c>
      <c r="K15" s="6" t="s">
        <v>15</v>
      </c>
      <c r="L15" s="20">
        <f>employment!D278</f>
        <v>76900</v>
      </c>
      <c r="M15" s="20">
        <f>employment!D322</f>
        <v>192000</v>
      </c>
      <c r="N15" s="20">
        <f>employment!D366</f>
        <v>88700</v>
      </c>
      <c r="O15" s="20">
        <f>employment!D410</f>
        <v>312300</v>
      </c>
      <c r="P15" s="20">
        <f>employment!D454</f>
        <v>140000</v>
      </c>
      <c r="Q15" s="20">
        <f>employment!D498</f>
        <v>478800</v>
      </c>
      <c r="R15" s="20">
        <f t="shared" si="1"/>
        <v>1288700</v>
      </c>
    </row>
    <row r="16" spans="1:18" x14ac:dyDescent="0.2">
      <c r="A16" s="6" t="s">
        <v>16</v>
      </c>
      <c r="B16" s="21">
        <f>employment!D15</f>
        <v>85100</v>
      </c>
      <c r="C16" s="21">
        <f>employment!D59</f>
        <v>172000</v>
      </c>
      <c r="D16" s="21">
        <f>employment!D103</f>
        <v>79300</v>
      </c>
      <c r="E16" s="21">
        <f>employment!D147</f>
        <v>289800</v>
      </c>
      <c r="F16" s="21">
        <f>employment!D191</f>
        <v>117300</v>
      </c>
      <c r="G16" s="21">
        <f>employment!D235</f>
        <v>398200</v>
      </c>
      <c r="H16" s="21">
        <f t="shared" si="0"/>
        <v>1141700</v>
      </c>
      <c r="K16" s="6" t="s">
        <v>16</v>
      </c>
      <c r="L16" s="20">
        <f>employment!D279</f>
        <v>52200</v>
      </c>
      <c r="M16" s="20">
        <f>employment!D323</f>
        <v>144900</v>
      </c>
      <c r="N16" s="20">
        <f>employment!D367</f>
        <v>114200</v>
      </c>
      <c r="O16" s="20">
        <f>employment!D411</f>
        <v>318400</v>
      </c>
      <c r="P16" s="20">
        <f>employment!D455</f>
        <v>156100</v>
      </c>
      <c r="Q16" s="20">
        <f>employment!D499</f>
        <v>513700.00000000006</v>
      </c>
      <c r="R16" s="20">
        <f t="shared" si="1"/>
        <v>1299500</v>
      </c>
    </row>
    <row r="17" spans="1:18" x14ac:dyDescent="0.2">
      <c r="A17" s="6" t="s">
        <v>17</v>
      </c>
      <c r="B17" s="21">
        <f>employment!D16</f>
        <v>23100</v>
      </c>
      <c r="C17" s="21">
        <f>employment!D60</f>
        <v>46500</v>
      </c>
      <c r="D17" s="21">
        <f>employment!D104</f>
        <v>16700</v>
      </c>
      <c r="E17" s="21">
        <f>employment!D148</f>
        <v>56500</v>
      </c>
      <c r="F17" s="21">
        <f>employment!D192</f>
        <v>16000</v>
      </c>
      <c r="G17" s="21">
        <f>employment!D236</f>
        <v>88000</v>
      </c>
      <c r="H17" s="21">
        <f t="shared" si="0"/>
        <v>246800</v>
      </c>
      <c r="K17" s="6" t="s">
        <v>17</v>
      </c>
      <c r="L17" s="20">
        <f>employment!D280</f>
        <v>16000</v>
      </c>
      <c r="M17" s="20">
        <f>employment!D324</f>
        <v>40600</v>
      </c>
      <c r="N17" s="20">
        <f>employment!D368</f>
        <v>19700</v>
      </c>
      <c r="O17" s="20">
        <f>employment!D412</f>
        <v>57600</v>
      </c>
      <c r="P17" s="20">
        <f>employment!D456</f>
        <v>13800</v>
      </c>
      <c r="Q17" s="20">
        <f>employment!D500</f>
        <v>129000</v>
      </c>
      <c r="R17" s="20">
        <f t="shared" si="1"/>
        <v>276700</v>
      </c>
    </row>
    <row r="18" spans="1:18" x14ac:dyDescent="0.2">
      <c r="A18" s="6" t="s">
        <v>18</v>
      </c>
      <c r="B18" s="21">
        <f>employment!D17</f>
        <v>53700</v>
      </c>
      <c r="C18" s="21">
        <f>employment!D61</f>
        <v>125700</v>
      </c>
      <c r="D18" s="21">
        <f>employment!D105</f>
        <v>39900</v>
      </c>
      <c r="E18" s="21">
        <f>employment!D149</f>
        <v>124300</v>
      </c>
      <c r="F18" s="21">
        <f>employment!D193</f>
        <v>53000</v>
      </c>
      <c r="G18" s="21">
        <f>employment!D237</f>
        <v>222800</v>
      </c>
      <c r="H18" s="21">
        <f t="shared" si="0"/>
        <v>619400</v>
      </c>
      <c r="K18" s="6" t="s">
        <v>18</v>
      </c>
      <c r="L18" s="20">
        <f>employment!D281</f>
        <v>32700.000000000004</v>
      </c>
      <c r="M18" s="20">
        <f>employment!D325</f>
        <v>129600</v>
      </c>
      <c r="N18" s="20">
        <f>employment!D369</f>
        <v>60100</v>
      </c>
      <c r="O18" s="20">
        <f>employment!D413</f>
        <v>135500</v>
      </c>
      <c r="P18" s="20">
        <f>employment!D457</f>
        <v>84000</v>
      </c>
      <c r="Q18" s="20">
        <f>employment!D501</f>
        <v>264800</v>
      </c>
      <c r="R18" s="20">
        <f t="shared" si="1"/>
        <v>706700</v>
      </c>
    </row>
    <row r="19" spans="1:18" x14ac:dyDescent="0.2">
      <c r="A19" s="6" t="s">
        <v>19</v>
      </c>
      <c r="B19" s="21">
        <f>employment!D18</f>
        <v>46300</v>
      </c>
      <c r="C19" s="21">
        <f>employment!D62</f>
        <v>73900</v>
      </c>
      <c r="D19" s="21">
        <f>employment!D106</f>
        <v>53800</v>
      </c>
      <c r="E19" s="21">
        <f>employment!D150</f>
        <v>171600</v>
      </c>
      <c r="F19" s="21">
        <f>employment!D194</f>
        <v>74600</v>
      </c>
      <c r="G19" s="21">
        <f>employment!D238</f>
        <v>265100</v>
      </c>
      <c r="H19" s="21">
        <f t="shared" si="0"/>
        <v>685300</v>
      </c>
      <c r="K19" s="6" t="s">
        <v>19</v>
      </c>
      <c r="L19" s="20">
        <f>employment!D282</f>
        <v>33900</v>
      </c>
      <c r="M19" s="20">
        <f>employment!D326</f>
        <v>86000</v>
      </c>
      <c r="N19" s="20">
        <f>employment!D370</f>
        <v>72700</v>
      </c>
      <c r="O19" s="20">
        <f>employment!D414</f>
        <v>212900</v>
      </c>
      <c r="P19" s="20">
        <f>employment!D458</f>
        <v>99199.999999999985</v>
      </c>
      <c r="Q19" s="20">
        <f>employment!D502</f>
        <v>411200</v>
      </c>
      <c r="R19" s="20">
        <f t="shared" si="1"/>
        <v>915900</v>
      </c>
    </row>
    <row r="20" spans="1:18" x14ac:dyDescent="0.2">
      <c r="A20" s="6" t="s">
        <v>20</v>
      </c>
      <c r="B20" s="21">
        <f>employment!D19</f>
        <v>64300</v>
      </c>
      <c r="C20" s="21">
        <f>employment!D63</f>
        <v>164000</v>
      </c>
      <c r="D20" s="21">
        <f>employment!D107</f>
        <v>60800</v>
      </c>
      <c r="E20" s="21">
        <f>employment!D151</f>
        <v>209300</v>
      </c>
      <c r="F20" s="21">
        <f>employment!D195</f>
        <v>101500</v>
      </c>
      <c r="G20" s="21">
        <f>employment!D239</f>
        <v>338900</v>
      </c>
      <c r="H20" s="21">
        <f t="shared" si="0"/>
        <v>938800</v>
      </c>
      <c r="K20" s="6" t="s">
        <v>20</v>
      </c>
      <c r="L20" s="20">
        <f>employment!D283</f>
        <v>60500</v>
      </c>
      <c r="M20" s="20">
        <f>employment!D327</f>
        <v>164800</v>
      </c>
      <c r="N20" s="20">
        <f>employment!D371</f>
        <v>87300</v>
      </c>
      <c r="O20" s="20">
        <f>employment!D415</f>
        <v>272800</v>
      </c>
      <c r="P20" s="20">
        <f>employment!D459</f>
        <v>162200</v>
      </c>
      <c r="Q20" s="20">
        <f>employment!D503</f>
        <v>458400</v>
      </c>
      <c r="R20" s="20">
        <f t="shared" si="1"/>
        <v>1206000</v>
      </c>
    </row>
    <row r="21" spans="1:18" x14ac:dyDescent="0.2">
      <c r="A21" s="6" t="s">
        <v>21</v>
      </c>
      <c r="B21" s="21">
        <f>employment!D20</f>
        <v>36400</v>
      </c>
      <c r="C21" s="21">
        <f>employment!D64</f>
        <v>98700</v>
      </c>
      <c r="D21" s="21">
        <f>employment!D108</f>
        <v>31200</v>
      </c>
      <c r="E21" s="21">
        <f>employment!D152</f>
        <v>98600</v>
      </c>
      <c r="F21" s="21">
        <f>employment!D196</f>
        <v>35500</v>
      </c>
      <c r="G21" s="21">
        <f>employment!D240</f>
        <v>169000</v>
      </c>
      <c r="H21" s="21">
        <f t="shared" si="0"/>
        <v>469400</v>
      </c>
      <c r="K21" s="6" t="s">
        <v>21</v>
      </c>
      <c r="L21" s="20">
        <f>employment!D284</f>
        <v>38600</v>
      </c>
      <c r="M21" s="20">
        <f>employment!D328</f>
        <v>95500</v>
      </c>
      <c r="N21" s="20">
        <f>employment!D372</f>
        <v>40500</v>
      </c>
      <c r="O21" s="20">
        <f>employment!D416</f>
        <v>105400</v>
      </c>
      <c r="P21" s="20">
        <f>employment!D460</f>
        <v>51700</v>
      </c>
      <c r="Q21" s="20">
        <f>employment!D504</f>
        <v>202000</v>
      </c>
      <c r="R21" s="20">
        <f t="shared" si="1"/>
        <v>533700</v>
      </c>
    </row>
    <row r="22" spans="1:18" x14ac:dyDescent="0.2">
      <c r="A22" s="6" t="s">
        <v>22</v>
      </c>
      <c r="B22" s="21">
        <f>employment!D21</f>
        <v>75900</v>
      </c>
      <c r="C22" s="21">
        <f>employment!D65</f>
        <v>522799.99999999994</v>
      </c>
      <c r="D22" s="21">
        <f>employment!D109</f>
        <v>139800</v>
      </c>
      <c r="E22" s="21">
        <f>employment!D153</f>
        <v>507200</v>
      </c>
      <c r="F22" s="21">
        <f>employment!D197</f>
        <v>269800</v>
      </c>
      <c r="G22" s="21">
        <f>employment!D241</f>
        <v>696400</v>
      </c>
      <c r="H22" s="21">
        <f t="shared" si="0"/>
        <v>2211900</v>
      </c>
      <c r="K22" s="6" t="s">
        <v>22</v>
      </c>
      <c r="L22" s="20">
        <f>employment!D285</f>
        <v>71500</v>
      </c>
      <c r="M22" s="20">
        <f>employment!D329</f>
        <v>446700</v>
      </c>
      <c r="N22" s="20">
        <f>employment!D373</f>
        <v>220200</v>
      </c>
      <c r="O22" s="20">
        <f>employment!D417</f>
        <v>633600</v>
      </c>
      <c r="P22" s="20">
        <f>employment!D461</f>
        <v>359200</v>
      </c>
      <c r="Q22" s="20">
        <f>employment!D505</f>
        <v>909200</v>
      </c>
      <c r="R22" s="20">
        <f t="shared" si="1"/>
        <v>2640400</v>
      </c>
    </row>
    <row r="23" spans="1:18" x14ac:dyDescent="0.2">
      <c r="A23" s="6" t="s">
        <v>23</v>
      </c>
      <c r="B23" s="21">
        <f>employment!D22</f>
        <v>35600</v>
      </c>
      <c r="C23" s="21">
        <f>employment!D66</f>
        <v>187700</v>
      </c>
      <c r="D23" s="21">
        <f>employment!D110</f>
        <v>111100</v>
      </c>
      <c r="E23" s="21">
        <f>employment!D154</f>
        <v>419600</v>
      </c>
      <c r="F23" s="21">
        <f>employment!D198</f>
        <v>174000</v>
      </c>
      <c r="G23" s="21">
        <f>employment!D242</f>
        <v>574400</v>
      </c>
      <c r="H23" s="21">
        <f t="shared" si="0"/>
        <v>1502400</v>
      </c>
      <c r="K23" s="6" t="s">
        <v>23</v>
      </c>
      <c r="L23" s="20">
        <f>employment!D286</f>
        <v>42800</v>
      </c>
      <c r="M23" s="20">
        <f>employment!D330</f>
        <v>191700</v>
      </c>
      <c r="N23" s="20">
        <f>employment!D374</f>
        <v>147800</v>
      </c>
      <c r="O23" s="20">
        <f>employment!D418</f>
        <v>502500</v>
      </c>
      <c r="P23" s="20">
        <f>employment!D462</f>
        <v>280200</v>
      </c>
      <c r="Q23" s="20">
        <f>employment!D506</f>
        <v>753600</v>
      </c>
      <c r="R23" s="20">
        <f t="shared" si="1"/>
        <v>1918600</v>
      </c>
    </row>
    <row r="24" spans="1:18" x14ac:dyDescent="0.2">
      <c r="A24" s="6" t="s">
        <v>24</v>
      </c>
      <c r="B24" s="21">
        <f>employment!D23</f>
        <v>0</v>
      </c>
      <c r="C24" s="21">
        <f>employment!D67</f>
        <v>0</v>
      </c>
      <c r="D24" s="21">
        <f>employment!D111</f>
        <v>0</v>
      </c>
      <c r="E24" s="21">
        <f>employment!D155</f>
        <v>19400</v>
      </c>
      <c r="F24" s="21">
        <f>employment!D199</f>
        <v>0</v>
      </c>
      <c r="G24" s="21">
        <f>employment!D243</f>
        <v>29100</v>
      </c>
      <c r="H24" s="21">
        <f t="shared" si="0"/>
        <v>48500</v>
      </c>
      <c r="K24" s="6" t="s">
        <v>24</v>
      </c>
      <c r="L24" s="20">
        <f>employment!D287</f>
        <v>0</v>
      </c>
      <c r="M24" s="20">
        <f>employment!D331</f>
        <v>10900</v>
      </c>
      <c r="N24" s="20">
        <f>employment!D375</f>
        <v>6700</v>
      </c>
      <c r="O24" s="20">
        <f>employment!D419</f>
        <v>17600</v>
      </c>
      <c r="P24" s="20">
        <f>employment!D463</f>
        <v>7500</v>
      </c>
      <c r="Q24" s="20">
        <f>employment!D507</f>
        <v>25400</v>
      </c>
      <c r="R24" s="20">
        <f t="shared" si="1"/>
        <v>68100</v>
      </c>
    </row>
    <row r="25" spans="1:18" x14ac:dyDescent="0.2">
      <c r="H25" s="22">
        <f>SUM(H3:H24)</f>
        <v>22385200</v>
      </c>
      <c r="R25" s="23">
        <f>SUM(R3:R24)</f>
        <v>25410400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70E2-D5D0-C242-A148-A602E0DF3947}">
  <dimension ref="A1:P24"/>
  <sheetViews>
    <sheetView workbookViewId="0">
      <selection activeCell="E28" sqref="E28"/>
    </sheetView>
  </sheetViews>
  <sheetFormatPr baseColWidth="10" defaultRowHeight="16" x14ac:dyDescent="0.2"/>
  <cols>
    <col min="1" max="1" width="23.83203125" bestFit="1" customWidth="1"/>
    <col min="10" max="10" width="23.83203125" bestFit="1" customWidth="1"/>
  </cols>
  <sheetData>
    <row r="1" spans="1:16" s="8" customFormat="1" x14ac:dyDescent="0.2">
      <c r="A1" s="17">
        <v>1999</v>
      </c>
      <c r="B1" s="17"/>
      <c r="C1" s="17"/>
      <c r="D1" s="17"/>
      <c r="E1" s="17"/>
      <c r="F1" s="17"/>
      <c r="G1" s="17"/>
      <c r="J1" s="17">
        <v>2012</v>
      </c>
      <c r="K1" s="17"/>
      <c r="L1" s="17"/>
      <c r="M1" s="17"/>
      <c r="N1" s="17"/>
      <c r="O1" s="17"/>
      <c r="P1" s="17"/>
    </row>
    <row r="2" spans="1:16" s="8" customFormat="1" x14ac:dyDescent="0.2">
      <c r="A2" s="12"/>
      <c r="B2" s="12" t="s">
        <v>3</v>
      </c>
      <c r="C2" s="12" t="s">
        <v>25</v>
      </c>
      <c r="D2" s="12" t="s">
        <v>26</v>
      </c>
      <c r="E2" s="12" t="s">
        <v>27</v>
      </c>
      <c r="F2" s="12" t="s">
        <v>28</v>
      </c>
      <c r="G2" s="12" t="s">
        <v>29</v>
      </c>
      <c r="J2" s="12"/>
      <c r="K2" s="12" t="s">
        <v>3</v>
      </c>
      <c r="L2" s="12" t="s">
        <v>25</v>
      </c>
      <c r="M2" s="12" t="s">
        <v>26</v>
      </c>
      <c r="N2" s="12" t="s">
        <v>27</v>
      </c>
      <c r="O2" s="12" t="s">
        <v>28</v>
      </c>
      <c r="P2" s="12" t="s">
        <v>29</v>
      </c>
    </row>
    <row r="3" spans="1:16" x14ac:dyDescent="0.2">
      <c r="A3" s="6" t="s">
        <v>2</v>
      </c>
      <c r="B3" s="14">
        <f>L_r!B3/L_r!$H3</f>
        <v>4.6786046993064897E-3</v>
      </c>
      <c r="C3" s="14">
        <f>L_r!C3/L_r!$H3</f>
        <v>0.14507814925991097</v>
      </c>
      <c r="D3" s="14">
        <f>L_r!D3/L_r!$H3</f>
        <v>5.1940792878583997E-2</v>
      </c>
      <c r="E3" s="14">
        <f>L_r!E3/L_r!$H3</f>
        <v>0.2441569195735431</v>
      </c>
      <c r="F3" s="14">
        <f>L_r!F3/L_r!$H3</f>
        <v>0.22252354828692683</v>
      </c>
      <c r="G3" s="14">
        <f>L_r!G3/L_r!$H3</f>
        <v>0.33162198530172859</v>
      </c>
      <c r="J3" s="6" t="s">
        <v>2</v>
      </c>
      <c r="K3" s="14">
        <f>L_r!L3/L_r!$R3</f>
        <v>1.6653756777691713E-3</v>
      </c>
      <c r="L3" s="14">
        <f>L_r!M3/L_r!$R3</f>
        <v>9.1111541440743612E-2</v>
      </c>
      <c r="M3" s="14">
        <f>L_r!N3/L_r!$R3</f>
        <v>5.8578621223857472E-2</v>
      </c>
      <c r="N3" s="14">
        <f>L_r!O3/L_r!$R3</f>
        <v>0.29531371030209141</v>
      </c>
      <c r="O3" s="14">
        <f>L_r!P3/L_r!$R3</f>
        <v>0.21570487993803253</v>
      </c>
      <c r="P3" s="14">
        <f>L_r!Q3/L_r!$R3</f>
        <v>0.33762587141750583</v>
      </c>
    </row>
    <row r="4" spans="1:16" x14ac:dyDescent="0.2">
      <c r="A4" s="6" t="s">
        <v>4</v>
      </c>
      <c r="B4" s="14">
        <f>L_r!B4/L_r!$H4</f>
        <v>5.8541893362350383E-2</v>
      </c>
      <c r="C4" s="14">
        <f>L_r!C4/L_r!$H4</f>
        <v>0.25408052230685529</v>
      </c>
      <c r="D4" s="14">
        <f>L_r!D4/L_r!$H4</f>
        <v>5.930359085963003E-2</v>
      </c>
      <c r="E4" s="14">
        <f>L_r!E4/L_r!$H4</f>
        <v>0.19869423286180632</v>
      </c>
      <c r="F4" s="14">
        <f>L_r!F4/L_r!$H4</f>
        <v>0.10054406964091404</v>
      </c>
      <c r="G4" s="14">
        <f>L_r!G4/L_r!$H4</f>
        <v>0.32883569096844395</v>
      </c>
      <c r="J4" s="6" t="s">
        <v>4</v>
      </c>
      <c r="K4" s="14">
        <f>L_r!L4/L_r!$R4</f>
        <v>3.9540184322663763E-2</v>
      </c>
      <c r="L4" s="14">
        <f>L_r!M4/L_r!$R4</f>
        <v>0.17332276285799228</v>
      </c>
      <c r="M4" s="14">
        <f>L_r!N4/L_r!$R4</f>
        <v>7.4918243979783972E-2</v>
      </c>
      <c r="N4" s="14">
        <f>L_r!O4/L_r!$R4</f>
        <v>0.22951144584283026</v>
      </c>
      <c r="O4" s="14">
        <f>L_r!P4/L_r!$R4</f>
        <v>0.12248538301456745</v>
      </c>
      <c r="P4" s="14">
        <f>L_r!Q4/L_r!$R4</f>
        <v>0.36022197998216232</v>
      </c>
    </row>
    <row r="5" spans="1:16" x14ac:dyDescent="0.2">
      <c r="A5" s="6" t="s">
        <v>5</v>
      </c>
      <c r="B5" s="14">
        <f>L_r!B5/L_r!$H5</f>
        <v>6.6002890637546163E-2</v>
      </c>
      <c r="C5" s="14">
        <f>L_r!C5/L_r!$H5</f>
        <v>0.24152882607997431</v>
      </c>
      <c r="D5" s="14">
        <f>L_r!D5/L_r!$H5</f>
        <v>5.9579251646057492E-2</v>
      </c>
      <c r="E5" s="14">
        <f>L_r!E5/L_r!$H5</f>
        <v>0.22000963545848723</v>
      </c>
      <c r="F5" s="14">
        <f>L_r!F5/L_r!$H5</f>
        <v>6.7448209410631121E-2</v>
      </c>
      <c r="G5" s="14">
        <f>L_r!G5/L_r!$H5</f>
        <v>0.34543118676730367</v>
      </c>
      <c r="J5" s="6" t="s">
        <v>5</v>
      </c>
      <c r="K5" s="14">
        <f>L_r!L5/L_r!$R5</f>
        <v>5.6662515566625153E-2</v>
      </c>
      <c r="L5" s="14">
        <f>L_r!M5/L_r!$R5</f>
        <v>0.16251556662515568</v>
      </c>
      <c r="M5" s="14">
        <f>L_r!N5/L_r!$R5</f>
        <v>6.5224159402241591E-2</v>
      </c>
      <c r="N5" s="14">
        <f>L_r!O5/L_r!$R5</f>
        <v>0.2542029887920299</v>
      </c>
      <c r="O5" s="14">
        <f>L_r!P5/L_r!$R5</f>
        <v>0.10600871731008717</v>
      </c>
      <c r="P5" s="14">
        <f>L_r!Q5/L_r!$R5</f>
        <v>0.3553860523038605</v>
      </c>
    </row>
    <row r="6" spans="1:16" x14ac:dyDescent="0.2">
      <c r="A6" s="6" t="s">
        <v>6</v>
      </c>
      <c r="B6" s="14">
        <f>L_r!B6/L_r!$H6</f>
        <v>4.6695240243627339E-2</v>
      </c>
      <c r="C6" s="14">
        <f>L_r!C6/L_r!$H6</f>
        <v>0.32461087299796976</v>
      </c>
      <c r="D6" s="14">
        <f>L_r!D6/L_r!$H6</f>
        <v>5.9102188134446197E-2</v>
      </c>
      <c r="E6" s="14">
        <f>L_r!E6/L_r!$H6</f>
        <v>0.18362282878411912</v>
      </c>
      <c r="F6" s="14">
        <f>L_r!F6/L_r!$H6</f>
        <v>6.654635686893752E-2</v>
      </c>
      <c r="G6" s="14">
        <f>L_r!G6/L_r!$H6</f>
        <v>0.31942251297090007</v>
      </c>
      <c r="J6" s="6" t="s">
        <v>6</v>
      </c>
      <c r="K6" s="14">
        <f>L_r!L6/L_r!$R6</f>
        <v>3.362417535645882E-2</v>
      </c>
      <c r="L6" s="14">
        <f>L_r!M6/L_r!$R6</f>
        <v>0.27324962758033622</v>
      </c>
      <c r="M6" s="14">
        <f>L_r!N6/L_r!$R6</f>
        <v>7.0653330495850181E-2</v>
      </c>
      <c r="N6" s="14">
        <f>L_r!O6/L_r!$R6</f>
        <v>0.18131517344115769</v>
      </c>
      <c r="O6" s="14">
        <f>L_r!P6/L_r!$R6</f>
        <v>7.2781442860183024E-2</v>
      </c>
      <c r="P6" s="14">
        <f>L_r!Q6/L_r!$R6</f>
        <v>0.36837625026601406</v>
      </c>
    </row>
    <row r="7" spans="1:16" x14ac:dyDescent="0.2">
      <c r="A7" s="6" t="s">
        <v>7</v>
      </c>
      <c r="B7" s="14">
        <f>L_r!B7/L_r!$H7</f>
        <v>9.0303030303030302E-2</v>
      </c>
      <c r="C7" s="14">
        <f>L_r!C7/L_r!$H7</f>
        <v>0.19676767676767676</v>
      </c>
      <c r="D7" s="14">
        <f>L_r!D7/L_r!$H7</f>
        <v>6.3838383838383833E-2</v>
      </c>
      <c r="E7" s="14">
        <f>L_r!E7/L_r!$H7</f>
        <v>0.20404040404040405</v>
      </c>
      <c r="F7" s="14">
        <f>L_r!F7/L_r!$H7</f>
        <v>9.6161616161616156E-2</v>
      </c>
      <c r="G7" s="14">
        <f>L_r!G7/L_r!$H7</f>
        <v>0.34888888888888892</v>
      </c>
      <c r="J7" s="6" t="s">
        <v>7</v>
      </c>
      <c r="K7" s="14">
        <f>L_r!L7/L_r!$R7</f>
        <v>5.5275508430384146E-2</v>
      </c>
      <c r="L7" s="14">
        <f>L_r!M7/L_r!$R7</f>
        <v>0.15783069702763775</v>
      </c>
      <c r="M7" s="14">
        <f>L_r!N7/L_r!$R7</f>
        <v>7.8567703806709549E-2</v>
      </c>
      <c r="N7" s="14">
        <f>L_r!O7/L_r!$R7</f>
        <v>0.24022249261254996</v>
      </c>
      <c r="O7" s="14">
        <f>L_r!P7/L_r!$R7</f>
        <v>9.2994959151746909E-2</v>
      </c>
      <c r="P7" s="14">
        <f>L_r!Q7/L_r!$R7</f>
        <v>0.37510863897097169</v>
      </c>
    </row>
    <row r="8" spans="1:16" x14ac:dyDescent="0.2">
      <c r="A8" s="6" t="s">
        <v>8</v>
      </c>
      <c r="B8" s="14">
        <f>L_r!B8/L_r!$H8</f>
        <v>2.3462897526501766E-2</v>
      </c>
      <c r="C8" s="14">
        <f>L_r!C8/L_r!$H8</f>
        <v>0.24650176678445229</v>
      </c>
      <c r="D8" s="14">
        <f>L_r!D8/L_r!$H8</f>
        <v>7.9858657243816258E-2</v>
      </c>
      <c r="E8" s="14">
        <f>L_r!E8/L_r!$H8</f>
        <v>0.22204946996466432</v>
      </c>
      <c r="F8" s="14">
        <f>L_r!F8/L_r!$H8</f>
        <v>9.583038869257951E-2</v>
      </c>
      <c r="G8" s="14">
        <f>L_r!G8/L_r!$H8</f>
        <v>0.33229681978798586</v>
      </c>
      <c r="J8" s="6" t="s">
        <v>8</v>
      </c>
      <c r="K8" s="14">
        <f>L_r!L8/L_r!$R8</f>
        <v>1.4989590562109646E-2</v>
      </c>
      <c r="L8" s="14">
        <f>L_r!M8/L_r!$R8</f>
        <v>0.20596807772380291</v>
      </c>
      <c r="M8" s="14">
        <f>L_r!N8/L_r!$R8</f>
        <v>7.8140180430256764E-2</v>
      </c>
      <c r="N8" s="14">
        <f>L_r!O8/L_r!$R8</f>
        <v>0.21568355308813325</v>
      </c>
      <c r="O8" s="14">
        <f>L_r!P8/L_r!$R8</f>
        <v>0.10284524635669674</v>
      </c>
      <c r="P8" s="14">
        <f>L_r!Q8/L_r!$R8</f>
        <v>0.38237335183900067</v>
      </c>
    </row>
    <row r="9" spans="1:16" x14ac:dyDescent="0.2">
      <c r="A9" s="6" t="s">
        <v>9</v>
      </c>
      <c r="B9" s="14">
        <f>L_r!B9/L_r!$H9</f>
        <v>1.6746230203834204E-2</v>
      </c>
      <c r="C9" s="14">
        <f>L_r!C9/L_r!$H9</f>
        <v>0.23103735697507008</v>
      </c>
      <c r="D9" s="14">
        <f>L_r!D9/L_r!$H9</f>
        <v>6.2211108585284537E-2</v>
      </c>
      <c r="E9" s="14">
        <f>L_r!E9/L_r!$H9</f>
        <v>0.24748048798969463</v>
      </c>
      <c r="F9" s="14">
        <f>L_r!F9/L_r!$H9</f>
        <v>9.4794271425323942E-2</v>
      </c>
      <c r="G9" s="14">
        <f>L_r!G9/L_r!$H9</f>
        <v>0.34773054482079263</v>
      </c>
      <c r="J9" s="6" t="s">
        <v>9</v>
      </c>
      <c r="K9" s="14">
        <f>L_r!L9/L_r!$R9</f>
        <v>1.0726182544970021E-2</v>
      </c>
      <c r="L9" s="14">
        <f>L_r!M9/L_r!$R9</f>
        <v>0.16882078614257162</v>
      </c>
      <c r="M9" s="14">
        <f>L_r!N9/L_r!$R9</f>
        <v>6.9153897401732181E-2</v>
      </c>
      <c r="N9" s="14">
        <f>L_r!O9/L_r!$R9</f>
        <v>0.24150566289140574</v>
      </c>
      <c r="O9" s="14">
        <f>L_r!P9/L_r!$R9</f>
        <v>0.11292471685542971</v>
      </c>
      <c r="P9" s="14">
        <f>L_r!Q9/L_r!$R9</f>
        <v>0.39686875416389072</v>
      </c>
    </row>
    <row r="10" spans="1:16" x14ac:dyDescent="0.2">
      <c r="A10" s="6" t="s">
        <v>10</v>
      </c>
      <c r="B10" s="14">
        <f>L_r!B10/L_r!$H10</f>
        <v>3.8583749432591921E-2</v>
      </c>
      <c r="C10" s="14">
        <f>L_r!C10/L_r!$H10</f>
        <v>0.25525798154032381</v>
      </c>
      <c r="D10" s="14">
        <f>L_r!D10/L_r!$H10</f>
        <v>6.6878499016492662E-2</v>
      </c>
      <c r="E10" s="14">
        <f>L_r!E10/L_r!$H10</f>
        <v>0.23498259948555</v>
      </c>
      <c r="F10" s="14">
        <f>L_r!F10/L_r!$H10</f>
        <v>8.306854289605084E-2</v>
      </c>
      <c r="G10" s="14">
        <f>L_r!G10/L_r!$H10</f>
        <v>0.32122862762899079</v>
      </c>
      <c r="J10" s="6" t="s">
        <v>10</v>
      </c>
      <c r="K10" s="14">
        <f>L_r!L10/L_r!$R10</f>
        <v>3.0044064628121245E-2</v>
      </c>
      <c r="L10" s="14">
        <f>L_r!M10/L_r!$R10</f>
        <v>0.17305381225797836</v>
      </c>
      <c r="M10" s="14">
        <f>L_r!N10/L_r!$R10</f>
        <v>7.1171050874616101E-2</v>
      </c>
      <c r="N10" s="14">
        <f>L_r!O10/L_r!$R10</f>
        <v>0.26652423554546667</v>
      </c>
      <c r="O10" s="14">
        <f>L_r!P10/L_r!$R10</f>
        <v>9.4672185872613168E-2</v>
      </c>
      <c r="P10" s="14">
        <f>L_r!Q10/L_r!$R10</f>
        <v>0.36453465082120445</v>
      </c>
    </row>
    <row r="11" spans="1:16" x14ac:dyDescent="0.2">
      <c r="A11" s="6" t="s">
        <v>11</v>
      </c>
      <c r="B11" s="14">
        <f>L_r!B11/L_r!$H11</f>
        <v>1.8895937373464705E-2</v>
      </c>
      <c r="C11" s="14">
        <f>L_r!C11/L_r!$H11</f>
        <v>0.29234714536374679</v>
      </c>
      <c r="D11" s="14">
        <f>L_r!D11/L_r!$H11</f>
        <v>7.8823053043595631E-2</v>
      </c>
      <c r="E11" s="14">
        <f>L_r!E11/L_r!$H11</f>
        <v>0.22297206100688352</v>
      </c>
      <c r="F11" s="14">
        <f>L_r!F11/L_r!$H11</f>
        <v>9.9878526116884872E-2</v>
      </c>
      <c r="G11" s="14">
        <f>L_r!G11/L_r!$H11</f>
        <v>0.28708327709542447</v>
      </c>
      <c r="J11" s="6" t="s">
        <v>11</v>
      </c>
      <c r="K11" s="14">
        <f>L_r!L11/L_r!$R11</f>
        <v>9.0649447410902761E-3</v>
      </c>
      <c r="L11" s="14">
        <f>L_r!M11/L_r!$R11</f>
        <v>0.21445424065565627</v>
      </c>
      <c r="M11" s="14">
        <f>L_r!N11/L_r!$R11</f>
        <v>7.1153607351297651E-2</v>
      </c>
      <c r="N11" s="14">
        <f>L_r!O11/L_r!$R11</f>
        <v>0.23916552837451882</v>
      </c>
      <c r="O11" s="14">
        <f>L_r!P11/L_r!$R11</f>
        <v>0.10915186886874456</v>
      </c>
      <c r="P11" s="14">
        <f>L_r!Q11/L_r!$R11</f>
        <v>0.35700981000869242</v>
      </c>
    </row>
    <row r="12" spans="1:16" x14ac:dyDescent="0.2">
      <c r="A12" s="6" t="s">
        <v>12</v>
      </c>
      <c r="B12" s="14">
        <f>L_r!B12/L_r!$H12</f>
        <v>8.4605597964376597E-2</v>
      </c>
      <c r="C12" s="14">
        <f>L_r!C12/L_r!$H12</f>
        <v>0.21840542832909246</v>
      </c>
      <c r="D12" s="14">
        <f>L_r!D12/L_r!$H12</f>
        <v>6.4037319762510606E-2</v>
      </c>
      <c r="E12" s="14">
        <f>L_r!E12/L_r!$H12</f>
        <v>0.21501272264631044</v>
      </c>
      <c r="F12" s="14">
        <f>L_r!F12/L_r!$H12</f>
        <v>8.3545377438507207E-2</v>
      </c>
      <c r="G12" s="14">
        <f>L_r!G12/L_r!$H12</f>
        <v>0.33439355385920272</v>
      </c>
      <c r="J12" s="6" t="s">
        <v>12</v>
      </c>
      <c r="K12" s="14">
        <f>L_r!L12/L_r!$R12</f>
        <v>5.7849591063235589E-2</v>
      </c>
      <c r="L12" s="14">
        <f>L_r!M12/L_r!$R12</f>
        <v>0.19409535208458009</v>
      </c>
      <c r="M12" s="14">
        <f>L_r!N12/L_r!$R12</f>
        <v>8.039098344304807E-2</v>
      </c>
      <c r="N12" s="14">
        <f>L_r!O12/L_r!$R12</f>
        <v>0.19828446040295233</v>
      </c>
      <c r="O12" s="14">
        <f>L_r!P12/L_r!$R12</f>
        <v>9.535208458009177E-2</v>
      </c>
      <c r="P12" s="14">
        <f>L_r!Q12/L_r!$R12</f>
        <v>0.37402752842609216</v>
      </c>
    </row>
    <row r="13" spans="1:16" x14ac:dyDescent="0.2">
      <c r="A13" s="6" t="s">
        <v>13</v>
      </c>
      <c r="B13" s="14">
        <f>L_r!B13/L_r!$H13</f>
        <v>2.8690904866999652E-2</v>
      </c>
      <c r="C13" s="14">
        <f>L_r!C13/L_r!$H13</f>
        <v>0.24578929027761645</v>
      </c>
      <c r="D13" s="14">
        <f>L_r!D13/L_r!$H13</f>
        <v>7.6663956324776392E-2</v>
      </c>
      <c r="E13" s="14">
        <f>L_r!E13/L_r!$H13</f>
        <v>0.21860843303519573</v>
      </c>
      <c r="F13" s="14">
        <f>L_r!F13/L_r!$H13</f>
        <v>8.7931234754326862E-2</v>
      </c>
      <c r="G13" s="14">
        <f>L_r!G13/L_r!$H13</f>
        <v>0.34231618074108489</v>
      </c>
      <c r="J13" s="6" t="s">
        <v>13</v>
      </c>
      <c r="K13" s="14">
        <f>L_r!L13/L_r!$R13</f>
        <v>1.9281332164767746E-2</v>
      </c>
      <c r="L13" s="14">
        <f>L_r!M13/L_r!$R13</f>
        <v>0.17397020157756354</v>
      </c>
      <c r="M13" s="14">
        <f>L_r!N13/L_r!$R13</f>
        <v>7.5372480280455734E-2</v>
      </c>
      <c r="N13" s="14">
        <f>L_r!O13/L_r!$R13</f>
        <v>0.22162576687116564</v>
      </c>
      <c r="O13" s="14">
        <f>L_r!P13/L_r!$R13</f>
        <v>0.10834794040315512</v>
      </c>
      <c r="P13" s="14">
        <f>L_r!Q13/L_r!$R13</f>
        <v>0.40140227870289219</v>
      </c>
    </row>
    <row r="14" spans="1:16" x14ac:dyDescent="0.2">
      <c r="A14" s="6" t="s">
        <v>14</v>
      </c>
      <c r="B14" s="14">
        <f>L_r!B14/L_r!$H14</f>
        <v>6.5312159427059008E-2</v>
      </c>
      <c r="C14" s="14">
        <f>L_r!C14/L_r!$H14</f>
        <v>0.25447610151019773</v>
      </c>
      <c r="D14" s="14">
        <f>L_r!D14/L_r!$H14</f>
        <v>6.9360112097150858E-2</v>
      </c>
      <c r="E14" s="14">
        <f>L_r!E14/L_r!$H14</f>
        <v>0.2069126576366184</v>
      </c>
      <c r="F14" s="14">
        <f>L_r!F14/L_r!$H14</f>
        <v>8.5162696559240234E-2</v>
      </c>
      <c r="G14" s="14">
        <f>L_r!G14/L_r!$H14</f>
        <v>0.31877627276973375</v>
      </c>
      <c r="J14" s="6" t="s">
        <v>14</v>
      </c>
      <c r="K14" s="14">
        <f>L_r!L14/L_r!$R14</f>
        <v>4.0050478214665251E-2</v>
      </c>
      <c r="L14" s="14">
        <f>L_r!M14/L_r!$R14</f>
        <v>0.18896121147715197</v>
      </c>
      <c r="M14" s="14">
        <f>L_r!N14/L_r!$R14</f>
        <v>7.970244420828905E-2</v>
      </c>
      <c r="N14" s="14">
        <f>L_r!O14/L_r!$R14</f>
        <v>0.23246546227417642</v>
      </c>
      <c r="O14" s="14">
        <f>L_r!P14/L_r!$R14</f>
        <v>0.11616631243358129</v>
      </c>
      <c r="P14" s="14">
        <f>L_r!Q14/L_r!$R14</f>
        <v>0.34265409139213604</v>
      </c>
    </row>
    <row r="15" spans="1:16" x14ac:dyDescent="0.2">
      <c r="A15" s="6" t="s">
        <v>15</v>
      </c>
      <c r="B15" s="14">
        <f>L_r!B15/L_r!$H15</f>
        <v>7.7121264170388185E-2</v>
      </c>
      <c r="C15" s="14">
        <f>L_r!C15/L_r!$H15</f>
        <v>0.20620061834421161</v>
      </c>
      <c r="D15" s="14">
        <f>L_r!D15/L_r!$H15</f>
        <v>6.4926142219168675E-2</v>
      </c>
      <c r="E15" s="14">
        <f>L_r!E15/L_r!$H15</f>
        <v>0.20826176571624871</v>
      </c>
      <c r="F15" s="14">
        <f>L_r!F15/L_r!$H15</f>
        <v>8.1844726897973202E-2</v>
      </c>
      <c r="G15" s="14">
        <f>L_r!G15/L_r!$H15</f>
        <v>0.36164548265200963</v>
      </c>
      <c r="J15" s="6" t="s">
        <v>15</v>
      </c>
      <c r="K15" s="14">
        <f>L_r!L15/L_r!$R15</f>
        <v>5.9672538216807638E-2</v>
      </c>
      <c r="L15" s="14">
        <f>L_r!M15/L_r!$R15</f>
        <v>0.14898735159463025</v>
      </c>
      <c r="M15" s="14">
        <f>L_r!N15/L_r!$R15</f>
        <v>6.8829052533560947E-2</v>
      </c>
      <c r="N15" s="14">
        <f>L_r!O15/L_r!$R15</f>
        <v>0.24233723907814075</v>
      </c>
      <c r="O15" s="14">
        <f>L_r!P15/L_r!$R15</f>
        <v>0.10863661053775123</v>
      </c>
      <c r="P15" s="14">
        <f>L_r!Q15/L_r!$R15</f>
        <v>0.37153720803910917</v>
      </c>
    </row>
    <row r="16" spans="1:16" x14ac:dyDescent="0.2">
      <c r="A16" s="6" t="s">
        <v>16</v>
      </c>
      <c r="B16" s="14">
        <f>L_r!B16/L_r!$H16</f>
        <v>7.453796969431549E-2</v>
      </c>
      <c r="C16" s="14">
        <f>L_r!C16/L_r!$H16</f>
        <v>0.15065253569238854</v>
      </c>
      <c r="D16" s="14">
        <f>L_r!D16/L_r!$H16</f>
        <v>6.9457826048874488E-2</v>
      </c>
      <c r="E16" s="14">
        <f>L_r!E16/L_r!$H16</f>
        <v>0.25383200490496627</v>
      </c>
      <c r="F16" s="14">
        <f>L_r!F16/L_r!$H16</f>
        <v>0.1027415257948673</v>
      </c>
      <c r="G16" s="14">
        <f>L_r!G16/L_r!$H16</f>
        <v>0.34877813786458789</v>
      </c>
      <c r="J16" s="6" t="s">
        <v>16</v>
      </c>
      <c r="K16" s="14">
        <f>L_r!L16/L_r!$R16</f>
        <v>4.0169295883031933E-2</v>
      </c>
      <c r="L16" s="14">
        <f>L_r!M16/L_r!$R16</f>
        <v>0.11150442477876106</v>
      </c>
      <c r="M16" s="14">
        <f>L_r!N16/L_r!$R16</f>
        <v>8.7879953828395543E-2</v>
      </c>
      <c r="N16" s="14">
        <f>L_r!O16/L_r!$R16</f>
        <v>0.24501731435167373</v>
      </c>
      <c r="O16" s="14">
        <f>L_r!P16/L_r!$R16</f>
        <v>0.12012312427856868</v>
      </c>
      <c r="P16" s="14">
        <f>L_r!Q16/L_r!$R16</f>
        <v>0.39530588687956913</v>
      </c>
    </row>
    <row r="17" spans="1:16" x14ac:dyDescent="0.2">
      <c r="A17" s="6" t="s">
        <v>17</v>
      </c>
      <c r="B17" s="14">
        <f>L_r!B17/L_r!$H17</f>
        <v>9.3598055105348466E-2</v>
      </c>
      <c r="C17" s="14">
        <f>L_r!C17/L_r!$H17</f>
        <v>0.18841166936790923</v>
      </c>
      <c r="D17" s="14">
        <f>L_r!D17/L_r!$H17</f>
        <v>6.7666126418152353E-2</v>
      </c>
      <c r="E17" s="14">
        <f>L_r!E17/L_r!$H17</f>
        <v>0.22893030794165317</v>
      </c>
      <c r="F17" s="14">
        <f>L_r!F17/L_r!$H17</f>
        <v>6.4829821717990274E-2</v>
      </c>
      <c r="G17" s="14">
        <f>L_r!G17/L_r!$H17</f>
        <v>0.3565640194489465</v>
      </c>
      <c r="J17" s="6" t="s">
        <v>17</v>
      </c>
      <c r="K17" s="14">
        <f>L_r!L17/L_r!$R17</f>
        <v>5.7824358511022765E-2</v>
      </c>
      <c r="L17" s="14">
        <f>L_r!M17/L_r!$R17</f>
        <v>0.14672930972172027</v>
      </c>
      <c r="M17" s="14">
        <f>L_r!N17/L_r!$R17</f>
        <v>7.1196241416696782E-2</v>
      </c>
      <c r="N17" s="14">
        <f>L_r!O17/L_r!$R17</f>
        <v>0.20816769063968196</v>
      </c>
      <c r="O17" s="14">
        <f>L_r!P17/L_r!$R17</f>
        <v>4.9873509215757138E-2</v>
      </c>
      <c r="P17" s="14">
        <f>L_r!Q17/L_r!$R17</f>
        <v>0.46620889049512104</v>
      </c>
    </row>
    <row r="18" spans="1:16" x14ac:dyDescent="0.2">
      <c r="A18" s="6" t="s">
        <v>18</v>
      </c>
      <c r="B18" s="14">
        <f>L_r!B18/L_r!$H18</f>
        <v>8.6696803358088478E-2</v>
      </c>
      <c r="C18" s="14">
        <f>L_r!C18/L_r!$H18</f>
        <v>0.20293832741362608</v>
      </c>
      <c r="D18" s="14">
        <f>L_r!D18/L_r!$H18</f>
        <v>6.4417177914110432E-2</v>
      </c>
      <c r="E18" s="14">
        <f>L_r!E18/L_r!$H18</f>
        <v>0.20067807555699063</v>
      </c>
      <c r="F18" s="14">
        <f>L_r!F18/L_r!$H18</f>
        <v>8.5566677429770741E-2</v>
      </c>
      <c r="G18" s="14">
        <f>L_r!G18/L_r!$H18</f>
        <v>0.35970293832741362</v>
      </c>
      <c r="J18" s="6" t="s">
        <v>18</v>
      </c>
      <c r="K18" s="14">
        <f>L_r!L18/L_r!$R18</f>
        <v>4.6271402292344707E-2</v>
      </c>
      <c r="L18" s="14">
        <f>L_r!M18/L_r!$R18</f>
        <v>0.18338757605773312</v>
      </c>
      <c r="M18" s="14">
        <f>L_r!N18/L_r!$R18</f>
        <v>8.5043158341587655E-2</v>
      </c>
      <c r="N18" s="14">
        <f>L_r!O18/L_r!$R18</f>
        <v>0.19173623885665769</v>
      </c>
      <c r="O18" s="14">
        <f>L_r!P18/L_r!$R18</f>
        <v>0.11886231781519739</v>
      </c>
      <c r="P18" s="14">
        <f>L_r!Q18/L_r!$R18</f>
        <v>0.37469930663647943</v>
      </c>
    </row>
    <row r="19" spans="1:16" x14ac:dyDescent="0.2">
      <c r="A19" s="6" t="s">
        <v>19</v>
      </c>
      <c r="B19" s="14">
        <f>L_r!B19/L_r!$H19</f>
        <v>6.7561651831314753E-2</v>
      </c>
      <c r="C19" s="14">
        <f>L_r!C19/L_r!$H19</f>
        <v>0.10783598424047862</v>
      </c>
      <c r="D19" s="14">
        <f>L_r!D19/L_r!$H19</f>
        <v>7.8505763899022321E-2</v>
      </c>
      <c r="E19" s="14">
        <f>L_r!E19/L_r!$H19</f>
        <v>0.2504012841091493</v>
      </c>
      <c r="F19" s="14">
        <f>L_r!F19/L_r!$H19</f>
        <v>0.10885743470013133</v>
      </c>
      <c r="G19" s="14">
        <f>L_r!G19/L_r!$H19</f>
        <v>0.3868378812199037</v>
      </c>
      <c r="J19" s="6" t="s">
        <v>19</v>
      </c>
      <c r="K19" s="14">
        <f>L_r!L19/L_r!$R19</f>
        <v>3.7012774320340648E-2</v>
      </c>
      <c r="L19" s="14">
        <f>L_r!M19/L_r!$R19</f>
        <v>9.3896713615023469E-2</v>
      </c>
      <c r="M19" s="14">
        <f>L_r!N19/L_r!$R19</f>
        <v>7.9375477672234962E-2</v>
      </c>
      <c r="N19" s="14">
        <f>L_r!O19/L_r!$R19</f>
        <v>0.23244895730974996</v>
      </c>
      <c r="O19" s="14">
        <f>L_r!P19/L_r!$R19</f>
        <v>0.10830876733267822</v>
      </c>
      <c r="P19" s="14">
        <f>L_r!Q19/L_r!$R19</f>
        <v>0.44895730974997272</v>
      </c>
    </row>
    <row r="20" spans="1:16" x14ac:dyDescent="0.2">
      <c r="A20" s="6" t="s">
        <v>20</v>
      </c>
      <c r="B20" s="14">
        <f>L_r!B20/L_r!$H20</f>
        <v>6.8491691521090747E-2</v>
      </c>
      <c r="C20" s="14">
        <f>L_r!C20/L_r!$H20</f>
        <v>0.17469109501491265</v>
      </c>
      <c r="D20" s="14">
        <f>L_r!D20/L_r!$H20</f>
        <v>6.4763527907967619E-2</v>
      </c>
      <c r="E20" s="14">
        <f>L_r!E20/L_r!$H20</f>
        <v>0.22294418406476352</v>
      </c>
      <c r="F20" s="14">
        <f>L_r!F20/L_r!$H20</f>
        <v>0.10811674478057094</v>
      </c>
      <c r="G20" s="14">
        <f>L_r!G20/L_r!$H20</f>
        <v>0.36099275671069453</v>
      </c>
      <c r="J20" s="6" t="s">
        <v>20</v>
      </c>
      <c r="K20" s="14">
        <f>L_r!L20/L_r!$R20</f>
        <v>5.0165837479270316E-2</v>
      </c>
      <c r="L20" s="14">
        <f>L_r!M20/L_r!$R20</f>
        <v>0.13665008291873965</v>
      </c>
      <c r="M20" s="14">
        <f>L_r!N20/L_r!$R20</f>
        <v>7.2388059701492535E-2</v>
      </c>
      <c r="N20" s="14">
        <f>L_r!O20/L_r!$R20</f>
        <v>0.22620232172470978</v>
      </c>
      <c r="O20" s="14">
        <f>L_r!P20/L_r!$R20</f>
        <v>0.13449419568822554</v>
      </c>
      <c r="P20" s="14">
        <f>L_r!Q20/L_r!$R20</f>
        <v>0.38009950248756219</v>
      </c>
    </row>
    <row r="21" spans="1:16" x14ac:dyDescent="0.2">
      <c r="A21" s="6" t="s">
        <v>21</v>
      </c>
      <c r="B21" s="14">
        <f>L_r!B21/L_r!$H21</f>
        <v>7.7545803152961224E-2</v>
      </c>
      <c r="C21" s="14">
        <f>L_r!C21/L_r!$H21</f>
        <v>0.21026842778014487</v>
      </c>
      <c r="D21" s="14">
        <f>L_r!D21/L_r!$H21</f>
        <v>6.6467831273966771E-2</v>
      </c>
      <c r="E21" s="14">
        <f>L_r!E21/L_r!$H21</f>
        <v>0.21005538985939498</v>
      </c>
      <c r="F21" s="14">
        <f>L_r!F21/L_r!$H21</f>
        <v>7.5628461866212179E-2</v>
      </c>
      <c r="G21" s="14">
        <f>L_r!G21/L_r!$H21</f>
        <v>0.36003408606731996</v>
      </c>
      <c r="J21" s="6" t="s">
        <v>21</v>
      </c>
      <c r="K21" s="14">
        <f>L_r!L21/L_r!$R21</f>
        <v>7.2325276372493905E-2</v>
      </c>
      <c r="L21" s="14">
        <f>L_r!M21/L_r!$R21</f>
        <v>0.17893947910811317</v>
      </c>
      <c r="M21" s="14">
        <f>L_r!N21/L_r!$R21</f>
        <v>7.5885328836424959E-2</v>
      </c>
      <c r="N21" s="14">
        <f>L_r!O21/L_r!$R21</f>
        <v>0.19748922615701706</v>
      </c>
      <c r="O21" s="14">
        <f>L_r!P21/L_r!$R21</f>
        <v>9.6870901255386915E-2</v>
      </c>
      <c r="P21" s="14">
        <f>L_r!Q21/L_r!$R21</f>
        <v>0.37848978827056401</v>
      </c>
    </row>
    <row r="22" spans="1:16" x14ac:dyDescent="0.2">
      <c r="A22" s="6" t="s">
        <v>22</v>
      </c>
      <c r="B22" s="14">
        <f>L_r!B22/L_r!$H22</f>
        <v>3.4314390343143902E-2</v>
      </c>
      <c r="C22" s="14">
        <f>L_r!C22/L_r!$H22</f>
        <v>0.2363578823635788</v>
      </c>
      <c r="D22" s="14">
        <f>L_r!D22/L_r!$H22</f>
        <v>6.3203580632035808E-2</v>
      </c>
      <c r="E22" s="14">
        <f>L_r!E22/L_r!$H22</f>
        <v>0.22930512229305122</v>
      </c>
      <c r="F22" s="14">
        <f>L_r!F22/L_r!$H22</f>
        <v>0.12197658121976582</v>
      </c>
      <c r="G22" s="14">
        <f>L_r!G22/L_r!$H22</f>
        <v>0.31484244314842441</v>
      </c>
      <c r="J22" s="6" t="s">
        <v>22</v>
      </c>
      <c r="K22" s="14">
        <f>L_r!L22/L_r!$R22</f>
        <v>2.707923041963339E-2</v>
      </c>
      <c r="L22" s="14">
        <f>L_r!M22/L_r!$R22</f>
        <v>0.16917891228601728</v>
      </c>
      <c r="M22" s="14">
        <f>L_r!N22/L_r!$R22</f>
        <v>8.3396455082563242E-2</v>
      </c>
      <c r="N22" s="14">
        <f>L_r!O22/L_r!$R22</f>
        <v>0.23996364187244357</v>
      </c>
      <c r="O22" s="14">
        <f>L_r!P22/L_r!$R22</f>
        <v>0.13603999394031208</v>
      </c>
      <c r="P22" s="14">
        <f>L_r!Q22/L_r!$R22</f>
        <v>0.34434176639903047</v>
      </c>
    </row>
    <row r="23" spans="1:16" x14ac:dyDescent="0.2">
      <c r="A23" s="6" t="s">
        <v>23</v>
      </c>
      <c r="B23" s="14">
        <f>L_r!B23/L_r!$H23</f>
        <v>2.369542066027689E-2</v>
      </c>
      <c r="C23" s="14">
        <f>L_r!C23/L_r!$H23</f>
        <v>0.12493343982960596</v>
      </c>
      <c r="D23" s="14">
        <f>L_r!D23/L_r!$H23</f>
        <v>7.3948349307774233E-2</v>
      </c>
      <c r="E23" s="14">
        <f>L_r!E23/L_r!$H23</f>
        <v>0.27928647497337594</v>
      </c>
      <c r="F23" s="14">
        <f>L_r!F23/L_r!$H23</f>
        <v>0.11581469648562301</v>
      </c>
      <c r="G23" s="14">
        <f>L_r!G23/L_r!$H23</f>
        <v>0.38232161874334397</v>
      </c>
      <c r="J23" s="6" t="s">
        <v>23</v>
      </c>
      <c r="K23" s="14">
        <f>L_r!L23/L_r!$R23</f>
        <v>2.2307932867716044E-2</v>
      </c>
      <c r="L23" s="14">
        <f>L_r!M23/L_r!$R23</f>
        <v>9.9916605858438451E-2</v>
      </c>
      <c r="M23" s="14">
        <f>L_r!N23/L_r!$R23</f>
        <v>7.7035338267486708E-2</v>
      </c>
      <c r="N23" s="14">
        <f>L_r!O23/L_r!$R23</f>
        <v>0.26190972584175964</v>
      </c>
      <c r="O23" s="14">
        <f>L_r!P23/L_r!$R23</f>
        <v>0.14604399040967372</v>
      </c>
      <c r="P23" s="14">
        <f>L_r!Q23/L_r!$R23</f>
        <v>0.39278640675492549</v>
      </c>
    </row>
    <row r="24" spans="1:16" x14ac:dyDescent="0.2">
      <c r="A24" s="6" t="s">
        <v>24</v>
      </c>
      <c r="B24" s="14">
        <f>L_r!B24/L_r!$H24</f>
        <v>0</v>
      </c>
      <c r="C24" s="14">
        <f>L_r!C24/L_r!$H24</f>
        <v>0</v>
      </c>
      <c r="D24" s="14">
        <f>L_r!D24/L_r!$H24</f>
        <v>0</v>
      </c>
      <c r="E24" s="14">
        <f>L_r!E24/L_r!$H24</f>
        <v>0.4</v>
      </c>
      <c r="F24" s="14">
        <f>L_r!F24/L_r!$H24</f>
        <v>0</v>
      </c>
      <c r="G24" s="14">
        <f>L_r!G24/L_r!$H24</f>
        <v>0.6</v>
      </c>
      <c r="J24" s="6" t="s">
        <v>24</v>
      </c>
      <c r="K24" s="14">
        <f>L_r!L24/L_r!$R24</f>
        <v>0</v>
      </c>
      <c r="L24" s="14">
        <f>L_r!M24/L_r!$R24</f>
        <v>0.16005873715124816</v>
      </c>
      <c r="M24" s="14">
        <f>L_r!N24/L_r!$R24</f>
        <v>9.8384728340675479E-2</v>
      </c>
      <c r="N24" s="14">
        <f>L_r!O24/L_r!$R24</f>
        <v>0.25844346549192365</v>
      </c>
      <c r="O24" s="14">
        <f>L_r!P24/L_r!$R24</f>
        <v>0.11013215859030837</v>
      </c>
      <c r="P24" s="14">
        <f>L_r!Q24/L_r!$R24</f>
        <v>0.37298091042584436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CF14-9361-1F4D-B01E-41DD4D4EA763}">
  <dimension ref="A1:R25"/>
  <sheetViews>
    <sheetView workbookViewId="0">
      <selection activeCell="H30" sqref="H30"/>
    </sheetView>
  </sheetViews>
  <sheetFormatPr baseColWidth="10" defaultRowHeight="16" x14ac:dyDescent="0.2"/>
  <cols>
    <col min="1" max="1" width="23.83203125" bestFit="1" customWidth="1"/>
    <col min="2" max="2" width="14.83203125" style="1" bestFit="1" customWidth="1"/>
    <col min="3" max="3" width="14.6640625" style="1" bestFit="1" customWidth="1"/>
    <col min="4" max="7" width="11" style="1" bestFit="1" customWidth="1"/>
    <col min="8" max="8" width="14.83203125" style="1" bestFit="1" customWidth="1"/>
    <col min="9" max="9" width="14.1640625" bestFit="1" customWidth="1"/>
    <col min="11" max="11" width="23.83203125" bestFit="1" customWidth="1"/>
    <col min="12" max="12" width="11.6640625" bestFit="1" customWidth="1"/>
    <col min="13" max="13" width="12.6640625" bestFit="1" customWidth="1"/>
    <col min="14" max="17" width="11" bestFit="1" customWidth="1"/>
    <col min="18" max="18" width="14.83203125" bestFit="1" customWidth="1"/>
  </cols>
  <sheetData>
    <row r="1" spans="1:18" x14ac:dyDescent="0.2">
      <c r="A1" s="17" t="s">
        <v>44</v>
      </c>
      <c r="B1" s="17"/>
      <c r="C1" s="17"/>
      <c r="D1" s="17"/>
      <c r="E1" s="17"/>
      <c r="F1" s="17"/>
      <c r="G1" s="17"/>
      <c r="H1" s="17"/>
      <c r="K1" s="17" t="s">
        <v>43</v>
      </c>
      <c r="L1" s="17"/>
      <c r="M1" s="17"/>
      <c r="N1" s="17"/>
      <c r="O1" s="17"/>
      <c r="P1" s="17"/>
      <c r="Q1" s="17"/>
      <c r="R1" s="17"/>
    </row>
    <row r="2" spans="1:18" x14ac:dyDescent="0.2">
      <c r="A2" s="12"/>
      <c r="B2" s="6" t="s">
        <v>3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41</v>
      </c>
      <c r="K2" s="12"/>
      <c r="L2" s="12" t="s">
        <v>3</v>
      </c>
      <c r="M2" s="12" t="s">
        <v>25</v>
      </c>
      <c r="N2" s="12" t="s">
        <v>26</v>
      </c>
      <c r="O2" s="12" t="s">
        <v>27</v>
      </c>
      <c r="P2" s="12" t="s">
        <v>28</v>
      </c>
      <c r="Q2" s="12" t="s">
        <v>29</v>
      </c>
      <c r="R2" s="12" t="s">
        <v>42</v>
      </c>
    </row>
    <row r="3" spans="1:18" x14ac:dyDescent="0.2">
      <c r="A3" s="6" t="s">
        <v>2</v>
      </c>
      <c r="B3" s="5">
        <f>s_ri!B3*shock_i!$E$2</f>
        <v>0.75290257921400205</v>
      </c>
      <c r="C3" s="5">
        <f>s_ri!C3*shock_i!$E$3</f>
        <v>1598.7394100010424</v>
      </c>
      <c r="D3" s="5">
        <f>s_ri!D3*shock_i!$E$4</f>
        <v>0</v>
      </c>
      <c r="E3" s="5">
        <f>s_ri!E3*shock_i!$E$5</f>
        <v>0</v>
      </c>
      <c r="F3" s="5">
        <f>s_ri!F3*shock_i!$E$6</f>
        <v>3.1853237242054334E-2</v>
      </c>
      <c r="G3" s="5">
        <f>s_ri!G3*shock_i!$E$7</f>
        <v>1.6369859273317466</v>
      </c>
      <c r="H3" s="5">
        <f>SUM(B3:G3)/1000</f>
        <v>1.6011611517448303</v>
      </c>
      <c r="I3" s="24"/>
      <c r="K3" s="6" t="s">
        <v>2</v>
      </c>
      <c r="L3" s="5">
        <f>s_ri!K3*shock_i!$E$8</f>
        <v>-5.8210811598858693E-2</v>
      </c>
      <c r="M3" s="5">
        <f>s_ri!L3*shock_i!$E$9</f>
        <v>150.46815497127804</v>
      </c>
      <c r="N3" s="5">
        <f>s_ri!M3*shock_i!$E$10</f>
        <v>0</v>
      </c>
      <c r="O3" s="5">
        <f>s_ri!N3*shock_i!$E$11</f>
        <v>0</v>
      </c>
      <c r="P3" s="5">
        <f>s_ri!O3*shock_i!$E$12</f>
        <v>-5.7644711866876161E-3</v>
      </c>
      <c r="Q3" s="5">
        <f>s_ri!P3*shock_i!$E$13</f>
        <v>-0.11529201747956511</v>
      </c>
      <c r="R3" s="5">
        <f>SUM(L3:Q3)/1000</f>
        <v>0.15028888767101292</v>
      </c>
    </row>
    <row r="4" spans="1:18" x14ac:dyDescent="0.2">
      <c r="A4" s="6" t="s">
        <v>4</v>
      </c>
      <c r="B4" s="5">
        <f>s_ri!B4*shock_i!$E$2</f>
        <v>9.4208306401945254</v>
      </c>
      <c r="C4" s="5">
        <f>s_ri!C4*shock_i!$E$3</f>
        <v>2799.9291857375865</v>
      </c>
      <c r="D4" s="5">
        <f>s_ri!D4*shock_i!$E$4</f>
        <v>0</v>
      </c>
      <c r="E4" s="5">
        <f>s_ri!E4*shock_i!$E$5</f>
        <v>0</v>
      </c>
      <c r="F4" s="5">
        <f>s_ri!F4*shock_i!$E$6</f>
        <v>1.4392427804647865E-2</v>
      </c>
      <c r="G4" s="5">
        <f>s_ri!G4*shock_i!$E$7</f>
        <v>1.6232319399148956</v>
      </c>
      <c r="H4" s="5">
        <f t="shared" ref="H4:H24" si="0">SUM(B4:G4)/1000</f>
        <v>2.810987640745501</v>
      </c>
      <c r="I4" s="24"/>
      <c r="K4" s="6" t="s">
        <v>4</v>
      </c>
      <c r="L4" s="5">
        <f>s_ri!K4*shock_i!$E$8</f>
        <v>-1.3820702745424314</v>
      </c>
      <c r="M4" s="5">
        <f>s_ri!L4*shock_i!$E$9</f>
        <v>286.23768108157697</v>
      </c>
      <c r="N4" s="5">
        <f>s_ri!M4*shock_i!$E$10</f>
        <v>0</v>
      </c>
      <c r="O4" s="5">
        <f>s_ri!N4*shock_i!$E$11</f>
        <v>0</v>
      </c>
      <c r="P4" s="5">
        <f>s_ri!O4*shock_i!$E$12</f>
        <v>-3.2732845978297198E-3</v>
      </c>
      <c r="Q4" s="5">
        <f>s_ri!P4*shock_i!$E$13</f>
        <v>-0.12300810550525143</v>
      </c>
      <c r="R4" s="5">
        <f t="shared" ref="R4:R24" si="1">SUM(L4:Q4)/1000</f>
        <v>0.28472932941693141</v>
      </c>
    </row>
    <row r="5" spans="1:18" x14ac:dyDescent="0.2">
      <c r="A5" s="6" t="s">
        <v>5</v>
      </c>
      <c r="B5" s="5">
        <f>s_ri!B5*shock_i!$E$2</f>
        <v>10.621488625434488</v>
      </c>
      <c r="C5" s="5">
        <f>s_ri!C5*shock_i!$E$3</f>
        <v>2661.6113789372962</v>
      </c>
      <c r="D5" s="5">
        <f>s_ri!D5*shock_i!$E$4</f>
        <v>0</v>
      </c>
      <c r="E5" s="5">
        <f>s_ri!E5*shock_i!$E$5</f>
        <v>0</v>
      </c>
      <c r="F5" s="5">
        <f>s_ri!F5*shock_i!$E$6</f>
        <v>9.6549054356186315E-3</v>
      </c>
      <c r="G5" s="5">
        <f>s_ri!G5*shock_i!$E$7</f>
        <v>1.7051523019050958</v>
      </c>
      <c r="H5" s="5">
        <f t="shared" si="0"/>
        <v>2.673947674770071</v>
      </c>
      <c r="I5" s="24"/>
      <c r="K5" s="6" t="s">
        <v>5</v>
      </c>
      <c r="L5" s="5">
        <f>s_ri!K5*shock_i!$E$8</f>
        <v>-1.9805567370747827</v>
      </c>
      <c r="M5" s="5">
        <f>s_ri!L5*shock_i!$E$9</f>
        <v>268.38989964957187</v>
      </c>
      <c r="N5" s="5">
        <f>s_ri!M5*shock_i!$E$10</f>
        <v>0</v>
      </c>
      <c r="O5" s="5">
        <f>s_ri!N5*shock_i!$E$11</f>
        <v>0</v>
      </c>
      <c r="P5" s="5">
        <f>s_ri!O5*shock_i!$E$12</f>
        <v>-2.8329641714515768E-3</v>
      </c>
      <c r="Q5" s="5">
        <f>s_ri!P5*shock_i!$E$13</f>
        <v>-0.12135673958333358</v>
      </c>
      <c r="R5" s="5">
        <f t="shared" si="1"/>
        <v>0.2662851532087423</v>
      </c>
    </row>
    <row r="6" spans="1:18" x14ac:dyDescent="0.2">
      <c r="A6" s="6" t="s">
        <v>6</v>
      </c>
      <c r="B6" s="5">
        <f>s_ri!B6*shock_i!$E$2</f>
        <v>7.5144127525148283</v>
      </c>
      <c r="C6" s="5">
        <f>s_ri!C6*shock_i!$E$3</f>
        <v>3577.1630546992542</v>
      </c>
      <c r="D6" s="5">
        <f>s_ri!D6*shock_i!$E$4</f>
        <v>0</v>
      </c>
      <c r="E6" s="5">
        <f>s_ri!E6*shock_i!$E$5</f>
        <v>0</v>
      </c>
      <c r="F6" s="5">
        <f>s_ri!F6*shock_i!$E$6</f>
        <v>9.5258093323564511E-3</v>
      </c>
      <c r="G6" s="5">
        <f>s_ri!G6*shock_i!$E$7</f>
        <v>1.576765660245808</v>
      </c>
      <c r="H6" s="5">
        <f t="shared" si="0"/>
        <v>3.5862637589213473</v>
      </c>
      <c r="I6" s="24"/>
      <c r="K6" s="6" t="s">
        <v>6</v>
      </c>
      <c r="L6" s="5">
        <f>s_ri!K6*shock_i!$E$8</f>
        <v>-1.1752846897966411</v>
      </c>
      <c r="M6" s="5">
        <f>s_ri!L6*shock_i!$E$9</f>
        <v>451.26409517879051</v>
      </c>
      <c r="N6" s="5">
        <f>s_ri!M6*shock_i!$E$10</f>
        <v>0</v>
      </c>
      <c r="O6" s="5">
        <f>s_ri!N6*shock_i!$E$11</f>
        <v>0</v>
      </c>
      <c r="P6" s="5">
        <f>s_ri!O6*shock_i!$E$12</f>
        <v>-1.9450024979203208E-3</v>
      </c>
      <c r="Q6" s="5">
        <f>s_ri!P6*shock_i!$E$13</f>
        <v>-0.12579261448897319</v>
      </c>
      <c r="R6" s="5">
        <f t="shared" si="1"/>
        <v>0.44996107287200698</v>
      </c>
    </row>
    <row r="7" spans="1:18" x14ac:dyDescent="0.2">
      <c r="A7" s="6" t="s">
        <v>7</v>
      </c>
      <c r="B7" s="5">
        <f>s_ri!B7*shock_i!$E$2</f>
        <v>14.531978826095264</v>
      </c>
      <c r="C7" s="5">
        <f>s_ri!C7*shock_i!$E$3</f>
        <v>2168.3502379069737</v>
      </c>
      <c r="D7" s="5">
        <f>s_ri!D7*shock_i!$E$4</f>
        <v>0</v>
      </c>
      <c r="E7" s="5">
        <f>s_ri!E7*shock_i!$E$5</f>
        <v>0</v>
      </c>
      <c r="F7" s="5">
        <f>s_ri!F7*shock_i!$E$6</f>
        <v>1.3765099454668722E-2</v>
      </c>
      <c r="G7" s="5">
        <f>s_ri!G7*shock_i!$E$7</f>
        <v>1.7222205602378182</v>
      </c>
      <c r="H7" s="5">
        <f t="shared" si="0"/>
        <v>2.1846182023927616</v>
      </c>
      <c r="I7" s="24"/>
      <c r="K7" s="6" t="s">
        <v>7</v>
      </c>
      <c r="L7" s="5">
        <f>s_ri!K7*shock_i!$E$8</f>
        <v>-1.9320758974829915</v>
      </c>
      <c r="M7" s="5">
        <f>s_ri!L7*shock_i!$E$9</f>
        <v>260.65296892188769</v>
      </c>
      <c r="N7" s="5">
        <f>s_ri!M7*shock_i!$E$10</f>
        <v>0</v>
      </c>
      <c r="O7" s="5">
        <f>s_ri!N7*shock_i!$E$11</f>
        <v>0</v>
      </c>
      <c r="P7" s="5">
        <f>s_ri!O7*shock_i!$E$12</f>
        <v>-2.4851860685369638E-3</v>
      </c>
      <c r="Q7" s="5">
        <f>s_ri!P7*shock_i!$E$13</f>
        <v>-0.12809158130982848</v>
      </c>
      <c r="R7" s="5">
        <f t="shared" si="1"/>
        <v>0.25859031625702628</v>
      </c>
    </row>
    <row r="8" spans="1:18" x14ac:dyDescent="0.2">
      <c r="A8" s="6" t="s">
        <v>8</v>
      </c>
      <c r="B8" s="5">
        <f>s_ri!B8*shock_i!$E$2</f>
        <v>3.7757573462352005</v>
      </c>
      <c r="C8" s="5">
        <f>s_ri!C8*shock_i!$E$3</f>
        <v>2716.4124384242346</v>
      </c>
      <c r="D8" s="5">
        <f>s_ri!D8*shock_i!$E$4</f>
        <v>0</v>
      </c>
      <c r="E8" s="5">
        <f>s_ri!E8*shock_i!$E$5</f>
        <v>0</v>
      </c>
      <c r="F8" s="5">
        <f>s_ri!F8*shock_i!$E$6</f>
        <v>1.3717685743924252E-2</v>
      </c>
      <c r="G8" s="5">
        <f>s_ri!G8*shock_i!$E$7</f>
        <v>1.6403171134600614</v>
      </c>
      <c r="H8" s="5">
        <f t="shared" si="0"/>
        <v>2.7218422305696741</v>
      </c>
      <c r="I8" s="24"/>
      <c r="K8" s="6" t="s">
        <v>8</v>
      </c>
      <c r="L8" s="5">
        <f>s_ri!K8*shock_i!$E$8</f>
        <v>-0.52393957940097602</v>
      </c>
      <c r="M8" s="5">
        <f>s_ri!L8*shock_i!$E$9</f>
        <v>340.15050286727404</v>
      </c>
      <c r="N8" s="5">
        <f>s_ri!M8*shock_i!$E$10</f>
        <v>0</v>
      </c>
      <c r="O8" s="5">
        <f>s_ri!N8*shock_i!$E$11</f>
        <v>0</v>
      </c>
      <c r="P8" s="5">
        <f>s_ri!O8*shock_i!$E$12</f>
        <v>-2.7484239553656866E-3</v>
      </c>
      <c r="Q8" s="5">
        <f>s_ri!P8*shock_i!$E$13</f>
        <v>-0.13057232545259323</v>
      </c>
      <c r="R8" s="5">
        <f t="shared" si="1"/>
        <v>0.33949324253846508</v>
      </c>
    </row>
    <row r="9" spans="1:18" x14ac:dyDescent="0.2">
      <c r="A9" s="6" t="s">
        <v>9</v>
      </c>
      <c r="B9" s="5">
        <f>s_ri!B9*shock_i!$E$2</f>
        <v>2.6948803591906629</v>
      </c>
      <c r="C9" s="5">
        <f>s_ri!C9*shock_i!$E$3</f>
        <v>2545.9969655167797</v>
      </c>
      <c r="D9" s="5">
        <f>s_ri!D9*shock_i!$E$4</f>
        <v>0</v>
      </c>
      <c r="E9" s="5">
        <f>s_ri!E9*shock_i!$E$5</f>
        <v>0</v>
      </c>
      <c r="F9" s="5">
        <f>s_ri!F9*shock_i!$E$6</f>
        <v>1.3569370253817449E-2</v>
      </c>
      <c r="G9" s="5">
        <f>s_ri!G9*shock_i!$E$7</f>
        <v>1.7165026252922309</v>
      </c>
      <c r="H9" s="5">
        <f t="shared" si="0"/>
        <v>2.5504219178715166</v>
      </c>
      <c r="I9" s="24"/>
      <c r="K9" s="6" t="s">
        <v>9</v>
      </c>
      <c r="L9" s="5">
        <f>s_ri!K9*shock_i!$E$8</f>
        <v>-0.37491828398538585</v>
      </c>
      <c r="M9" s="5">
        <f>s_ri!L9*shock_i!$E$9</f>
        <v>278.80279281845213</v>
      </c>
      <c r="N9" s="5">
        <f>s_ri!M9*shock_i!$E$10</f>
        <v>0</v>
      </c>
      <c r="O9" s="5">
        <f>s_ri!N9*shock_i!$E$11</f>
        <v>0</v>
      </c>
      <c r="P9" s="5">
        <f>s_ri!O9*shock_i!$E$12</f>
        <v>-3.0177865088865234E-3</v>
      </c>
      <c r="Q9" s="5">
        <f>s_ri!P9*shock_i!$E$13</f>
        <v>-0.13552219547054559</v>
      </c>
      <c r="R9" s="5">
        <f t="shared" si="1"/>
        <v>0.27828933455248728</v>
      </c>
    </row>
    <row r="10" spans="1:18" x14ac:dyDescent="0.2">
      <c r="A10" s="6" t="s">
        <v>10</v>
      </c>
      <c r="B10" s="5">
        <f>s_ri!B10*shock_i!$E$2</f>
        <v>6.2090743566882889</v>
      </c>
      <c r="C10" s="5">
        <f>s_ri!C10*shock_i!$E$3</f>
        <v>2812.904609602715</v>
      </c>
      <c r="D10" s="5">
        <f>s_ri!D10*shock_i!$E$4</f>
        <v>0</v>
      </c>
      <c r="E10" s="5">
        <f>s_ri!E10*shock_i!$E$5</f>
        <v>0</v>
      </c>
      <c r="F10" s="5">
        <f>s_ri!F10*shock_i!$E$6</f>
        <v>1.1890885367367324E-2</v>
      </c>
      <c r="G10" s="5">
        <f>s_ri!G10*shock_i!$E$7</f>
        <v>1.5856811857823674</v>
      </c>
      <c r="H10" s="5">
        <f t="shared" si="0"/>
        <v>2.8207112560305529</v>
      </c>
      <c r="I10" s="24"/>
      <c r="K10" s="6" t="s">
        <v>10</v>
      </c>
      <c r="L10" s="5">
        <f>s_ri!K10*shock_i!$E$8</f>
        <v>-1.0501470683624961</v>
      </c>
      <c r="M10" s="5">
        <f>s_ri!L10*shock_i!$E$9</f>
        <v>285.79351670983453</v>
      </c>
      <c r="N10" s="5">
        <f>s_ri!M10*shock_i!$E$10</f>
        <v>0</v>
      </c>
      <c r="O10" s="5">
        <f>s_ri!N10*shock_i!$E$11</f>
        <v>0</v>
      </c>
      <c r="P10" s="5">
        <f>s_ri!O10*shock_i!$E$12</f>
        <v>-2.5300080730681252E-3</v>
      </c>
      <c r="Q10" s="5">
        <f>s_ri!P10*shock_i!$E$13</f>
        <v>-0.12448079040250447</v>
      </c>
      <c r="R10" s="5">
        <f t="shared" si="1"/>
        <v>0.28461635884299646</v>
      </c>
    </row>
    <row r="11" spans="1:18" x14ac:dyDescent="0.2">
      <c r="A11" s="6" t="s">
        <v>11</v>
      </c>
      <c r="B11" s="5">
        <f>s_ri!B11*shock_i!$E$2</f>
        <v>3.0408211207193192</v>
      </c>
      <c r="C11" s="5">
        <f>s_ri!C11*shock_i!$E$3</f>
        <v>3221.6216230949481</v>
      </c>
      <c r="D11" s="5">
        <f>s_ri!D11*shock_i!$E$4</f>
        <v>0</v>
      </c>
      <c r="E11" s="5">
        <f>s_ri!E11*shock_i!$E$5</f>
        <v>0</v>
      </c>
      <c r="F11" s="5">
        <f>s_ri!F11*shock_i!$E$6</f>
        <v>1.4297158266079845E-2</v>
      </c>
      <c r="G11" s="5">
        <f>s_ri!G11*shock_i!$E$7</f>
        <v>1.41712945886233</v>
      </c>
      <c r="H11" s="5">
        <f t="shared" si="0"/>
        <v>3.2260938708327953</v>
      </c>
      <c r="I11" s="24"/>
      <c r="K11" s="6" t="s">
        <v>11</v>
      </c>
      <c r="L11" s="5">
        <f>s_ri!K11*shock_i!$E$8</f>
        <v>-0.31685210581705725</v>
      </c>
      <c r="M11" s="5">
        <f>s_ri!L11*shock_i!$E$9</f>
        <v>354.16516290869242</v>
      </c>
      <c r="N11" s="5">
        <f>s_ri!M11*shock_i!$E$10</f>
        <v>0</v>
      </c>
      <c r="O11" s="5">
        <f>s_ri!N11*shock_i!$E$11</f>
        <v>0</v>
      </c>
      <c r="P11" s="5">
        <f>s_ri!O11*shock_i!$E$12</f>
        <v>-2.9169613744841551E-3</v>
      </c>
      <c r="Q11" s="5">
        <f>s_ri!P11*shock_i!$E$13</f>
        <v>-0.12191121812759349</v>
      </c>
      <c r="R11" s="5">
        <f t="shared" si="1"/>
        <v>0.35372348262337328</v>
      </c>
    </row>
    <row r="12" spans="1:18" x14ac:dyDescent="0.2">
      <c r="A12" s="6" t="s">
        <v>12</v>
      </c>
      <c r="B12" s="5">
        <f>s_ri!B12*shock_i!$E$2</f>
        <v>13.615121818854304</v>
      </c>
      <c r="C12" s="5">
        <f>s_ri!C12*shock_i!$E$3</f>
        <v>2406.7950095112242</v>
      </c>
      <c r="D12" s="5">
        <f>s_ri!D12*shock_i!$E$4</f>
        <v>0</v>
      </c>
      <c r="E12" s="5">
        <f>s_ri!E12*shock_i!$E$5</f>
        <v>0</v>
      </c>
      <c r="F12" s="5">
        <f>s_ri!F12*shock_i!$E$6</f>
        <v>1.1959142070637597E-2</v>
      </c>
      <c r="G12" s="5">
        <f>s_ri!G12*shock_i!$E$7</f>
        <v>1.6506672238871976</v>
      </c>
      <c r="H12" s="5">
        <f t="shared" si="0"/>
        <v>2.4220727576960361</v>
      </c>
      <c r="I12" s="24"/>
      <c r="K12" s="6" t="s">
        <v>12</v>
      </c>
      <c r="L12" s="5">
        <f>s_ri!K12*shock_i!$E$8</f>
        <v>-2.0220492537538868</v>
      </c>
      <c r="M12" s="5">
        <f>s_ri!L12*shock_i!$E$9</f>
        <v>320.54302950918236</v>
      </c>
      <c r="N12" s="5">
        <f>s_ri!M12*shock_i!$E$10</f>
        <v>0</v>
      </c>
      <c r="O12" s="5">
        <f>s_ri!N12*shock_i!$E$11</f>
        <v>0</v>
      </c>
      <c r="P12" s="5">
        <f>s_ri!O12*shock_i!$E$12</f>
        <v>-2.5481776040970593E-3</v>
      </c>
      <c r="Q12" s="5">
        <f>s_ri!P12*shock_i!$E$13</f>
        <v>-0.12772240517023267</v>
      </c>
      <c r="R12" s="5">
        <f t="shared" si="1"/>
        <v>0.31839070967265415</v>
      </c>
    </row>
    <row r="13" spans="1:18" x14ac:dyDescent="0.2">
      <c r="A13" s="6" t="s">
        <v>13</v>
      </c>
      <c r="B13" s="5">
        <f>s_ri!B13*shock_i!$E$2</f>
        <v>4.6170723244794738</v>
      </c>
      <c r="C13" s="5">
        <f>s_ri!C13*shock_i!$E$3</f>
        <v>2708.5610543530352</v>
      </c>
      <c r="D13" s="5">
        <f>s_ri!D13*shock_i!$E$4</f>
        <v>0</v>
      </c>
      <c r="E13" s="5">
        <f>s_ri!E13*shock_i!$E$5</f>
        <v>0</v>
      </c>
      <c r="F13" s="5">
        <f>s_ri!F13*shock_i!$E$6</f>
        <v>1.2586957664385303E-2</v>
      </c>
      <c r="G13" s="5">
        <f>s_ri!G13*shock_i!$E$7</f>
        <v>1.6897756946399467</v>
      </c>
      <c r="H13" s="5">
        <f t="shared" si="0"/>
        <v>2.7148804893298193</v>
      </c>
      <c r="I13" s="24"/>
      <c r="K13" s="6" t="s">
        <v>13</v>
      </c>
      <c r="L13" s="5">
        <f>s_ri!K13*shock_i!$E$8</f>
        <v>-0.67395123454773831</v>
      </c>
      <c r="M13" s="5">
        <f>s_ri!L13*shock_i!$E$9</f>
        <v>287.30690796601306</v>
      </c>
      <c r="N13" s="5">
        <f>s_ri!M13*shock_i!$E$10</f>
        <v>0</v>
      </c>
      <c r="O13" s="5">
        <f>s_ri!N13*shock_i!$E$11</f>
        <v>0</v>
      </c>
      <c r="P13" s="5">
        <f>s_ri!O13*shock_i!$E$12</f>
        <v>-2.8954772871636475E-3</v>
      </c>
      <c r="Q13" s="5">
        <f>s_ri!P13*shock_i!$E$13</f>
        <v>-0.13707029718502664</v>
      </c>
      <c r="R13" s="5">
        <f t="shared" si="1"/>
        <v>0.28649299095699315</v>
      </c>
    </row>
    <row r="14" spans="1:18" x14ac:dyDescent="0.2">
      <c r="A14" s="6" t="s">
        <v>14</v>
      </c>
      <c r="B14" s="5">
        <f>s_ri!B14*shock_i!$E$2</f>
        <v>10.510332983241318</v>
      </c>
      <c r="C14" s="5">
        <f>s_ri!C14*shock_i!$E$3</f>
        <v>2804.2884091312303</v>
      </c>
      <c r="D14" s="5">
        <f>s_ri!D14*shock_i!$E$4</f>
        <v>0</v>
      </c>
      <c r="E14" s="5">
        <f>s_ri!E14*shock_i!$E$5</f>
        <v>0</v>
      </c>
      <c r="F14" s="5">
        <f>s_ri!F14*shock_i!$E$6</f>
        <v>1.2190653971492211E-2</v>
      </c>
      <c r="G14" s="5">
        <f>s_ri!G14*shock_i!$E$7</f>
        <v>1.573575624114691</v>
      </c>
      <c r="H14" s="5">
        <f t="shared" si="0"/>
        <v>2.8163845083925581</v>
      </c>
      <c r="I14" s="24"/>
      <c r="K14" s="6" t="s">
        <v>14</v>
      </c>
      <c r="L14" s="5">
        <f>s_ri!K14*shock_i!$E$8</f>
        <v>-1.3999068636099128</v>
      </c>
      <c r="M14" s="5">
        <f>s_ri!L14*shock_i!$E$9</f>
        <v>312.06414031087752</v>
      </c>
      <c r="N14" s="5">
        <f>s_ri!M14*shock_i!$E$10</f>
        <v>0</v>
      </c>
      <c r="O14" s="5">
        <f>s_ri!N14*shock_i!$E$11</f>
        <v>0</v>
      </c>
      <c r="P14" s="5">
        <f>s_ri!O14*shock_i!$E$12</f>
        <v>-3.1044145180188013E-3</v>
      </c>
      <c r="Q14" s="5">
        <f>s_ri!P14*shock_i!$E$13</f>
        <v>-0.11700904710994345</v>
      </c>
      <c r="R14" s="5">
        <f t="shared" si="1"/>
        <v>0.31054411998563969</v>
      </c>
    </row>
    <row r="15" spans="1:18" x14ac:dyDescent="0.2">
      <c r="A15" s="6" t="s">
        <v>15</v>
      </c>
      <c r="B15" s="5">
        <f>s_ri!B15*shock_i!$E$2</f>
        <v>12.410708413715017</v>
      </c>
      <c r="C15" s="5">
        <f>s_ri!C15*shock_i!$E$3</f>
        <v>2272.2998369856464</v>
      </c>
      <c r="D15" s="5">
        <f>s_ri!D15*shock_i!$E$4</f>
        <v>0</v>
      </c>
      <c r="E15" s="5">
        <f>s_ri!E15*shock_i!$E$5</f>
        <v>0</v>
      </c>
      <c r="F15" s="5">
        <f>s_ri!F15*shock_i!$E$6</f>
        <v>1.1715701654778293E-2</v>
      </c>
      <c r="G15" s="5">
        <f>s_ri!G15*shock_i!$E$7</f>
        <v>1.7851909463897393</v>
      </c>
      <c r="H15" s="5">
        <f t="shared" si="0"/>
        <v>2.286507452047406</v>
      </c>
      <c r="I15" s="24"/>
      <c r="K15" s="6" t="s">
        <v>15</v>
      </c>
      <c r="L15" s="5">
        <f>s_ri!K15*shock_i!$E$8</f>
        <v>-2.0857677496631122</v>
      </c>
      <c r="M15" s="5">
        <f>s_ri!L15*shock_i!$E$9</f>
        <v>246.04843199893676</v>
      </c>
      <c r="N15" s="5">
        <f>s_ri!M15*shock_i!$E$10</f>
        <v>0</v>
      </c>
      <c r="O15" s="5">
        <f>s_ri!N15*shock_i!$E$11</f>
        <v>0</v>
      </c>
      <c r="P15" s="5">
        <f>s_ri!O15*shock_i!$E$12</f>
        <v>-2.9031916730125652E-3</v>
      </c>
      <c r="Q15" s="5">
        <f>s_ri!P15*shock_i!$E$13</f>
        <v>-0.12687201399499384</v>
      </c>
      <c r="R15" s="5">
        <f t="shared" si="1"/>
        <v>0.24383288904360567</v>
      </c>
    </row>
    <row r="16" spans="1:18" x14ac:dyDescent="0.2">
      <c r="A16" s="6" t="s">
        <v>16</v>
      </c>
      <c r="B16" s="5">
        <f>s_ri!B16*shock_i!$E$2</f>
        <v>11.994992789312571</v>
      </c>
      <c r="C16" s="5">
        <f>s_ri!C16*shock_i!$E$3</f>
        <v>1660.1683110563692</v>
      </c>
      <c r="D16" s="5">
        <f>s_ri!D16*shock_i!$E$4</f>
        <v>0</v>
      </c>
      <c r="E16" s="5">
        <f>s_ri!E16*shock_i!$E$5</f>
        <v>0</v>
      </c>
      <c r="F16" s="5">
        <f>s_ri!F16*shock_i!$E$6</f>
        <v>1.4706983692057278E-2</v>
      </c>
      <c r="G16" s="5">
        <f>s_ri!G16*shock_i!$E$7</f>
        <v>1.7216738598492616</v>
      </c>
      <c r="H16" s="5">
        <f t="shared" si="0"/>
        <v>1.6738996846892233</v>
      </c>
      <c r="I16" s="24"/>
      <c r="K16" s="6" t="s">
        <v>16</v>
      </c>
      <c r="L16" s="5">
        <f>s_ri!K16*shock_i!$E$8</f>
        <v>-1.4040599643188012</v>
      </c>
      <c r="M16" s="5">
        <f>s_ri!L16*shock_i!$E$9</f>
        <v>184.1464297748237</v>
      </c>
      <c r="N16" s="5">
        <f>s_ri!M16*shock_i!$E$10</f>
        <v>0</v>
      </c>
      <c r="O16" s="5">
        <f>s_ri!N16*shock_i!$E$11</f>
        <v>0</v>
      </c>
      <c r="P16" s="5">
        <f>s_ri!O16*shock_i!$E$12</f>
        <v>-3.2101558803752147E-3</v>
      </c>
      <c r="Q16" s="5">
        <f>s_ri!P16*shock_i!$E$13</f>
        <v>-0.13498850970320275</v>
      </c>
      <c r="R16" s="5">
        <f t="shared" si="1"/>
        <v>0.18260417114492133</v>
      </c>
    </row>
    <row r="17" spans="1:18" x14ac:dyDescent="0.2">
      <c r="A17" s="6" t="s">
        <v>17</v>
      </c>
      <c r="B17" s="5">
        <f>s_ri!B17*shock_i!$E$2</f>
        <v>15.062229366947152</v>
      </c>
      <c r="C17" s="5">
        <f>s_ri!C17*shock_i!$E$3</f>
        <v>2076.2682916702902</v>
      </c>
      <c r="D17" s="5">
        <f>s_ri!D17*shock_i!$E$4</f>
        <v>0</v>
      </c>
      <c r="E17" s="5">
        <f>s_ri!E17*shock_i!$E$5</f>
        <v>0</v>
      </c>
      <c r="F17" s="5">
        <f>s_ri!F17*shock_i!$E$6</f>
        <v>9.2800951065211412E-3</v>
      </c>
      <c r="G17" s="5">
        <f>s_ri!G17*shock_i!$E$7</f>
        <v>1.7601073146573618</v>
      </c>
      <c r="H17" s="5">
        <f t="shared" si="0"/>
        <v>2.0930999084470012</v>
      </c>
      <c r="I17" s="24"/>
      <c r="K17" s="6" t="s">
        <v>17</v>
      </c>
      <c r="L17" s="5">
        <f>s_ri!K17*shock_i!$E$8</f>
        <v>-2.0211672861818695</v>
      </c>
      <c r="M17" s="5">
        <f>s_ri!L17*shock_i!$E$9</f>
        <v>242.31933918487624</v>
      </c>
      <c r="N17" s="5">
        <f>s_ri!M17*shock_i!$E$10</f>
        <v>0</v>
      </c>
      <c r="O17" s="5">
        <f>s_ri!N17*shock_i!$E$11</f>
        <v>0</v>
      </c>
      <c r="P17" s="5">
        <f>s_ri!O17*shock_i!$E$12</f>
        <v>-1.3328136430470297E-3</v>
      </c>
      <c r="Q17" s="5">
        <f>s_ri!P17*shock_i!$E$13</f>
        <v>-0.15920036970634005</v>
      </c>
      <c r="R17" s="5">
        <f t="shared" si="1"/>
        <v>0.24013763871534499</v>
      </c>
    </row>
    <row r="18" spans="1:18" x14ac:dyDescent="0.2">
      <c r="A18" s="6" t="s">
        <v>18</v>
      </c>
      <c r="B18" s="5">
        <f>s_ri!B18*shock_i!$E$2</f>
        <v>13.95164820562626</v>
      </c>
      <c r="C18" s="5">
        <f>s_ri!C18*shock_i!$E$3</f>
        <v>2236.3498810190022</v>
      </c>
      <c r="D18" s="5">
        <f>s_ri!D18*shock_i!$E$4</f>
        <v>0</v>
      </c>
      <c r="E18" s="5">
        <f>s_ri!E18*shock_i!$E$5</f>
        <v>0</v>
      </c>
      <c r="F18" s="5">
        <f>s_ri!F18*shock_i!$E$6</f>
        <v>1.2248482001870675E-2</v>
      </c>
      <c r="G18" s="5">
        <f>s_ri!G18*shock_i!$E$7</f>
        <v>1.775601962958232</v>
      </c>
      <c r="H18" s="5">
        <f t="shared" si="0"/>
        <v>2.252089379669588</v>
      </c>
      <c r="I18" s="24"/>
      <c r="K18" s="6" t="s">
        <v>18</v>
      </c>
      <c r="L18" s="5">
        <f>s_ri!K18*shock_i!$E$8</f>
        <v>-1.6173503175347843</v>
      </c>
      <c r="M18" s="5">
        <f>s_ri!L18*shock_i!$E$9</f>
        <v>302.85943775858937</v>
      </c>
      <c r="N18" s="5">
        <f>s_ri!M18*shock_i!$E$10</f>
        <v>0</v>
      </c>
      <c r="O18" s="5">
        <f>s_ri!N18*shock_i!$E$11</f>
        <v>0</v>
      </c>
      <c r="P18" s="5">
        <f>s_ri!O18*shock_i!$E$12</f>
        <v>-3.1764622405642783E-3</v>
      </c>
      <c r="Q18" s="5">
        <f>s_ri!P18*shock_i!$E$13</f>
        <v>-0.12795180306811646</v>
      </c>
      <c r="R18" s="5">
        <f t="shared" si="1"/>
        <v>0.30111095917574593</v>
      </c>
    </row>
    <row r="19" spans="1:18" x14ac:dyDescent="0.2">
      <c r="A19" s="6" t="s">
        <v>19</v>
      </c>
      <c r="B19" s="5">
        <f>s_ri!B19*shock_i!$E$2</f>
        <v>10.872331643512299</v>
      </c>
      <c r="C19" s="5">
        <f>s_ri!C19*shock_i!$E$3</f>
        <v>1188.3363463138949</v>
      </c>
      <c r="D19" s="5">
        <f>s_ri!D19*shock_i!$E$4</f>
        <v>0</v>
      </c>
      <c r="E19" s="5">
        <f>s_ri!E19*shock_i!$E$5</f>
        <v>0</v>
      </c>
      <c r="F19" s="5">
        <f>s_ri!F19*shock_i!$E$6</f>
        <v>1.5582448328541384E-2</v>
      </c>
      <c r="G19" s="5">
        <f>s_ri!G19*shock_i!$E$7</f>
        <v>1.9095482078477</v>
      </c>
      <c r="H19" s="5">
        <f t="shared" si="0"/>
        <v>1.2011338086135834</v>
      </c>
      <c r="I19" s="24"/>
      <c r="K19" s="6" t="s">
        <v>19</v>
      </c>
      <c r="L19" s="5">
        <f>s_ri!K19*shock_i!$E$8</f>
        <v>-1.2937282929449954</v>
      </c>
      <c r="M19" s="5">
        <f>s_ri!L19*shock_i!$E$9</f>
        <v>155.06778869181815</v>
      </c>
      <c r="N19" s="5">
        <f>s_ri!M19*shock_i!$E$10</f>
        <v>0</v>
      </c>
      <c r="O19" s="5">
        <f>s_ri!N19*shock_i!$E$11</f>
        <v>0</v>
      </c>
      <c r="P19" s="5">
        <f>s_ri!O19*shock_i!$E$12</f>
        <v>-2.8944304307544503E-3</v>
      </c>
      <c r="Q19" s="5">
        <f>s_ri!P19*shock_i!$E$13</f>
        <v>-0.15330932367817526</v>
      </c>
      <c r="R19" s="5">
        <f t="shared" si="1"/>
        <v>0.15361785664476424</v>
      </c>
    </row>
    <row r="20" spans="1:18" x14ac:dyDescent="0.2">
      <c r="A20" s="6" t="s">
        <v>20</v>
      </c>
      <c r="B20" s="5">
        <f>s_ri!B20*shock_i!$E$2</f>
        <v>11.021997906470467</v>
      </c>
      <c r="C20" s="5">
        <f>s_ri!C20*shock_i!$E$3</f>
        <v>1925.0696235187752</v>
      </c>
      <c r="D20" s="5">
        <f>s_ri!D20*shock_i!$E$4</f>
        <v>0</v>
      </c>
      <c r="E20" s="5">
        <f>s_ri!E20*shock_i!$E$5</f>
        <v>0</v>
      </c>
      <c r="F20" s="5">
        <f>s_ri!F20*shock_i!$E$6</f>
        <v>1.5476421924090322E-2</v>
      </c>
      <c r="G20" s="5">
        <f>s_ri!G20*shock_i!$E$7</f>
        <v>1.7819688946932422</v>
      </c>
      <c r="H20" s="5">
        <f t="shared" si="0"/>
        <v>1.9378890667418629</v>
      </c>
      <c r="I20" s="24"/>
      <c r="K20" s="6" t="s">
        <v>20</v>
      </c>
      <c r="L20" s="5">
        <f>s_ri!K20*shock_i!$E$8</f>
        <v>-1.7534746983434213</v>
      </c>
      <c r="M20" s="5">
        <f>s_ri!L20*shock_i!$E$9</f>
        <v>225.67377884642116</v>
      </c>
      <c r="N20" s="5">
        <f>s_ri!M20*shock_i!$E$10</f>
        <v>0</v>
      </c>
      <c r="O20" s="5">
        <f>s_ri!N20*shock_i!$E$11</f>
        <v>0</v>
      </c>
      <c r="P20" s="5">
        <f>s_ri!O20*shock_i!$E$12</f>
        <v>-3.5942066588582782E-3</v>
      </c>
      <c r="Q20" s="5">
        <f>s_ri!P20*shock_i!$E$13</f>
        <v>-0.12979585450837533</v>
      </c>
      <c r="R20" s="5">
        <f t="shared" si="1"/>
        <v>0.22378691408691051</v>
      </c>
    </row>
    <row r="21" spans="1:18" x14ac:dyDescent="0.2">
      <c r="A21" s="6" t="s">
        <v>21</v>
      </c>
      <c r="B21" s="5">
        <f>s_ri!B21*shock_i!$E$2</f>
        <v>12.479027178709956</v>
      </c>
      <c r="C21" s="5">
        <f>s_ri!C21*shock_i!$E$3</f>
        <v>2317.1264858695504</v>
      </c>
      <c r="D21" s="5">
        <f>s_ri!D21*shock_i!$E$4</f>
        <v>0</v>
      </c>
      <c r="E21" s="5">
        <f>s_ri!E21*shock_i!$E$5</f>
        <v>0</v>
      </c>
      <c r="F21" s="5">
        <f>s_ri!F21*shock_i!$E$6</f>
        <v>1.0825871493698649E-2</v>
      </c>
      <c r="G21" s="5">
        <f>s_ri!G21*shock_i!$E$7</f>
        <v>1.777236607867559</v>
      </c>
      <c r="H21" s="5">
        <f t="shared" si="0"/>
        <v>2.3313935755276214</v>
      </c>
      <c r="I21" s="24"/>
      <c r="K21" s="6" t="s">
        <v>21</v>
      </c>
      <c r="L21" s="5">
        <f>s_ri!K21*shock_i!$E$8</f>
        <v>-2.5280260141628954</v>
      </c>
      <c r="M21" s="5">
        <f>s_ri!L21*shock_i!$E$9</f>
        <v>295.51353041733364</v>
      </c>
      <c r="N21" s="5">
        <f>s_ri!M21*shock_i!$E$10</f>
        <v>0</v>
      </c>
      <c r="O21" s="5">
        <f>s_ri!N21*shock_i!$E$11</f>
        <v>0</v>
      </c>
      <c r="P21" s="5">
        <f>s_ri!O21*shock_i!$E$12</f>
        <v>-2.5887662776825373E-3</v>
      </c>
      <c r="Q21" s="5">
        <f>s_ri!P21*shock_i!$E$13</f>
        <v>-0.12924617151499546</v>
      </c>
      <c r="R21" s="5">
        <f t="shared" si="1"/>
        <v>0.29285366946537805</v>
      </c>
    </row>
    <row r="22" spans="1:18" x14ac:dyDescent="0.2">
      <c r="A22" s="6" t="s">
        <v>22</v>
      </c>
      <c r="B22" s="5">
        <f>s_ri!B22*shock_i!$E$2</f>
        <v>5.5220294626170654</v>
      </c>
      <c r="C22" s="5">
        <f>s_ri!C22*shock_i!$E$3</f>
        <v>2604.6283560046818</v>
      </c>
      <c r="D22" s="5">
        <f>s_ri!D22*shock_i!$E$4</f>
        <v>0</v>
      </c>
      <c r="E22" s="5">
        <f>s_ri!E22*shock_i!$E$5</f>
        <v>0</v>
      </c>
      <c r="F22" s="5">
        <f>s_ri!F22*shock_i!$E$6</f>
        <v>1.7460394683973195E-2</v>
      </c>
      <c r="G22" s="5">
        <f>s_ri!G22*shock_i!$E$7</f>
        <v>1.5541570571437917</v>
      </c>
      <c r="H22" s="5">
        <f t="shared" si="0"/>
        <v>2.6117220029191262</v>
      </c>
      <c r="I22" s="24"/>
      <c r="K22" s="6" t="s">
        <v>22</v>
      </c>
      <c r="L22" s="5">
        <f>s_ri!K22*shock_i!$E$8</f>
        <v>-0.94651555276157062</v>
      </c>
      <c r="M22" s="5">
        <f>s_ri!L22*shock_i!$E$9</f>
        <v>279.39422809875953</v>
      </c>
      <c r="N22" s="5">
        <f>s_ri!M22*shock_i!$E$10</f>
        <v>0</v>
      </c>
      <c r="O22" s="5">
        <f>s_ri!N22*shock_i!$E$11</f>
        <v>0</v>
      </c>
      <c r="P22" s="5">
        <f>s_ri!O22*shock_i!$E$12</f>
        <v>-3.6355163848466043E-3</v>
      </c>
      <c r="Q22" s="5">
        <f>s_ri!P22*shock_i!$E$13</f>
        <v>-0.11758535204646323</v>
      </c>
      <c r="R22" s="5">
        <f t="shared" si="1"/>
        <v>0.27832649167756657</v>
      </c>
    </row>
    <row r="23" spans="1:18" x14ac:dyDescent="0.2">
      <c r="A23" s="6" t="s">
        <v>23</v>
      </c>
      <c r="B23" s="5">
        <f>s_ri!B23*shock_i!$E$2</f>
        <v>3.8131760380028901</v>
      </c>
      <c r="C23" s="5">
        <f>s_ri!C23*shock_i!$E$3</f>
        <v>1376.7477383844559</v>
      </c>
      <c r="D23" s="5">
        <f>s_ri!D23*shock_i!$E$4</f>
        <v>0</v>
      </c>
      <c r="E23" s="5">
        <f>s_ri!E23*shock_i!$E$5</f>
        <v>0</v>
      </c>
      <c r="F23" s="5">
        <f>s_ri!F23*shock_i!$E$6</f>
        <v>1.6578348815992693E-2</v>
      </c>
      <c r="G23" s="5">
        <f>s_ri!G23*shock_i!$E$7</f>
        <v>1.8872545770091471</v>
      </c>
      <c r="H23" s="5">
        <f t="shared" si="0"/>
        <v>1.3824647473482838</v>
      </c>
      <c r="I23" s="24"/>
      <c r="K23" s="6" t="s">
        <v>23</v>
      </c>
      <c r="L23" s="5">
        <f>s_ri!K23*shock_i!$E$8</f>
        <v>-0.77974170912720209</v>
      </c>
      <c r="M23" s="5">
        <f>s_ri!L23*shock_i!$E$9</f>
        <v>165.00947187123916</v>
      </c>
      <c r="N23" s="5">
        <f>s_ri!M23*shock_i!$E$10</f>
        <v>0</v>
      </c>
      <c r="O23" s="5">
        <f>s_ri!N23*shock_i!$E$11</f>
        <v>0</v>
      </c>
      <c r="P23" s="5">
        <f>s_ri!O23*shock_i!$E$12</f>
        <v>-3.9028619795124578E-3</v>
      </c>
      <c r="Q23" s="5">
        <f>s_ri!P23*shock_i!$E$13</f>
        <v>-0.13412816110091622</v>
      </c>
      <c r="R23" s="5">
        <f t="shared" si="1"/>
        <v>0.16409169913903154</v>
      </c>
    </row>
    <row r="24" spans="1:18" x14ac:dyDescent="0.2">
      <c r="A24" s="6" t="s">
        <v>24</v>
      </c>
      <c r="B24" s="5">
        <f>s_ri!B24*shock_i!$E$2</f>
        <v>0</v>
      </c>
      <c r="C24" s="5">
        <f>s_ri!C24*shock_i!$E$3</f>
        <v>0</v>
      </c>
      <c r="D24" s="5">
        <f>s_ri!D24*shock_i!$E$4</f>
        <v>0</v>
      </c>
      <c r="E24" s="5">
        <f>s_ri!E24*shock_i!$E$5</f>
        <v>0</v>
      </c>
      <c r="F24" s="5">
        <f>s_ri!F24*shock_i!$E$6</f>
        <v>0</v>
      </c>
      <c r="G24" s="5">
        <f>s_ri!G24*shock_i!$E$7</f>
        <v>2.9617805813007063</v>
      </c>
      <c r="H24" s="5">
        <f t="shared" si="0"/>
        <v>2.9617805813007061E-3</v>
      </c>
      <c r="I24" s="24"/>
      <c r="K24" s="6" t="s">
        <v>24</v>
      </c>
      <c r="L24" s="5">
        <f>s_ri!K24*shock_i!$E$8</f>
        <v>0</v>
      </c>
      <c r="M24" s="5">
        <f>s_ri!L24*shock_i!$E$9</f>
        <v>264.33251468854201</v>
      </c>
      <c r="N24" s="5">
        <f>s_ri!M24*shock_i!$E$10</f>
        <v>0</v>
      </c>
      <c r="O24" s="5">
        <f>s_ri!N24*shock_i!$E$11</f>
        <v>0</v>
      </c>
      <c r="P24" s="5">
        <f>s_ri!O24*shock_i!$E$12</f>
        <v>-2.9431585187313504E-3</v>
      </c>
      <c r="Q24" s="5">
        <f>s_ri!P24*shock_i!$E$13</f>
        <v>-0.12736500749726293</v>
      </c>
      <c r="R24" s="5">
        <f t="shared" si="1"/>
        <v>0.26420220652252602</v>
      </c>
    </row>
    <row r="25" spans="1:18" x14ac:dyDescent="0.2">
      <c r="I25" s="24"/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C8A5-46DF-B341-B3DB-3FF81C4C16D4}">
  <dimension ref="A1:W41"/>
  <sheetViews>
    <sheetView tabSelected="1" topLeftCell="J1" workbookViewId="0">
      <selection activeCell="Z16" sqref="Z16"/>
    </sheetView>
  </sheetViews>
  <sheetFormatPr baseColWidth="10" defaultRowHeight="16" x14ac:dyDescent="0.2"/>
  <cols>
    <col min="3" max="3" width="17.5" style="3" bestFit="1" customWidth="1"/>
    <col min="5" max="6" width="10.83203125" style="1"/>
    <col min="7" max="7" width="15.6640625" style="3" bestFit="1" customWidth="1"/>
    <col min="8" max="10" width="10.83203125" style="1"/>
    <col min="11" max="11" width="17.83203125" style="3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</cols>
  <sheetData>
    <row r="1" spans="1:23" s="8" customFormat="1" x14ac:dyDescent="0.2">
      <c r="A1" s="17" t="s">
        <v>45</v>
      </c>
      <c r="B1" s="17"/>
      <c r="C1" s="17"/>
      <c r="E1" s="17" t="s">
        <v>46</v>
      </c>
      <c r="F1" s="17"/>
      <c r="G1" s="17"/>
      <c r="H1" s="15"/>
      <c r="I1" s="17" t="s">
        <v>47</v>
      </c>
      <c r="J1" s="17"/>
      <c r="K1" s="17"/>
      <c r="L1" s="15"/>
      <c r="M1" s="17" t="s">
        <v>48</v>
      </c>
      <c r="N1" s="17"/>
      <c r="O1" s="17"/>
      <c r="P1" s="15"/>
      <c r="Q1" s="17" t="s">
        <v>49</v>
      </c>
      <c r="R1" s="17"/>
      <c r="S1" s="17"/>
      <c r="T1" s="15"/>
      <c r="U1" s="17" t="s">
        <v>50</v>
      </c>
      <c r="V1" s="17"/>
      <c r="W1" s="17"/>
    </row>
    <row r="2" spans="1:23" s="8" customFormat="1" x14ac:dyDescent="0.2">
      <c r="A2" s="6" t="s">
        <v>1</v>
      </c>
      <c r="B2" s="6" t="s">
        <v>30</v>
      </c>
      <c r="C2" s="10" t="s">
        <v>31</v>
      </c>
      <c r="D2" s="9"/>
      <c r="E2" s="6" t="s">
        <v>1</v>
      </c>
      <c r="F2" s="6" t="s">
        <v>30</v>
      </c>
      <c r="G2" s="10" t="s">
        <v>31</v>
      </c>
      <c r="H2" s="9"/>
      <c r="I2" s="6" t="s">
        <v>1</v>
      </c>
      <c r="J2" s="6" t="s">
        <v>30</v>
      </c>
      <c r="K2" s="10" t="s">
        <v>31</v>
      </c>
      <c r="L2" s="9"/>
      <c r="M2" s="6" t="s">
        <v>1</v>
      </c>
      <c r="N2" s="6" t="s">
        <v>30</v>
      </c>
      <c r="O2" s="7" t="s">
        <v>31</v>
      </c>
      <c r="P2" s="9"/>
      <c r="Q2" s="6" t="s">
        <v>1</v>
      </c>
      <c r="R2" s="6" t="s">
        <v>30</v>
      </c>
      <c r="S2" s="6" t="s">
        <v>31</v>
      </c>
      <c r="T2" s="9"/>
      <c r="U2" s="6" t="s">
        <v>1</v>
      </c>
      <c r="V2" s="6" t="s">
        <v>30</v>
      </c>
      <c r="W2" s="7" t="s">
        <v>31</v>
      </c>
    </row>
    <row r="3" spans="1:23" x14ac:dyDescent="0.2">
      <c r="A3" s="4">
        <v>1999</v>
      </c>
      <c r="B3" s="4" t="s">
        <v>3</v>
      </c>
      <c r="C3" s="11">
        <v>31366299</v>
      </c>
      <c r="D3" s="1"/>
      <c r="E3" s="4">
        <v>1999</v>
      </c>
      <c r="F3" s="4" t="s">
        <v>3</v>
      </c>
      <c r="G3" s="11">
        <v>1907415</v>
      </c>
      <c r="I3" s="4">
        <v>1999</v>
      </c>
      <c r="J3" s="4" t="s">
        <v>3</v>
      </c>
      <c r="K3" s="11">
        <v>1643501884</v>
      </c>
      <c r="M3" s="4">
        <v>1999</v>
      </c>
      <c r="N3" s="4" t="s">
        <v>3</v>
      </c>
      <c r="O3" s="11">
        <v>1125099</v>
      </c>
      <c r="Q3" s="4">
        <v>1999</v>
      </c>
      <c r="R3" s="4" t="s">
        <v>3</v>
      </c>
      <c r="S3" s="11">
        <v>8132064</v>
      </c>
      <c r="U3" s="4">
        <v>1999</v>
      </c>
      <c r="V3" s="4" t="s">
        <v>3</v>
      </c>
      <c r="W3" s="11">
        <v>1414721</v>
      </c>
    </row>
    <row r="4" spans="1:23" x14ac:dyDescent="0.2">
      <c r="A4" s="4">
        <v>1999</v>
      </c>
      <c r="B4" s="4" t="s">
        <v>25</v>
      </c>
      <c r="C4" s="11">
        <v>4170822649</v>
      </c>
      <c r="D4" s="1"/>
      <c r="E4" s="4">
        <v>1999</v>
      </c>
      <c r="F4" s="4" t="s">
        <v>25</v>
      </c>
      <c r="G4" s="11">
        <v>723830435</v>
      </c>
      <c r="I4" s="4">
        <v>1999</v>
      </c>
      <c r="J4" s="4" t="s">
        <v>25</v>
      </c>
      <c r="K4" s="11">
        <v>40528188750</v>
      </c>
      <c r="M4" s="4">
        <v>1999</v>
      </c>
      <c r="N4" s="4" t="s">
        <v>25</v>
      </c>
      <c r="O4" s="11">
        <v>920711827</v>
      </c>
      <c r="Q4" s="4">
        <v>1999</v>
      </c>
      <c r="R4" s="4" t="s">
        <v>25</v>
      </c>
      <c r="S4" s="11">
        <v>745304253</v>
      </c>
      <c r="U4" s="4">
        <v>1999</v>
      </c>
      <c r="V4" s="4" t="s">
        <v>25</v>
      </c>
      <c r="W4" s="11">
        <v>757645750</v>
      </c>
    </row>
    <row r="5" spans="1:23" x14ac:dyDescent="0.2">
      <c r="A5" s="4">
        <v>1999</v>
      </c>
      <c r="B5" s="4" t="s">
        <v>26</v>
      </c>
      <c r="C5" s="11">
        <v>0</v>
      </c>
      <c r="D5" s="1"/>
      <c r="E5" s="4">
        <v>1999</v>
      </c>
      <c r="F5" s="4" t="s">
        <v>26</v>
      </c>
      <c r="G5" s="11">
        <v>0</v>
      </c>
      <c r="I5" s="4">
        <v>1999</v>
      </c>
      <c r="J5" s="4" t="s">
        <v>26</v>
      </c>
      <c r="K5" s="11">
        <v>0</v>
      </c>
      <c r="M5" s="4">
        <v>1999</v>
      </c>
      <c r="N5" s="4" t="s">
        <v>26</v>
      </c>
      <c r="O5" s="11">
        <v>0</v>
      </c>
      <c r="Q5" s="4">
        <v>1999</v>
      </c>
      <c r="R5" s="4" t="s">
        <v>26</v>
      </c>
      <c r="S5" s="11">
        <v>0</v>
      </c>
      <c r="U5" s="4">
        <v>1999</v>
      </c>
      <c r="V5" s="4" t="s">
        <v>26</v>
      </c>
      <c r="W5" s="11">
        <v>0</v>
      </c>
    </row>
    <row r="6" spans="1:23" x14ac:dyDescent="0.2">
      <c r="A6" s="4">
        <v>1999</v>
      </c>
      <c r="B6" s="4" t="s">
        <v>27</v>
      </c>
      <c r="C6" s="11">
        <v>0</v>
      </c>
      <c r="D6" s="1"/>
      <c r="E6" s="4">
        <v>1999</v>
      </c>
      <c r="F6" s="4" t="s">
        <v>27</v>
      </c>
      <c r="G6" s="11">
        <v>0</v>
      </c>
      <c r="I6" s="4">
        <v>1999</v>
      </c>
      <c r="J6" s="4" t="s">
        <v>27</v>
      </c>
      <c r="K6" s="11">
        <v>0</v>
      </c>
      <c r="M6" s="4">
        <v>1999</v>
      </c>
      <c r="N6" s="4" t="s">
        <v>27</v>
      </c>
      <c r="O6" s="11">
        <v>0</v>
      </c>
      <c r="Q6" s="4">
        <v>1999</v>
      </c>
      <c r="R6" s="4" t="s">
        <v>27</v>
      </c>
      <c r="S6" s="11">
        <v>0</v>
      </c>
      <c r="U6" s="4">
        <v>1999</v>
      </c>
      <c r="V6" s="4" t="s">
        <v>27</v>
      </c>
      <c r="W6" s="11">
        <v>0</v>
      </c>
    </row>
    <row r="7" spans="1:23" x14ac:dyDescent="0.2">
      <c r="A7" s="4">
        <v>1999</v>
      </c>
      <c r="B7" s="4" t="s">
        <v>28</v>
      </c>
      <c r="C7" s="11">
        <v>13735</v>
      </c>
      <c r="D7" s="1"/>
      <c r="E7" s="4">
        <v>1999</v>
      </c>
      <c r="F7" s="4" t="s">
        <v>28</v>
      </c>
      <c r="G7" s="11">
        <v>0</v>
      </c>
      <c r="I7" s="4">
        <v>1999</v>
      </c>
      <c r="J7" s="4" t="s">
        <v>28</v>
      </c>
      <c r="K7" s="11">
        <v>399015</v>
      </c>
      <c r="M7" s="4">
        <v>1999</v>
      </c>
      <c r="N7" s="4" t="s">
        <v>28</v>
      </c>
      <c r="O7" s="11">
        <v>4382</v>
      </c>
      <c r="Q7" s="4">
        <v>1999</v>
      </c>
      <c r="R7" s="4" t="s">
        <v>28</v>
      </c>
      <c r="S7" s="11">
        <v>0</v>
      </c>
      <c r="U7" s="4">
        <v>1999</v>
      </c>
      <c r="V7" s="4" t="s">
        <v>28</v>
      </c>
      <c r="W7" s="11">
        <v>1451</v>
      </c>
    </row>
    <row r="8" spans="1:23" x14ac:dyDescent="0.2">
      <c r="A8" s="4">
        <v>1999</v>
      </c>
      <c r="B8" s="4" t="s">
        <v>29</v>
      </c>
      <c r="C8" s="11">
        <v>11992818</v>
      </c>
      <c r="D8" s="1"/>
      <c r="E8" s="4">
        <v>1999</v>
      </c>
      <c r="F8" s="4" t="s">
        <v>29</v>
      </c>
      <c r="G8" s="11">
        <v>916058</v>
      </c>
      <c r="I8" s="4">
        <v>1999</v>
      </c>
      <c r="J8" s="4" t="s">
        <v>29</v>
      </c>
      <c r="K8" s="11">
        <v>313452422</v>
      </c>
      <c r="M8" s="4">
        <v>1999</v>
      </c>
      <c r="N8" s="4" t="s">
        <v>29</v>
      </c>
      <c r="O8" s="11">
        <v>310766</v>
      </c>
      <c r="Q8" s="4">
        <v>1999</v>
      </c>
      <c r="R8" s="4" t="s">
        <v>29</v>
      </c>
      <c r="S8" s="11">
        <v>1466967</v>
      </c>
      <c r="U8" s="4">
        <v>1999</v>
      </c>
      <c r="V8" s="4" t="s">
        <v>29</v>
      </c>
      <c r="W8" s="11">
        <v>2039185</v>
      </c>
    </row>
    <row r="9" spans="1:23" x14ac:dyDescent="0.2">
      <c r="A9" s="4">
        <v>2011</v>
      </c>
      <c r="B9" s="4" t="s">
        <v>3</v>
      </c>
      <c r="C9" s="11">
        <v>126210268</v>
      </c>
      <c r="D9" s="1"/>
      <c r="E9" s="4">
        <v>2011</v>
      </c>
      <c r="F9" s="4" t="s">
        <v>3</v>
      </c>
      <c r="G9" s="11">
        <v>2661830</v>
      </c>
      <c r="I9" s="4">
        <v>2011</v>
      </c>
      <c r="J9" s="4" t="s">
        <v>3</v>
      </c>
      <c r="K9" s="11">
        <v>1871215480</v>
      </c>
      <c r="M9" s="4">
        <v>2011</v>
      </c>
      <c r="N9" s="4" t="s">
        <v>3</v>
      </c>
      <c r="O9" s="11">
        <v>14453257</v>
      </c>
      <c r="Q9" s="16">
        <v>2011</v>
      </c>
      <c r="R9" s="16" t="s">
        <v>3</v>
      </c>
      <c r="S9" s="11">
        <v>23104718.137999993</v>
      </c>
      <c r="U9" s="4">
        <v>2011</v>
      </c>
      <c r="V9" s="4" t="s">
        <v>3</v>
      </c>
      <c r="W9" s="11">
        <v>10454215</v>
      </c>
    </row>
    <row r="10" spans="1:23" x14ac:dyDescent="0.2">
      <c r="A10" s="4">
        <v>2011</v>
      </c>
      <c r="B10" s="4" t="s">
        <v>25</v>
      </c>
      <c r="C10" s="11">
        <v>42571628341</v>
      </c>
      <c r="D10" s="1"/>
      <c r="E10" s="4">
        <v>2011</v>
      </c>
      <c r="F10" s="4" t="s">
        <v>25</v>
      </c>
      <c r="G10" s="11">
        <v>3030544423</v>
      </c>
      <c r="I10" s="4">
        <v>2011</v>
      </c>
      <c r="J10" s="4" t="s">
        <v>25</v>
      </c>
      <c r="K10" s="11">
        <v>178004922182</v>
      </c>
      <c r="M10" s="4">
        <v>2011</v>
      </c>
      <c r="N10" s="4" t="s">
        <v>25</v>
      </c>
      <c r="O10" s="11">
        <v>8239528662</v>
      </c>
      <c r="Q10" s="16">
        <v>2011</v>
      </c>
      <c r="R10" s="16" t="s">
        <v>25</v>
      </c>
      <c r="S10" s="11">
        <v>5835469332.3119984</v>
      </c>
      <c r="U10" s="4">
        <v>2011</v>
      </c>
      <c r="V10" s="4" t="s">
        <v>25</v>
      </c>
      <c r="W10" s="11">
        <v>6831335381</v>
      </c>
    </row>
    <row r="11" spans="1:23" x14ac:dyDescent="0.2">
      <c r="A11" s="4">
        <v>2011</v>
      </c>
      <c r="B11" s="4" t="s">
        <v>26</v>
      </c>
      <c r="C11" s="11">
        <v>0</v>
      </c>
      <c r="D11" s="1"/>
      <c r="E11" s="4">
        <v>2011</v>
      </c>
      <c r="F11" s="4" t="s">
        <v>26</v>
      </c>
      <c r="G11" s="11">
        <v>0</v>
      </c>
      <c r="I11" s="4">
        <v>2011</v>
      </c>
      <c r="J11" s="4" t="s">
        <v>26</v>
      </c>
      <c r="K11" s="11">
        <v>0</v>
      </c>
      <c r="M11" s="4">
        <v>2011</v>
      </c>
      <c r="N11" s="4" t="s">
        <v>26</v>
      </c>
      <c r="O11" s="11">
        <v>0</v>
      </c>
      <c r="Q11" s="16">
        <v>2011</v>
      </c>
      <c r="R11" s="16" t="s">
        <v>26</v>
      </c>
      <c r="S11" s="11">
        <v>0</v>
      </c>
      <c r="U11" s="4">
        <v>2011</v>
      </c>
      <c r="V11" s="4" t="s">
        <v>26</v>
      </c>
      <c r="W11" s="11">
        <v>0</v>
      </c>
    </row>
    <row r="12" spans="1:23" x14ac:dyDescent="0.2">
      <c r="A12" s="4">
        <v>2011</v>
      </c>
      <c r="B12" s="4" t="s">
        <v>27</v>
      </c>
      <c r="C12" s="11">
        <v>0</v>
      </c>
      <c r="D12" s="1"/>
      <c r="E12" s="4">
        <v>2011</v>
      </c>
      <c r="F12" s="4" t="s">
        <v>27</v>
      </c>
      <c r="G12" s="11">
        <v>0</v>
      </c>
      <c r="I12" s="4">
        <v>2011</v>
      </c>
      <c r="J12" s="4" t="s">
        <v>27</v>
      </c>
      <c r="K12" s="11">
        <v>0</v>
      </c>
      <c r="M12" s="4">
        <v>2011</v>
      </c>
      <c r="N12" s="4" t="s">
        <v>27</v>
      </c>
      <c r="O12" s="11">
        <v>0</v>
      </c>
      <c r="Q12" s="16">
        <v>2011</v>
      </c>
      <c r="R12" s="16" t="s">
        <v>27</v>
      </c>
      <c r="S12" s="11">
        <v>0</v>
      </c>
      <c r="U12" s="4">
        <v>2011</v>
      </c>
      <c r="V12" s="4" t="s">
        <v>27</v>
      </c>
      <c r="W12" s="11">
        <v>0</v>
      </c>
    </row>
    <row r="13" spans="1:23" x14ac:dyDescent="0.2">
      <c r="A13" s="4">
        <v>2011</v>
      </c>
      <c r="B13" s="4" t="s">
        <v>28</v>
      </c>
      <c r="C13" s="11">
        <v>12361</v>
      </c>
      <c r="D13" s="1"/>
      <c r="E13" s="4">
        <v>2011</v>
      </c>
      <c r="F13" s="4" t="s">
        <v>28</v>
      </c>
      <c r="G13" s="11">
        <v>2351</v>
      </c>
      <c r="I13" s="4">
        <v>2011</v>
      </c>
      <c r="J13" s="4" t="s">
        <v>28</v>
      </c>
      <c r="K13" s="11">
        <v>761578</v>
      </c>
      <c r="M13" s="4">
        <v>2011</v>
      </c>
      <c r="N13" s="4" t="s">
        <v>28</v>
      </c>
      <c r="O13" s="11">
        <v>2049</v>
      </c>
      <c r="Q13" s="16">
        <v>2011</v>
      </c>
      <c r="R13" s="16" t="s">
        <v>28</v>
      </c>
      <c r="S13" s="11">
        <v>119105.481</v>
      </c>
      <c r="U13" s="4">
        <v>2011</v>
      </c>
      <c r="V13" s="4" t="s">
        <v>28</v>
      </c>
      <c r="W13" s="11">
        <v>1541</v>
      </c>
    </row>
    <row r="14" spans="1:23" x14ac:dyDescent="0.2">
      <c r="A14" s="4">
        <v>2011</v>
      </c>
      <c r="B14" s="4" t="s">
        <v>29</v>
      </c>
      <c r="C14" s="11">
        <v>13383600</v>
      </c>
      <c r="D14" s="1"/>
      <c r="E14" s="4">
        <v>2011</v>
      </c>
      <c r="F14" s="4" t="s">
        <v>29</v>
      </c>
      <c r="G14" s="11">
        <v>2764490</v>
      </c>
      <c r="I14" s="4">
        <v>2011</v>
      </c>
      <c r="J14" s="4" t="s">
        <v>29</v>
      </c>
      <c r="K14" s="11">
        <v>598610981</v>
      </c>
      <c r="M14" s="4">
        <v>2011</v>
      </c>
      <c r="N14" s="4" t="s">
        <v>29</v>
      </c>
      <c r="O14" s="11">
        <v>32414433</v>
      </c>
      <c r="Q14" s="16">
        <v>2011</v>
      </c>
      <c r="R14" s="16" t="s">
        <v>29</v>
      </c>
      <c r="S14" s="11">
        <v>2539302.148</v>
      </c>
      <c r="U14" s="4">
        <v>2011</v>
      </c>
      <c r="V14" s="4" t="s">
        <v>29</v>
      </c>
      <c r="W14" s="11">
        <v>3199406</v>
      </c>
    </row>
    <row r="15" spans="1:23" x14ac:dyDescent="0.2">
      <c r="A15" s="4">
        <v>2012</v>
      </c>
      <c r="B15" s="4" t="s">
        <v>3</v>
      </c>
      <c r="C15" s="11">
        <v>113128043</v>
      </c>
      <c r="D15" s="1"/>
      <c r="E15" s="4">
        <v>2012</v>
      </c>
      <c r="F15" s="4" t="s">
        <v>3</v>
      </c>
      <c r="G15" s="11">
        <v>7005283</v>
      </c>
      <c r="I15" s="4">
        <v>2012</v>
      </c>
      <c r="J15" s="4" t="s">
        <v>3</v>
      </c>
      <c r="K15" s="11">
        <v>1945974614</v>
      </c>
      <c r="M15" s="4">
        <v>2012</v>
      </c>
      <c r="N15" s="4" t="s">
        <v>3</v>
      </c>
      <c r="O15" s="11">
        <v>13598740</v>
      </c>
      <c r="Q15" s="4">
        <v>2012</v>
      </c>
      <c r="R15" s="4" t="s">
        <v>3</v>
      </c>
      <c r="S15" s="11">
        <v>21088671.141000003</v>
      </c>
      <c r="U15" s="4">
        <v>2012</v>
      </c>
      <c r="V15" s="4" t="s">
        <v>3</v>
      </c>
      <c r="W15" s="11">
        <v>11961046.121999998</v>
      </c>
    </row>
    <row r="16" spans="1:23" x14ac:dyDescent="0.2">
      <c r="A16" s="4">
        <v>2012</v>
      </c>
      <c r="B16" s="4" t="s">
        <v>25</v>
      </c>
      <c r="C16" s="11">
        <v>44967001411</v>
      </c>
      <c r="D16" s="1"/>
      <c r="E16" s="4">
        <v>2012</v>
      </c>
      <c r="F16" s="4" t="s">
        <v>25</v>
      </c>
      <c r="G16" s="11">
        <v>5857709242</v>
      </c>
      <c r="I16" s="4">
        <v>2012</v>
      </c>
      <c r="J16" s="4" t="s">
        <v>25</v>
      </c>
      <c r="K16" s="11">
        <v>183922128298</v>
      </c>
      <c r="M16" s="4">
        <v>2012</v>
      </c>
      <c r="N16" s="4" t="s">
        <v>25</v>
      </c>
      <c r="O16" s="11">
        <v>8057038925</v>
      </c>
      <c r="Q16" s="4">
        <v>2012</v>
      </c>
      <c r="R16" s="4" t="s">
        <v>25</v>
      </c>
      <c r="S16" s="11">
        <v>6182173750.6299992</v>
      </c>
      <c r="U16" s="4">
        <v>2012</v>
      </c>
      <c r="V16" s="4" t="s">
        <v>25</v>
      </c>
      <c r="W16" s="11">
        <v>8033882883.1989965</v>
      </c>
    </row>
    <row r="17" spans="1:23" x14ac:dyDescent="0.2">
      <c r="A17" s="4">
        <v>2012</v>
      </c>
      <c r="B17" s="4" t="s">
        <v>26</v>
      </c>
      <c r="C17" s="11">
        <v>0</v>
      </c>
      <c r="D17" s="1"/>
      <c r="E17" s="4">
        <v>2012</v>
      </c>
      <c r="F17" s="4" t="s">
        <v>26</v>
      </c>
      <c r="G17" s="11">
        <v>0</v>
      </c>
      <c r="I17" s="4">
        <v>2012</v>
      </c>
      <c r="J17" s="4" t="s">
        <v>26</v>
      </c>
      <c r="K17" s="11">
        <v>0</v>
      </c>
      <c r="M17" s="4">
        <v>2012</v>
      </c>
      <c r="N17" s="4" t="s">
        <v>26</v>
      </c>
      <c r="O17" s="11">
        <v>0</v>
      </c>
      <c r="Q17" s="4">
        <v>2012</v>
      </c>
      <c r="R17" s="4" t="s">
        <v>26</v>
      </c>
      <c r="S17" s="11">
        <v>0</v>
      </c>
      <c r="U17" s="4">
        <v>2012</v>
      </c>
      <c r="V17" s="4" t="s">
        <v>26</v>
      </c>
      <c r="W17" s="11">
        <v>0</v>
      </c>
    </row>
    <row r="18" spans="1:23" x14ac:dyDescent="0.2">
      <c r="A18" s="4">
        <v>2012</v>
      </c>
      <c r="B18" s="4" t="s">
        <v>27</v>
      </c>
      <c r="C18" s="11">
        <v>0</v>
      </c>
      <c r="D18" s="1"/>
      <c r="E18" s="4">
        <v>2012</v>
      </c>
      <c r="F18" s="4" t="s">
        <v>27</v>
      </c>
      <c r="G18" s="11">
        <v>0</v>
      </c>
      <c r="I18" s="4">
        <v>2012</v>
      </c>
      <c r="J18" s="4" t="s">
        <v>27</v>
      </c>
      <c r="K18" s="11">
        <v>0</v>
      </c>
      <c r="M18" s="4">
        <v>2012</v>
      </c>
      <c r="N18" s="4" t="s">
        <v>27</v>
      </c>
      <c r="O18" s="11">
        <v>0</v>
      </c>
      <c r="Q18" s="4">
        <v>2012</v>
      </c>
      <c r="R18" s="4" t="s">
        <v>27</v>
      </c>
      <c r="S18" s="11">
        <v>0</v>
      </c>
      <c r="U18" s="4">
        <v>2012</v>
      </c>
      <c r="V18" s="4" t="s">
        <v>27</v>
      </c>
      <c r="W18" s="11">
        <v>0</v>
      </c>
    </row>
    <row r="19" spans="1:23" x14ac:dyDescent="0.2">
      <c r="A19" s="4">
        <v>2012</v>
      </c>
      <c r="B19" s="4" t="s">
        <v>28</v>
      </c>
      <c r="C19" s="11">
        <v>22409</v>
      </c>
      <c r="D19" s="1"/>
      <c r="E19" s="4">
        <v>2012</v>
      </c>
      <c r="F19" s="4" t="s">
        <v>28</v>
      </c>
      <c r="G19" s="11">
        <v>316</v>
      </c>
      <c r="I19" s="4">
        <v>2012</v>
      </c>
      <c r="J19" s="4" t="s">
        <v>28</v>
      </c>
      <c r="K19" s="11">
        <v>656483</v>
      </c>
      <c r="M19" s="4">
        <v>2012</v>
      </c>
      <c r="N19" s="4" t="s">
        <v>28</v>
      </c>
      <c r="O19" s="11">
        <v>37350</v>
      </c>
      <c r="Q19" s="4">
        <v>2012</v>
      </c>
      <c r="R19" s="4" t="s">
        <v>28</v>
      </c>
      <c r="S19" s="11">
        <v>113827.758</v>
      </c>
      <c r="U19" s="4">
        <v>2012</v>
      </c>
      <c r="V19" s="4" t="s">
        <v>28</v>
      </c>
      <c r="W19" s="11">
        <v>14028.040999999999</v>
      </c>
    </row>
    <row r="20" spans="1:23" x14ac:dyDescent="0.2">
      <c r="A20" s="4">
        <v>2012</v>
      </c>
      <c r="B20" s="4" t="s">
        <v>29</v>
      </c>
      <c r="C20" s="11">
        <v>5420936</v>
      </c>
      <c r="D20" s="1"/>
      <c r="E20" s="4">
        <v>2012</v>
      </c>
      <c r="F20" s="4" t="s">
        <v>29</v>
      </c>
      <c r="G20" s="11">
        <v>177835</v>
      </c>
      <c r="I20" s="4">
        <v>2012</v>
      </c>
      <c r="J20" s="4" t="s">
        <v>29</v>
      </c>
      <c r="K20" s="11">
        <v>3975949</v>
      </c>
      <c r="M20" s="4">
        <v>2012</v>
      </c>
      <c r="N20" s="4" t="s">
        <v>29</v>
      </c>
      <c r="O20" s="11">
        <v>1176883</v>
      </c>
      <c r="Q20" s="4">
        <v>2012</v>
      </c>
      <c r="R20" s="4" t="s">
        <v>29</v>
      </c>
      <c r="S20" s="11">
        <v>1366947.399</v>
      </c>
      <c r="U20" s="4">
        <v>2012</v>
      </c>
      <c r="V20" s="4" t="s">
        <v>29</v>
      </c>
      <c r="W20" s="11">
        <v>1414026.5360000003</v>
      </c>
    </row>
    <row r="21" spans="1:23" x14ac:dyDescent="0.2">
      <c r="A21" s="4">
        <v>2019</v>
      </c>
      <c r="B21" s="4" t="s">
        <v>3</v>
      </c>
      <c r="C21" s="11">
        <v>146879473.11299998</v>
      </c>
      <c r="D21" s="1"/>
      <c r="E21" s="4">
        <v>2019</v>
      </c>
      <c r="F21" s="4" t="s">
        <v>3</v>
      </c>
      <c r="G21" s="11">
        <v>7122216.3409999991</v>
      </c>
      <c r="I21" s="4">
        <v>2019</v>
      </c>
      <c r="J21" s="4" t="s">
        <v>3</v>
      </c>
      <c r="K21" s="11">
        <v>1680540049.9689999</v>
      </c>
      <c r="M21" s="4">
        <v>2019</v>
      </c>
      <c r="N21" s="4" t="s">
        <v>3</v>
      </c>
      <c r="O21" s="11">
        <v>17859836.295000002</v>
      </c>
      <c r="Q21" s="4">
        <v>2019</v>
      </c>
      <c r="R21" s="4" t="s">
        <v>3</v>
      </c>
      <c r="S21" s="11">
        <v>34921627.182999998</v>
      </c>
      <c r="U21" s="4">
        <v>2019</v>
      </c>
      <c r="V21" s="4" t="s">
        <v>3</v>
      </c>
      <c r="W21" s="11">
        <v>17012271.848999996</v>
      </c>
    </row>
    <row r="22" spans="1:23" x14ac:dyDescent="0.2">
      <c r="A22" s="4">
        <v>2019</v>
      </c>
      <c r="B22" s="4" t="s">
        <v>25</v>
      </c>
      <c r="C22" s="11">
        <v>56280201464.155975</v>
      </c>
      <c r="D22" s="1"/>
      <c r="E22" s="4">
        <v>2019</v>
      </c>
      <c r="F22" s="4" t="s">
        <v>25</v>
      </c>
      <c r="G22" s="11">
        <v>5433852241.2350016</v>
      </c>
      <c r="I22" s="4">
        <v>2019</v>
      </c>
      <c r="J22" s="4" t="s">
        <v>25</v>
      </c>
      <c r="K22" s="11">
        <v>165747713145.07303</v>
      </c>
      <c r="M22" s="4">
        <v>2019</v>
      </c>
      <c r="N22" s="4" t="s">
        <v>25</v>
      </c>
      <c r="O22" s="11">
        <v>8725998014.9170017</v>
      </c>
      <c r="Q22" s="4">
        <v>2019</v>
      </c>
      <c r="R22" s="4" t="s">
        <v>25</v>
      </c>
      <c r="S22" s="11">
        <v>8420438392.8069992</v>
      </c>
      <c r="U22" s="4">
        <v>2019</v>
      </c>
      <c r="V22" s="4" t="s">
        <v>25</v>
      </c>
      <c r="W22" s="11">
        <v>9641017738.1749992</v>
      </c>
    </row>
    <row r="23" spans="1:23" x14ac:dyDescent="0.2">
      <c r="A23" s="4">
        <v>2019</v>
      </c>
      <c r="B23" s="4" t="s">
        <v>26</v>
      </c>
      <c r="C23" s="11">
        <v>0</v>
      </c>
      <c r="D23" s="1"/>
      <c r="E23" s="4">
        <v>2019</v>
      </c>
      <c r="F23" s="4" t="s">
        <v>26</v>
      </c>
      <c r="G23" s="11">
        <v>0</v>
      </c>
      <c r="I23" s="4">
        <v>2019</v>
      </c>
      <c r="J23" s="4" t="s">
        <v>26</v>
      </c>
      <c r="K23" s="11">
        <v>0</v>
      </c>
      <c r="M23" s="4">
        <v>2019</v>
      </c>
      <c r="N23" s="4" t="s">
        <v>26</v>
      </c>
      <c r="O23" s="11">
        <v>0</v>
      </c>
      <c r="Q23" s="4">
        <v>2019</v>
      </c>
      <c r="R23" s="4" t="s">
        <v>26</v>
      </c>
      <c r="S23" s="11">
        <v>0</v>
      </c>
      <c r="U23" s="4">
        <v>2019</v>
      </c>
      <c r="V23" s="4" t="s">
        <v>26</v>
      </c>
      <c r="W23" s="11">
        <v>0</v>
      </c>
    </row>
    <row r="24" spans="1:23" x14ac:dyDescent="0.2">
      <c r="A24" s="4">
        <v>2019</v>
      </c>
      <c r="B24" s="4" t="s">
        <v>27</v>
      </c>
      <c r="C24" s="11">
        <v>0</v>
      </c>
      <c r="D24" s="1"/>
      <c r="E24" s="4">
        <v>2019</v>
      </c>
      <c r="F24" s="4" t="s">
        <v>27</v>
      </c>
      <c r="G24" s="11">
        <v>0</v>
      </c>
      <c r="I24" s="4">
        <v>2019</v>
      </c>
      <c r="J24" s="4" t="s">
        <v>27</v>
      </c>
      <c r="K24" s="11">
        <v>0</v>
      </c>
      <c r="M24" s="4">
        <v>2019</v>
      </c>
      <c r="N24" s="4" t="s">
        <v>27</v>
      </c>
      <c r="O24" s="11">
        <v>0</v>
      </c>
      <c r="Q24" s="4">
        <v>2019</v>
      </c>
      <c r="R24" s="4" t="s">
        <v>27</v>
      </c>
      <c r="S24" s="11">
        <v>0</v>
      </c>
      <c r="U24" s="4">
        <v>2019</v>
      </c>
      <c r="V24" s="4" t="s">
        <v>27</v>
      </c>
      <c r="W24" s="11">
        <v>0</v>
      </c>
    </row>
    <row r="25" spans="1:23" x14ac:dyDescent="0.2">
      <c r="A25" s="4">
        <v>2019</v>
      </c>
      <c r="B25" s="4" t="s">
        <v>28</v>
      </c>
      <c r="C25" s="11">
        <v>5542.5050000000001</v>
      </c>
      <c r="D25" s="1"/>
      <c r="E25" s="4">
        <v>2019</v>
      </c>
      <c r="F25" s="4" t="s">
        <v>28</v>
      </c>
      <c r="G25" s="11">
        <v>6290.4489999999996</v>
      </c>
      <c r="I25" s="4">
        <v>2019</v>
      </c>
      <c r="J25" s="4" t="s">
        <v>28</v>
      </c>
      <c r="K25" s="11">
        <v>1009973.366</v>
      </c>
      <c r="M25" s="4">
        <v>2019</v>
      </c>
      <c r="N25" s="4" t="s">
        <v>28</v>
      </c>
      <c r="O25" s="11">
        <v>3806.4409999999998</v>
      </c>
      <c r="Q25" s="4">
        <v>2019</v>
      </c>
      <c r="R25" s="4" t="s">
        <v>28</v>
      </c>
      <c r="S25" s="11">
        <v>32304.987000000001</v>
      </c>
      <c r="U25" s="4">
        <v>2019</v>
      </c>
      <c r="V25" s="4" t="s">
        <v>28</v>
      </c>
      <c r="W25" s="11">
        <v>15859.005000000001</v>
      </c>
    </row>
    <row r="26" spans="1:23" x14ac:dyDescent="0.2">
      <c r="A26" s="4">
        <v>2019</v>
      </c>
      <c r="B26" s="4" t="s">
        <v>29</v>
      </c>
      <c r="C26" s="11">
        <v>16244423.196999999</v>
      </c>
      <c r="D26" s="1"/>
      <c r="E26" s="4">
        <v>2019</v>
      </c>
      <c r="F26" s="4" t="s">
        <v>29</v>
      </c>
      <c r="G26" s="11">
        <v>127890.11600000001</v>
      </c>
      <c r="I26" s="4">
        <v>2019</v>
      </c>
      <c r="J26" s="4" t="s">
        <v>29</v>
      </c>
      <c r="K26" s="11">
        <v>7844738.0829999996</v>
      </c>
      <c r="M26" s="4">
        <v>2019</v>
      </c>
      <c r="N26" s="4" t="s">
        <v>29</v>
      </c>
      <c r="O26" s="11">
        <v>346564.788</v>
      </c>
      <c r="Q26" s="4">
        <v>2019</v>
      </c>
      <c r="R26" s="4" t="s">
        <v>29</v>
      </c>
      <c r="S26" s="11">
        <v>953593.05099999998</v>
      </c>
      <c r="U26" s="4">
        <v>2019</v>
      </c>
      <c r="V26" s="4" t="s">
        <v>29</v>
      </c>
      <c r="W26" s="11">
        <v>791047.17099999986</v>
      </c>
    </row>
    <row r="27" spans="1:23" x14ac:dyDescent="0.2">
      <c r="A27" s="1"/>
      <c r="B27" s="1"/>
      <c r="D27" s="1"/>
    </row>
    <row r="28" spans="1:23" s="8" customFormat="1" x14ac:dyDescent="0.2">
      <c r="A28" s="6" t="s">
        <v>33</v>
      </c>
      <c r="B28" s="6" t="s">
        <v>30</v>
      </c>
      <c r="C28" s="10" t="s">
        <v>36</v>
      </c>
      <c r="D28" s="9"/>
      <c r="E28" s="6" t="s">
        <v>33</v>
      </c>
      <c r="F28" s="6" t="s">
        <v>30</v>
      </c>
      <c r="G28" s="10" t="s">
        <v>36</v>
      </c>
      <c r="H28" s="9"/>
      <c r="I28" s="6" t="s">
        <v>33</v>
      </c>
      <c r="J28" s="6" t="s">
        <v>30</v>
      </c>
      <c r="K28" s="10" t="s">
        <v>36</v>
      </c>
      <c r="L28" s="9"/>
      <c r="M28" s="6" t="s">
        <v>33</v>
      </c>
      <c r="N28" s="6" t="s">
        <v>30</v>
      </c>
      <c r="O28" s="10" t="s">
        <v>36</v>
      </c>
      <c r="P28" s="9"/>
      <c r="Q28" s="6" t="s">
        <v>33</v>
      </c>
      <c r="R28" s="6" t="s">
        <v>30</v>
      </c>
      <c r="S28" s="10" t="s">
        <v>36</v>
      </c>
      <c r="T28" s="9"/>
      <c r="U28" s="6" t="s">
        <v>33</v>
      </c>
      <c r="V28" s="6" t="s">
        <v>30</v>
      </c>
      <c r="W28" s="10" t="s">
        <v>36</v>
      </c>
    </row>
    <row r="29" spans="1:23" x14ac:dyDescent="0.2">
      <c r="A29" s="4" t="s">
        <v>34</v>
      </c>
      <c r="B29" s="4" t="s">
        <v>3</v>
      </c>
      <c r="C29" s="11">
        <f>C9-C3</f>
        <v>94843969</v>
      </c>
      <c r="D29" s="1"/>
      <c r="E29" s="4" t="s">
        <v>34</v>
      </c>
      <c r="F29" s="4" t="s">
        <v>3</v>
      </c>
      <c r="G29" s="11">
        <f>G9-G3</f>
        <v>754415</v>
      </c>
      <c r="I29" s="4" t="s">
        <v>34</v>
      </c>
      <c r="J29" s="4" t="s">
        <v>3</v>
      </c>
      <c r="K29" s="11">
        <f>K9-K3</f>
        <v>227713596</v>
      </c>
      <c r="M29" s="4" t="s">
        <v>34</v>
      </c>
      <c r="N29" s="4" t="s">
        <v>3</v>
      </c>
      <c r="O29" s="11">
        <f>O9-O3</f>
        <v>13328158</v>
      </c>
      <c r="Q29" s="4" t="s">
        <v>34</v>
      </c>
      <c r="R29" s="4" t="s">
        <v>3</v>
      </c>
      <c r="S29" s="11">
        <f>S9-S3</f>
        <v>14972654.137999993</v>
      </c>
      <c r="U29" s="4" t="s">
        <v>34</v>
      </c>
      <c r="V29" s="4" t="s">
        <v>3</v>
      </c>
      <c r="W29" s="11">
        <f>W9-W3</f>
        <v>9039494</v>
      </c>
    </row>
    <row r="30" spans="1:23" x14ac:dyDescent="0.2">
      <c r="A30" s="4" t="s">
        <v>34</v>
      </c>
      <c r="B30" s="4" t="s">
        <v>25</v>
      </c>
      <c r="C30" s="11">
        <f t="shared" ref="C30:C34" si="0">C10-C4</f>
        <v>38400805692</v>
      </c>
      <c r="D30" s="1"/>
      <c r="E30" s="4" t="s">
        <v>34</v>
      </c>
      <c r="F30" s="4" t="s">
        <v>25</v>
      </c>
      <c r="G30" s="11">
        <f t="shared" ref="G30:G34" si="1">G10-G4</f>
        <v>2306713988</v>
      </c>
      <c r="I30" s="4" t="s">
        <v>34</v>
      </c>
      <c r="J30" s="4" t="s">
        <v>25</v>
      </c>
      <c r="K30" s="11">
        <f t="shared" ref="K30:K34" si="2">K10-K4</f>
        <v>137476733432</v>
      </c>
      <c r="M30" s="4" t="s">
        <v>34</v>
      </c>
      <c r="N30" s="4" t="s">
        <v>25</v>
      </c>
      <c r="O30" s="11">
        <f t="shared" ref="O30:O34" si="3">O10-O4</f>
        <v>7318816835</v>
      </c>
      <c r="Q30" s="4" t="s">
        <v>34</v>
      </c>
      <c r="R30" s="4" t="s">
        <v>25</v>
      </c>
      <c r="S30" s="11">
        <f t="shared" ref="S30:S34" si="4">S10-S4</f>
        <v>5090165079.3119984</v>
      </c>
      <c r="U30" s="4" t="s">
        <v>34</v>
      </c>
      <c r="V30" s="4" t="s">
        <v>25</v>
      </c>
      <c r="W30" s="11">
        <f t="shared" ref="W30:W34" si="5">W10-W4</f>
        <v>6073689631</v>
      </c>
    </row>
    <row r="31" spans="1:23" x14ac:dyDescent="0.2">
      <c r="A31" s="4" t="s">
        <v>34</v>
      </c>
      <c r="B31" s="4" t="s">
        <v>26</v>
      </c>
      <c r="C31" s="11">
        <f t="shared" si="0"/>
        <v>0</v>
      </c>
      <c r="D31" s="1"/>
      <c r="E31" s="4" t="s">
        <v>34</v>
      </c>
      <c r="F31" s="4" t="s">
        <v>26</v>
      </c>
      <c r="G31" s="11">
        <f t="shared" si="1"/>
        <v>0</v>
      </c>
      <c r="I31" s="4" t="s">
        <v>34</v>
      </c>
      <c r="J31" s="4" t="s">
        <v>26</v>
      </c>
      <c r="K31" s="11">
        <f t="shared" si="2"/>
        <v>0</v>
      </c>
      <c r="M31" s="4" t="s">
        <v>34</v>
      </c>
      <c r="N31" s="4" t="s">
        <v>26</v>
      </c>
      <c r="O31" s="11">
        <f t="shared" si="3"/>
        <v>0</v>
      </c>
      <c r="Q31" s="4" t="s">
        <v>34</v>
      </c>
      <c r="R31" s="4" t="s">
        <v>26</v>
      </c>
      <c r="S31" s="11">
        <f t="shared" si="4"/>
        <v>0</v>
      </c>
      <c r="U31" s="4" t="s">
        <v>34</v>
      </c>
      <c r="V31" s="4" t="s">
        <v>26</v>
      </c>
      <c r="W31" s="11">
        <f t="shared" si="5"/>
        <v>0</v>
      </c>
    </row>
    <row r="32" spans="1:23" x14ac:dyDescent="0.2">
      <c r="A32" s="4" t="s">
        <v>34</v>
      </c>
      <c r="B32" s="4" t="s">
        <v>27</v>
      </c>
      <c r="C32" s="11">
        <f t="shared" si="0"/>
        <v>0</v>
      </c>
      <c r="D32" s="1"/>
      <c r="E32" s="4" t="s">
        <v>34</v>
      </c>
      <c r="F32" s="4" t="s">
        <v>27</v>
      </c>
      <c r="G32" s="11">
        <f t="shared" si="1"/>
        <v>0</v>
      </c>
      <c r="I32" s="4" t="s">
        <v>34</v>
      </c>
      <c r="J32" s="4" t="s">
        <v>27</v>
      </c>
      <c r="K32" s="11">
        <f t="shared" si="2"/>
        <v>0</v>
      </c>
      <c r="M32" s="4" t="s">
        <v>34</v>
      </c>
      <c r="N32" s="4" t="s">
        <v>27</v>
      </c>
      <c r="O32" s="11">
        <f t="shared" si="3"/>
        <v>0</v>
      </c>
      <c r="Q32" s="4" t="s">
        <v>34</v>
      </c>
      <c r="R32" s="4" t="s">
        <v>27</v>
      </c>
      <c r="S32" s="11">
        <f t="shared" si="4"/>
        <v>0</v>
      </c>
      <c r="U32" s="4" t="s">
        <v>34</v>
      </c>
      <c r="V32" s="4" t="s">
        <v>27</v>
      </c>
      <c r="W32" s="11">
        <f t="shared" si="5"/>
        <v>0</v>
      </c>
    </row>
    <row r="33" spans="1:23" x14ac:dyDescent="0.2">
      <c r="A33" s="4" t="s">
        <v>34</v>
      </c>
      <c r="B33" s="4" t="s">
        <v>28</v>
      </c>
      <c r="C33" s="11">
        <f t="shared" si="0"/>
        <v>-1374</v>
      </c>
      <c r="D33" s="1"/>
      <c r="E33" s="4" t="s">
        <v>34</v>
      </c>
      <c r="F33" s="4" t="s">
        <v>28</v>
      </c>
      <c r="G33" s="11">
        <f t="shared" si="1"/>
        <v>2351</v>
      </c>
      <c r="I33" s="4" t="s">
        <v>34</v>
      </c>
      <c r="J33" s="4" t="s">
        <v>28</v>
      </c>
      <c r="K33" s="11">
        <f t="shared" si="2"/>
        <v>362563</v>
      </c>
      <c r="M33" s="4" t="s">
        <v>34</v>
      </c>
      <c r="N33" s="4" t="s">
        <v>28</v>
      </c>
      <c r="O33" s="11">
        <f t="shared" si="3"/>
        <v>-2333</v>
      </c>
      <c r="Q33" s="4" t="s">
        <v>34</v>
      </c>
      <c r="R33" s="4" t="s">
        <v>28</v>
      </c>
      <c r="S33" s="11">
        <f t="shared" si="4"/>
        <v>119105.481</v>
      </c>
      <c r="U33" s="4" t="s">
        <v>34</v>
      </c>
      <c r="V33" s="4" t="s">
        <v>28</v>
      </c>
      <c r="W33" s="11">
        <f t="shared" si="5"/>
        <v>90</v>
      </c>
    </row>
    <row r="34" spans="1:23" x14ac:dyDescent="0.2">
      <c r="A34" s="4" t="s">
        <v>34</v>
      </c>
      <c r="B34" s="4" t="s">
        <v>29</v>
      </c>
      <c r="C34" s="11">
        <f t="shared" si="0"/>
        <v>1390782</v>
      </c>
      <c r="D34" s="1"/>
      <c r="E34" s="4" t="s">
        <v>34</v>
      </c>
      <c r="F34" s="4" t="s">
        <v>29</v>
      </c>
      <c r="G34" s="11">
        <f t="shared" si="1"/>
        <v>1848432</v>
      </c>
      <c r="I34" s="4" t="s">
        <v>34</v>
      </c>
      <c r="J34" s="4" t="s">
        <v>29</v>
      </c>
      <c r="K34" s="11">
        <f t="shared" si="2"/>
        <v>285158559</v>
      </c>
      <c r="M34" s="4" t="s">
        <v>34</v>
      </c>
      <c r="N34" s="4" t="s">
        <v>29</v>
      </c>
      <c r="O34" s="11">
        <f t="shared" si="3"/>
        <v>32103667</v>
      </c>
      <c r="Q34" s="4" t="s">
        <v>34</v>
      </c>
      <c r="R34" s="4" t="s">
        <v>29</v>
      </c>
      <c r="S34" s="11">
        <f t="shared" si="4"/>
        <v>1072335.148</v>
      </c>
      <c r="U34" s="4" t="s">
        <v>34</v>
      </c>
      <c r="V34" s="4" t="s">
        <v>29</v>
      </c>
      <c r="W34" s="11">
        <f t="shared" si="5"/>
        <v>1160221</v>
      </c>
    </row>
    <row r="35" spans="1:23" x14ac:dyDescent="0.2">
      <c r="A35" s="4" t="s">
        <v>35</v>
      </c>
      <c r="B35" s="4" t="s">
        <v>3</v>
      </c>
      <c r="C35" s="11">
        <f>C21-C15</f>
        <v>33751430.112999976</v>
      </c>
      <c r="D35" s="1"/>
      <c r="E35" s="4" t="s">
        <v>35</v>
      </c>
      <c r="F35" s="4" t="s">
        <v>3</v>
      </c>
      <c r="G35" s="11">
        <f>G21-G15</f>
        <v>116933.34099999908</v>
      </c>
      <c r="I35" s="4" t="s">
        <v>35</v>
      </c>
      <c r="J35" s="4" t="s">
        <v>3</v>
      </c>
      <c r="K35" s="11">
        <f>K21-K15</f>
        <v>-265434564.03100014</v>
      </c>
      <c r="M35" s="4" t="s">
        <v>35</v>
      </c>
      <c r="N35" s="4" t="s">
        <v>3</v>
      </c>
      <c r="O35" s="11">
        <f>O21-O15</f>
        <v>4261096.2950000018</v>
      </c>
      <c r="Q35" s="4" t="s">
        <v>35</v>
      </c>
      <c r="R35" s="4" t="s">
        <v>3</v>
      </c>
      <c r="S35" s="11">
        <f>S21-S15</f>
        <v>13832956.041999996</v>
      </c>
      <c r="U35" s="4" t="s">
        <v>35</v>
      </c>
      <c r="V35" s="4" t="s">
        <v>3</v>
      </c>
      <c r="W35" s="11">
        <f>W21-W15</f>
        <v>5051225.7269999981</v>
      </c>
    </row>
    <row r="36" spans="1:23" x14ac:dyDescent="0.2">
      <c r="A36" s="4" t="s">
        <v>35</v>
      </c>
      <c r="B36" s="4" t="s">
        <v>25</v>
      </c>
      <c r="C36" s="11">
        <f t="shared" ref="C36:C40" si="6">C22-C16</f>
        <v>11313200053.155975</v>
      </c>
      <c r="D36" s="1"/>
      <c r="E36" s="4" t="s">
        <v>35</v>
      </c>
      <c r="F36" s="4" t="s">
        <v>25</v>
      </c>
      <c r="G36" s="11">
        <f t="shared" ref="G36:G40" si="7">G22-G16</f>
        <v>-423857000.76499844</v>
      </c>
      <c r="I36" s="4" t="s">
        <v>35</v>
      </c>
      <c r="J36" s="4" t="s">
        <v>25</v>
      </c>
      <c r="K36" s="11">
        <f t="shared" ref="K36:K40" si="8">K22-K16</f>
        <v>-18174415152.926971</v>
      </c>
      <c r="M36" s="4" t="s">
        <v>35</v>
      </c>
      <c r="N36" s="4" t="s">
        <v>25</v>
      </c>
      <c r="O36" s="11">
        <f t="shared" ref="O36:O40" si="9">O22-O16</f>
        <v>668959089.91700172</v>
      </c>
      <c r="Q36" s="4" t="s">
        <v>35</v>
      </c>
      <c r="R36" s="4" t="s">
        <v>25</v>
      </c>
      <c r="S36" s="11">
        <f t="shared" ref="S36:S40" si="10">S22-S16</f>
        <v>2238264642.177</v>
      </c>
      <c r="U36" s="4" t="s">
        <v>35</v>
      </c>
      <c r="V36" s="4" t="s">
        <v>25</v>
      </c>
      <c r="W36" s="11">
        <f t="shared" ref="W36:W40" si="11">W22-W16</f>
        <v>1607134854.9760027</v>
      </c>
    </row>
    <row r="37" spans="1:23" x14ac:dyDescent="0.2">
      <c r="A37" s="4" t="s">
        <v>35</v>
      </c>
      <c r="B37" s="4" t="s">
        <v>26</v>
      </c>
      <c r="C37" s="11">
        <f t="shared" si="6"/>
        <v>0</v>
      </c>
      <c r="D37" s="1"/>
      <c r="E37" s="4" t="s">
        <v>35</v>
      </c>
      <c r="F37" s="4" t="s">
        <v>26</v>
      </c>
      <c r="G37" s="11">
        <f t="shared" si="7"/>
        <v>0</v>
      </c>
      <c r="I37" s="4" t="s">
        <v>35</v>
      </c>
      <c r="J37" s="4" t="s">
        <v>26</v>
      </c>
      <c r="K37" s="11">
        <f t="shared" si="8"/>
        <v>0</v>
      </c>
      <c r="M37" s="4" t="s">
        <v>35</v>
      </c>
      <c r="N37" s="4" t="s">
        <v>26</v>
      </c>
      <c r="O37" s="11">
        <f t="shared" si="9"/>
        <v>0</v>
      </c>
      <c r="Q37" s="4" t="s">
        <v>35</v>
      </c>
      <c r="R37" s="4" t="s">
        <v>26</v>
      </c>
      <c r="S37" s="11">
        <f t="shared" si="10"/>
        <v>0</v>
      </c>
      <c r="U37" s="4" t="s">
        <v>35</v>
      </c>
      <c r="V37" s="4" t="s">
        <v>26</v>
      </c>
      <c r="W37" s="11">
        <f t="shared" si="11"/>
        <v>0</v>
      </c>
    </row>
    <row r="38" spans="1:23" x14ac:dyDescent="0.2">
      <c r="A38" s="4" t="s">
        <v>35</v>
      </c>
      <c r="B38" s="4" t="s">
        <v>27</v>
      </c>
      <c r="C38" s="11">
        <f t="shared" si="6"/>
        <v>0</v>
      </c>
      <c r="D38" s="1"/>
      <c r="E38" s="4" t="s">
        <v>35</v>
      </c>
      <c r="F38" s="4" t="s">
        <v>27</v>
      </c>
      <c r="G38" s="11">
        <f t="shared" si="7"/>
        <v>0</v>
      </c>
      <c r="I38" s="4" t="s">
        <v>35</v>
      </c>
      <c r="J38" s="4" t="s">
        <v>27</v>
      </c>
      <c r="K38" s="11">
        <f t="shared" si="8"/>
        <v>0</v>
      </c>
      <c r="M38" s="4" t="s">
        <v>35</v>
      </c>
      <c r="N38" s="4" t="s">
        <v>27</v>
      </c>
      <c r="O38" s="11">
        <f t="shared" si="9"/>
        <v>0</v>
      </c>
      <c r="Q38" s="4" t="s">
        <v>35</v>
      </c>
      <c r="R38" s="4" t="s">
        <v>27</v>
      </c>
      <c r="S38" s="11">
        <f t="shared" si="10"/>
        <v>0</v>
      </c>
      <c r="U38" s="4" t="s">
        <v>35</v>
      </c>
      <c r="V38" s="4" t="s">
        <v>27</v>
      </c>
      <c r="W38" s="11">
        <f t="shared" si="11"/>
        <v>0</v>
      </c>
    </row>
    <row r="39" spans="1:23" x14ac:dyDescent="0.2">
      <c r="A39" s="4" t="s">
        <v>35</v>
      </c>
      <c r="B39" s="4" t="s">
        <v>28</v>
      </c>
      <c r="C39" s="11">
        <f t="shared" si="6"/>
        <v>-16866.494999999999</v>
      </c>
      <c r="D39" s="1"/>
      <c r="E39" s="4" t="s">
        <v>35</v>
      </c>
      <c r="F39" s="4" t="s">
        <v>28</v>
      </c>
      <c r="G39" s="11">
        <f t="shared" si="7"/>
        <v>5974.4489999999996</v>
      </c>
      <c r="I39" s="4" t="s">
        <v>35</v>
      </c>
      <c r="J39" s="4" t="s">
        <v>28</v>
      </c>
      <c r="K39" s="11">
        <f t="shared" si="8"/>
        <v>353490.36600000004</v>
      </c>
      <c r="M39" s="4" t="s">
        <v>35</v>
      </c>
      <c r="N39" s="4" t="s">
        <v>28</v>
      </c>
      <c r="O39" s="11">
        <f t="shared" si="9"/>
        <v>-33543.559000000001</v>
      </c>
      <c r="Q39" s="4" t="s">
        <v>35</v>
      </c>
      <c r="R39" s="4" t="s">
        <v>28</v>
      </c>
      <c r="S39" s="11">
        <f t="shared" si="10"/>
        <v>-81522.771000000008</v>
      </c>
      <c r="U39" s="4" t="s">
        <v>35</v>
      </c>
      <c r="V39" s="4" t="s">
        <v>28</v>
      </c>
      <c r="W39" s="11">
        <f t="shared" si="11"/>
        <v>1830.9640000000018</v>
      </c>
    </row>
    <row r="40" spans="1:23" x14ac:dyDescent="0.2">
      <c r="A40" s="4" t="s">
        <v>35</v>
      </c>
      <c r="B40" s="4" t="s">
        <v>29</v>
      </c>
      <c r="C40" s="11">
        <f t="shared" si="6"/>
        <v>10823487.196999999</v>
      </c>
      <c r="D40" s="1"/>
      <c r="E40" s="4" t="s">
        <v>35</v>
      </c>
      <c r="F40" s="4" t="s">
        <v>29</v>
      </c>
      <c r="G40" s="11">
        <f t="shared" si="7"/>
        <v>-49944.883999999991</v>
      </c>
      <c r="I40" s="4" t="s">
        <v>35</v>
      </c>
      <c r="J40" s="4" t="s">
        <v>29</v>
      </c>
      <c r="K40" s="11">
        <f t="shared" si="8"/>
        <v>3868789.0829999996</v>
      </c>
      <c r="M40" s="4" t="s">
        <v>35</v>
      </c>
      <c r="N40" s="4" t="s">
        <v>29</v>
      </c>
      <c r="O40" s="11">
        <f t="shared" si="9"/>
        <v>-830318.21200000006</v>
      </c>
      <c r="Q40" s="4" t="s">
        <v>35</v>
      </c>
      <c r="R40" s="4" t="s">
        <v>29</v>
      </c>
      <c r="S40" s="11">
        <f t="shared" si="10"/>
        <v>-413354.348</v>
      </c>
      <c r="U40" s="4" t="s">
        <v>35</v>
      </c>
      <c r="V40" s="4" t="s">
        <v>29</v>
      </c>
      <c r="W40" s="11">
        <f t="shared" si="11"/>
        <v>-622979.36500000046</v>
      </c>
    </row>
    <row r="41" spans="1:23" x14ac:dyDescent="0.2">
      <c r="A41" s="1"/>
      <c r="B41" s="1"/>
      <c r="D41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7561-599C-AF42-A2D4-862207477ED5}">
  <dimension ref="A1:C40"/>
  <sheetViews>
    <sheetView workbookViewId="0">
      <selection activeCell="K23" sqref="K23"/>
    </sheetView>
  </sheetViews>
  <sheetFormatPr baseColWidth="10" defaultRowHeight="16" x14ac:dyDescent="0.2"/>
  <cols>
    <col min="3" max="3" width="17.83203125" bestFit="1" customWidth="1"/>
  </cols>
  <sheetData>
    <row r="1" spans="1:3" s="8" customFormat="1" x14ac:dyDescent="0.2">
      <c r="A1" s="6" t="s">
        <v>33</v>
      </c>
      <c r="B1" s="6" t="s">
        <v>30</v>
      </c>
      <c r="C1" s="10" t="s">
        <v>51</v>
      </c>
    </row>
    <row r="2" spans="1:3" x14ac:dyDescent="0.2">
      <c r="A2" s="4" t="s">
        <v>34</v>
      </c>
      <c r="B2" s="4" t="s">
        <v>3</v>
      </c>
      <c r="C2" s="11">
        <f>'import OC'!C29+'import OC'!G29+'import OC'!K29+'import OC'!O29+'import OC'!S29+'import OC'!W29</f>
        <v>360652286.13800001</v>
      </c>
    </row>
    <row r="3" spans="1:3" x14ac:dyDescent="0.2">
      <c r="A3" s="4" t="s">
        <v>34</v>
      </c>
      <c r="B3" s="4" t="s">
        <v>25</v>
      </c>
      <c r="C3" s="11">
        <f>'import OC'!C30+'import OC'!G30+'import OC'!K30+'import OC'!O30+'import OC'!S30+'import OC'!W30</f>
        <v>196666924657.31201</v>
      </c>
    </row>
    <row r="4" spans="1:3" x14ac:dyDescent="0.2">
      <c r="A4" s="4" t="s">
        <v>34</v>
      </c>
      <c r="B4" s="4" t="s">
        <v>26</v>
      </c>
      <c r="C4" s="11">
        <f>'import OC'!C31+'import OC'!G31+'import OC'!K31+'import OC'!O31+'import OC'!S31+'import OC'!W31</f>
        <v>0</v>
      </c>
    </row>
    <row r="5" spans="1:3" x14ac:dyDescent="0.2">
      <c r="A5" s="4" t="s">
        <v>34</v>
      </c>
      <c r="B5" s="4" t="s">
        <v>27</v>
      </c>
      <c r="C5" s="11">
        <f>'import OC'!C32+'import OC'!G32+'import OC'!K32+'import OC'!O32+'import OC'!S32+'import OC'!W32</f>
        <v>0</v>
      </c>
    </row>
    <row r="6" spans="1:3" x14ac:dyDescent="0.2">
      <c r="A6" s="4" t="s">
        <v>34</v>
      </c>
      <c r="B6" s="4" t="s">
        <v>28</v>
      </c>
      <c r="C6" s="11">
        <f>'import OC'!C33+'import OC'!G33+'import OC'!K33+'import OC'!O33+'import OC'!S33+'import OC'!W33</f>
        <v>480402.48100000003</v>
      </c>
    </row>
    <row r="7" spans="1:3" x14ac:dyDescent="0.2">
      <c r="A7" s="4" t="s">
        <v>34</v>
      </c>
      <c r="B7" s="4" t="s">
        <v>29</v>
      </c>
      <c r="C7" s="11">
        <f>'import OC'!C34+'import OC'!G34+'import OC'!K34+'import OC'!O34+'import OC'!S34+'import OC'!W34</f>
        <v>322733996.148</v>
      </c>
    </row>
    <row r="8" spans="1:3" x14ac:dyDescent="0.2">
      <c r="A8" s="4" t="s">
        <v>35</v>
      </c>
      <c r="B8" s="4" t="s">
        <v>3</v>
      </c>
      <c r="C8" s="11">
        <f>'import OC'!C35+'import OC'!G35+'import OC'!K35+'import OC'!O35+'import OC'!S35+'import OC'!W35</f>
        <v>-208420922.51300019</v>
      </c>
    </row>
    <row r="9" spans="1:3" x14ac:dyDescent="0.2">
      <c r="A9" s="4" t="s">
        <v>35</v>
      </c>
      <c r="B9" s="4" t="s">
        <v>25</v>
      </c>
      <c r="C9" s="11">
        <f>'import OC'!C36+'import OC'!G36+'import OC'!K36+'import OC'!O36+'import OC'!S36+'import OC'!W36</f>
        <v>-2770713513.465991</v>
      </c>
    </row>
    <row r="10" spans="1:3" x14ac:dyDescent="0.2">
      <c r="A10" s="4" t="s">
        <v>35</v>
      </c>
      <c r="B10" s="4" t="s">
        <v>26</v>
      </c>
      <c r="C10" s="11">
        <f>'import OC'!C37+'import OC'!G37+'import OC'!K37+'import OC'!O37+'import OC'!S37+'import OC'!W37</f>
        <v>0</v>
      </c>
    </row>
    <row r="11" spans="1:3" x14ac:dyDescent="0.2">
      <c r="A11" s="4" t="s">
        <v>35</v>
      </c>
      <c r="B11" s="4" t="s">
        <v>27</v>
      </c>
      <c r="C11" s="11">
        <f>'import OC'!C38+'import OC'!G38+'import OC'!K38+'import OC'!O38+'import OC'!S38+'import OC'!W38</f>
        <v>0</v>
      </c>
    </row>
    <row r="12" spans="1:3" x14ac:dyDescent="0.2">
      <c r="A12" s="4" t="s">
        <v>35</v>
      </c>
      <c r="B12" s="4" t="s">
        <v>28</v>
      </c>
      <c r="C12" s="11">
        <f>'import OC'!C39+'import OC'!G39+'import OC'!K39+'import OC'!O39+'import OC'!S39+'import OC'!W39</f>
        <v>229362.95400000006</v>
      </c>
    </row>
    <row r="13" spans="1:3" x14ac:dyDescent="0.2">
      <c r="A13" s="4" t="s">
        <v>35</v>
      </c>
      <c r="B13" s="4" t="s">
        <v>29</v>
      </c>
      <c r="C13" s="11">
        <f>'import OC'!C40+'import OC'!G40+'import OC'!K40+'import OC'!O40+'import OC'!S40+'import OC'!W40</f>
        <v>12775679.470999999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226A-28D5-A84D-9B33-DCD5651B0D3E}">
  <dimension ref="A1:E13"/>
  <sheetViews>
    <sheetView workbookViewId="0">
      <selection activeCell="M28" sqref="M28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s="8" customFormat="1" x14ac:dyDescent="0.2">
      <c r="A1" s="6" t="s">
        <v>33</v>
      </c>
      <c r="B1" s="12" t="s">
        <v>30</v>
      </c>
      <c r="C1" s="6" t="s">
        <v>38</v>
      </c>
      <c r="D1" s="12" t="s">
        <v>51</v>
      </c>
      <c r="E1" s="12" t="s">
        <v>52</v>
      </c>
    </row>
    <row r="2" spans="1:5" x14ac:dyDescent="0.2">
      <c r="A2" s="4" t="s">
        <v>34</v>
      </c>
      <c r="B2" s="4" t="s">
        <v>3</v>
      </c>
      <c r="C2" s="5">
        <f>L_i!C2</f>
        <v>919800</v>
      </c>
      <c r="D2" s="11">
        <f>delta_M_OC!C2</f>
        <v>360652286.13800001</v>
      </c>
      <c r="E2" s="11">
        <f>D2/C2</f>
        <v>392.0985933224614</v>
      </c>
    </row>
    <row r="3" spans="1:5" x14ac:dyDescent="0.2">
      <c r="A3" s="4" t="s">
        <v>34</v>
      </c>
      <c r="B3" s="4" t="s">
        <v>25</v>
      </c>
      <c r="C3" s="5">
        <f>L_i!C3</f>
        <v>4463500</v>
      </c>
      <c r="D3" s="11">
        <f>delta_M_OC!C3</f>
        <v>196666924657.31201</v>
      </c>
      <c r="E3" s="11">
        <f t="shared" ref="E3:E13" si="0">D3/C3</f>
        <v>44061.145884913632</v>
      </c>
    </row>
    <row r="4" spans="1:5" x14ac:dyDescent="0.2">
      <c r="A4" s="4" t="s">
        <v>34</v>
      </c>
      <c r="B4" s="4" t="s">
        <v>26</v>
      </c>
      <c r="C4" s="5">
        <f>L_i!C4</f>
        <v>1435000</v>
      </c>
      <c r="D4" s="11">
        <f>delta_M_OC!C4</f>
        <v>0</v>
      </c>
      <c r="E4" s="11">
        <f t="shared" si="0"/>
        <v>0</v>
      </c>
    </row>
    <row r="5" spans="1:5" x14ac:dyDescent="0.2">
      <c r="A5" s="4" t="s">
        <v>34</v>
      </c>
      <c r="B5" s="4" t="s">
        <v>27</v>
      </c>
      <c r="C5" s="5">
        <f>L_i!C5</f>
        <v>5179800</v>
      </c>
      <c r="D5" s="11">
        <f>delta_M_OC!C5</f>
        <v>0</v>
      </c>
      <c r="E5" s="11">
        <f t="shared" si="0"/>
        <v>0</v>
      </c>
    </row>
    <row r="6" spans="1:5" x14ac:dyDescent="0.2">
      <c r="A6" s="4" t="s">
        <v>34</v>
      </c>
      <c r="B6" s="4" t="s">
        <v>28</v>
      </c>
      <c r="C6" s="5">
        <f>L_i!C6</f>
        <v>2769700</v>
      </c>
      <c r="D6" s="11">
        <f>delta_M_OC!C6</f>
        <v>480402.48100000003</v>
      </c>
      <c r="E6" s="11">
        <f t="shared" si="0"/>
        <v>0.17344928367693252</v>
      </c>
    </row>
    <row r="7" spans="1:5" x14ac:dyDescent="0.2">
      <c r="A7" s="4" t="s">
        <v>34</v>
      </c>
      <c r="B7" s="4" t="s">
        <v>29</v>
      </c>
      <c r="C7" s="5">
        <f>L_i!C7</f>
        <v>7617400</v>
      </c>
      <c r="D7" s="11">
        <f>delta_M_OC!C7</f>
        <v>322733996.148</v>
      </c>
      <c r="E7" s="11">
        <f t="shared" si="0"/>
        <v>42.367999074224798</v>
      </c>
    </row>
    <row r="8" spans="1:5" x14ac:dyDescent="0.2">
      <c r="A8" s="4" t="s">
        <v>35</v>
      </c>
      <c r="B8" s="4" t="s">
        <v>3</v>
      </c>
      <c r="C8" s="5">
        <f>L_i!C14</f>
        <v>721200</v>
      </c>
      <c r="D8" s="11">
        <f>delta_M_OC!C8</f>
        <v>-208420922.51300019</v>
      </c>
      <c r="E8" s="11">
        <f t="shared" si="0"/>
        <v>-288.99185040626759</v>
      </c>
    </row>
    <row r="9" spans="1:5" x14ac:dyDescent="0.2">
      <c r="A9" s="4" t="s">
        <v>35</v>
      </c>
      <c r="B9" s="4" t="s">
        <v>25</v>
      </c>
      <c r="C9" s="5">
        <f>L_i!C15</f>
        <v>3716400</v>
      </c>
      <c r="D9" s="11">
        <f>delta_M_OC!C9</f>
        <v>-2770713513.465991</v>
      </c>
      <c r="E9" s="11">
        <f t="shared" si="0"/>
        <v>-745.53694797814853</v>
      </c>
    </row>
    <row r="10" spans="1:5" x14ac:dyDescent="0.2">
      <c r="A10" s="4" t="s">
        <v>35</v>
      </c>
      <c r="B10" s="4" t="s">
        <v>26</v>
      </c>
      <c r="C10" s="5">
        <f>L_i!C16</f>
        <v>1856100</v>
      </c>
      <c r="D10" s="11">
        <f>delta_M_OC!C10</f>
        <v>0</v>
      </c>
      <c r="E10" s="11">
        <f t="shared" si="0"/>
        <v>0</v>
      </c>
    </row>
    <row r="11" spans="1:5" x14ac:dyDescent="0.2">
      <c r="A11" s="4" t="s">
        <v>35</v>
      </c>
      <c r="B11" s="4" t="s">
        <v>27</v>
      </c>
      <c r="C11" s="5">
        <f>L_i!C17</f>
        <v>6273700</v>
      </c>
      <c r="D11" s="11">
        <f>delta_M_OC!C11</f>
        <v>0</v>
      </c>
      <c r="E11" s="11">
        <f t="shared" si="0"/>
        <v>0</v>
      </c>
    </row>
    <row r="12" spans="1:5" x14ac:dyDescent="0.2">
      <c r="A12" s="4" t="s">
        <v>35</v>
      </c>
      <c r="B12" s="4" t="s">
        <v>28</v>
      </c>
      <c r="C12" s="5">
        <f>L_i!C18</f>
        <v>3471200</v>
      </c>
      <c r="D12" s="11">
        <f>delta_M_OC!C12</f>
        <v>229362.95400000006</v>
      </c>
      <c r="E12" s="11">
        <f t="shared" si="0"/>
        <v>6.6075983521548753E-2</v>
      </c>
    </row>
    <row r="13" spans="1:5" x14ac:dyDescent="0.2">
      <c r="A13" s="4" t="s">
        <v>35</v>
      </c>
      <c r="B13" s="4" t="s">
        <v>29</v>
      </c>
      <c r="C13" s="5">
        <f>L_i!C19</f>
        <v>9371800</v>
      </c>
      <c r="D13" s="11">
        <f>delta_M_OC!C13</f>
        <v>12775679.470999999</v>
      </c>
      <c r="E13" s="11">
        <f t="shared" si="0"/>
        <v>1.363204450692503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2717-6837-A24E-B32A-2CDF4AC556CB}">
  <dimension ref="A1:R24"/>
  <sheetViews>
    <sheetView workbookViewId="0">
      <selection activeCell="J31" sqref="J31"/>
    </sheetView>
  </sheetViews>
  <sheetFormatPr baseColWidth="10" defaultRowHeight="16" x14ac:dyDescent="0.2"/>
  <cols>
    <col min="1" max="1" width="23.83203125" bestFit="1" customWidth="1"/>
    <col min="2" max="2" width="11" bestFit="1" customWidth="1"/>
    <col min="3" max="3" width="13.6640625" bestFit="1" customWidth="1"/>
    <col min="4" max="8" width="11" bestFit="1" customWidth="1"/>
    <col min="11" max="11" width="24.6640625" bestFit="1" customWidth="1"/>
    <col min="18" max="18" width="14.83203125" bestFit="1" customWidth="1"/>
  </cols>
  <sheetData>
    <row r="1" spans="1:18" s="8" customFormat="1" x14ac:dyDescent="0.2">
      <c r="A1" s="17" t="s">
        <v>44</v>
      </c>
      <c r="B1" s="17"/>
      <c r="C1" s="17"/>
      <c r="D1" s="17"/>
      <c r="E1" s="17"/>
      <c r="F1" s="17"/>
      <c r="G1" s="17"/>
      <c r="H1" s="17"/>
      <c r="K1" s="17" t="s">
        <v>43</v>
      </c>
      <c r="L1" s="17"/>
      <c r="M1" s="17"/>
      <c r="N1" s="17"/>
      <c r="O1" s="17"/>
      <c r="P1" s="17"/>
      <c r="Q1" s="17"/>
      <c r="R1" s="17"/>
    </row>
    <row r="2" spans="1:18" s="8" customFormat="1" x14ac:dyDescent="0.2">
      <c r="A2" s="12"/>
      <c r="B2" s="6" t="s">
        <v>3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41</v>
      </c>
      <c r="K2" s="12"/>
      <c r="L2" s="12" t="s">
        <v>3</v>
      </c>
      <c r="M2" s="12" t="s">
        <v>25</v>
      </c>
      <c r="N2" s="12" t="s">
        <v>26</v>
      </c>
      <c r="O2" s="12" t="s">
        <v>27</v>
      </c>
      <c r="P2" s="12" t="s">
        <v>28</v>
      </c>
      <c r="Q2" s="12" t="s">
        <v>29</v>
      </c>
      <c r="R2" s="12" t="s">
        <v>42</v>
      </c>
    </row>
    <row r="3" spans="1:18" x14ac:dyDescent="0.2">
      <c r="A3" s="6" t="s">
        <v>2</v>
      </c>
      <c r="B3" s="5">
        <f>shock_OC!$E$2*s_ri!B3</f>
        <v>1.8344743213099322</v>
      </c>
      <c r="C3" s="5">
        <f>shock_OC!$E$3*s_ri!C3</f>
        <v>6392.3094992542119</v>
      </c>
      <c r="D3" s="5">
        <f>shock_OC!$E$4*s_ri!D3</f>
        <v>0</v>
      </c>
      <c r="E3" s="5">
        <f>shock_OC!$E$5*s_ri!E3</f>
        <v>0</v>
      </c>
      <c r="F3" s="5">
        <f>shock_OC!$E$6*s_ri!F3</f>
        <v>3.8596550051616767E-2</v>
      </c>
      <c r="G3" s="5">
        <f>shock_OC!$E$7*s_ri!G3</f>
        <v>14.050159966256226</v>
      </c>
      <c r="H3" s="5">
        <f>SUM(B3:G3)/1000</f>
        <v>6.4082327300918305</v>
      </c>
      <c r="K3" s="6" t="s">
        <v>2</v>
      </c>
      <c r="L3" s="5">
        <f>shock_OC!$E$8*s_ri!K3</f>
        <v>-0.48127999874010485</v>
      </c>
      <c r="M3" s="5">
        <f>shock_OC!$E$9*s_ri!L3</f>
        <v>-67.9270205313166</v>
      </c>
      <c r="N3" s="5">
        <f>shock_OC!$E$10*s_ri!M3</f>
        <v>0</v>
      </c>
      <c r="O3" s="5">
        <f>shock_OC!$E$11*s_ri!N3</f>
        <v>0</v>
      </c>
      <c r="P3" s="5">
        <f>shock_OC!$E$12*s_ri!O3</f>
        <v>1.425291209230309E-2</v>
      </c>
      <c r="Q3" s="5">
        <f>shock_OC!$E$13*s_ri!P3</f>
        <v>0.46025309058527869</v>
      </c>
      <c r="R3" s="5">
        <f>SUM(L3:Q3)/1000</f>
        <v>-6.7933794527379118E-2</v>
      </c>
    </row>
    <row r="4" spans="1:18" x14ac:dyDescent="0.2">
      <c r="A4" s="6" t="s">
        <v>4</v>
      </c>
      <c r="B4" s="5">
        <f>shock_OC!$E$2*s_ri!B4</f>
        <v>22.954194037811124</v>
      </c>
      <c r="C4" s="5">
        <f>shock_OC!$E$3*s_ri!C4</f>
        <v>11195.078959877403</v>
      </c>
      <c r="D4" s="5">
        <f>shock_OC!$E$4*s_ri!D4</f>
        <v>0</v>
      </c>
      <c r="E4" s="5">
        <f>shock_OC!$E$5*s_ri!E4</f>
        <v>0</v>
      </c>
      <c r="F4" s="5">
        <f>shock_OC!$E$6*s_ri!F4</f>
        <v>1.743929685718016E-2</v>
      </c>
      <c r="G4" s="5">
        <f>shock_OC!$E$7*s_ri!G4</f>
        <v>13.932110250523104</v>
      </c>
      <c r="H4" s="5">
        <f t="shared" ref="H4:H24" si="0">SUM(B4:G4)/1000</f>
        <v>11.231982703462593</v>
      </c>
      <c r="K4" s="6" t="s">
        <v>4</v>
      </c>
      <c r="L4" s="5">
        <f>shock_OC!$E$8*s_ri!K4</f>
        <v>-11.426791032811494</v>
      </c>
      <c r="M4" s="5">
        <f>shock_OC!$E$9*s_ri!L4</f>
        <v>-129.21852363628796</v>
      </c>
      <c r="N4" s="5">
        <f>shock_OC!$E$10*s_ri!M4</f>
        <v>0</v>
      </c>
      <c r="O4" s="5">
        <f>shock_OC!$E$11*s_ri!N4</f>
        <v>0</v>
      </c>
      <c r="P4" s="5">
        <f>shock_OC!$E$12*s_ri!O4</f>
        <v>8.0933421497011455E-3</v>
      </c>
      <c r="Q4" s="5">
        <f>shock_OC!$E$13*s_ri!P4</f>
        <v>0.49105620634894936</v>
      </c>
      <c r="R4" s="5">
        <f t="shared" ref="R4:R24" si="1">SUM(L4:Q4)/1000</f>
        <v>-0.1401461651206008</v>
      </c>
    </row>
    <row r="5" spans="1:18" x14ac:dyDescent="0.2">
      <c r="A5" s="6" t="s">
        <v>5</v>
      </c>
      <c r="B5" s="5">
        <f>shock_OC!$E$2*s_ri!B5</f>
        <v>25.879640574198106</v>
      </c>
      <c r="C5" s="5">
        <f>shock_OC!$E$3*s_ri!C5</f>
        <v>10642.03684132168</v>
      </c>
      <c r="D5" s="5">
        <f>shock_OC!$E$4*s_ri!D5</f>
        <v>0</v>
      </c>
      <c r="E5" s="5">
        <f>shock_OC!$E$5*s_ri!E5</f>
        <v>0</v>
      </c>
      <c r="F5" s="5">
        <f>shock_OC!$E$6*s_ri!F5</f>
        <v>1.1698843607565707E-2</v>
      </c>
      <c r="G5" s="5">
        <f>shock_OC!$E$7*s_ri!G5</f>
        <v>14.635228201165495</v>
      </c>
      <c r="H5" s="5">
        <f t="shared" si="0"/>
        <v>10.68256340894065</v>
      </c>
      <c r="K5" s="6" t="s">
        <v>5</v>
      </c>
      <c r="L5" s="5">
        <f>shock_OC!$E$8*s_ri!K5</f>
        <v>-16.375005222272947</v>
      </c>
      <c r="M5" s="5">
        <f>shock_OC!$E$9*s_ri!L5</f>
        <v>-121.16135954065803</v>
      </c>
      <c r="N5" s="5">
        <f>shock_OC!$E$10*s_ri!M5</f>
        <v>0</v>
      </c>
      <c r="O5" s="5">
        <f>shock_OC!$E$11*s_ri!N5</f>
        <v>0</v>
      </c>
      <c r="P5" s="5">
        <f>shock_OC!$E$12*s_ri!O5</f>
        <v>7.0046302581218394E-3</v>
      </c>
      <c r="Q5" s="5">
        <f>shock_OC!$E$13*s_ri!P5</f>
        <v>0.48446384821466126</v>
      </c>
      <c r="R5" s="5">
        <f t="shared" si="1"/>
        <v>-0.13704489628445821</v>
      </c>
    </row>
    <row r="6" spans="1:18" x14ac:dyDescent="0.2">
      <c r="A6" s="6" t="s">
        <v>6</v>
      </c>
      <c r="B6" s="5">
        <f>shock_OC!$E$2*s_ri!B6</f>
        <v>18.309138014380668</v>
      </c>
      <c r="C6" s="5">
        <f>shock_OC!$E$3*s_ri!C6</f>
        <v>14302.727030992717</v>
      </c>
      <c r="D6" s="5">
        <f>shock_OC!$E$4*s_ri!D6</f>
        <v>0</v>
      </c>
      <c r="E6" s="5">
        <f>shock_OC!$E$5*s_ri!E6</f>
        <v>0</v>
      </c>
      <c r="F6" s="5">
        <f>shock_OC!$E$6*s_ri!F6</f>
        <v>1.1542417930226732E-2</v>
      </c>
      <c r="G6" s="5">
        <f>shock_OC!$E$7*s_ri!G6</f>
        <v>13.533292733837653</v>
      </c>
      <c r="H6" s="5">
        <f t="shared" si="0"/>
        <v>14.334581004158865</v>
      </c>
      <c r="K6" s="6" t="s">
        <v>6</v>
      </c>
      <c r="L6" s="5">
        <f>shock_OC!$E$8*s_ri!K6</f>
        <v>-9.7171126546478561</v>
      </c>
      <c r="M6" s="5">
        <f>shock_OC!$E$9*s_ri!L6</f>
        <v>-203.71769338240958</v>
      </c>
      <c r="N6" s="5">
        <f>shock_OC!$E$10*s_ri!M6</f>
        <v>0</v>
      </c>
      <c r="O6" s="5">
        <f>shock_OC!$E$11*s_ri!N6</f>
        <v>0</v>
      </c>
      <c r="P6" s="5">
        <f>shock_OC!$E$12*s_ri!O6</f>
        <v>4.8091054191039956E-3</v>
      </c>
      <c r="Q6" s="5">
        <f>shock_OC!$E$13*s_ri!P6</f>
        <v>0.50217214389204567</v>
      </c>
      <c r="R6" s="5">
        <f t="shared" si="1"/>
        <v>-0.2129278247877463</v>
      </c>
    </row>
    <row r="7" spans="1:18" x14ac:dyDescent="0.2">
      <c r="A7" s="6" t="s">
        <v>7</v>
      </c>
      <c r="B7" s="5">
        <f>shock_OC!$E$2*s_ri!B7</f>
        <v>35.407691154573783</v>
      </c>
      <c r="C7" s="5">
        <f>shock_OC!$E$3*s_ri!C7</f>
        <v>8669.8093114961357</v>
      </c>
      <c r="D7" s="5">
        <f>shock_OC!$E$4*s_ri!D7</f>
        <v>0</v>
      </c>
      <c r="E7" s="5">
        <f>shock_OC!$E$5*s_ri!E7</f>
        <v>0</v>
      </c>
      <c r="F7" s="5">
        <f>shock_OC!$E$6*s_ri!F7</f>
        <v>1.6679163440448459E-2</v>
      </c>
      <c r="G7" s="5">
        <f>shock_OC!$E$7*s_ri!G7</f>
        <v>14.781724121451765</v>
      </c>
      <c r="H7" s="5">
        <f t="shared" si="0"/>
        <v>8.7200154059356034</v>
      </c>
      <c r="K7" s="6" t="s">
        <v>7</v>
      </c>
      <c r="L7" s="5">
        <f>shock_OC!$E$8*s_ri!K7</f>
        <v>-15.974171463443959</v>
      </c>
      <c r="M7" s="5">
        <f>shock_OC!$E$9*s_ri!L7</f>
        <v>-117.66861615924888</v>
      </c>
      <c r="N7" s="5">
        <f>shock_OC!$E$10*s_ri!M7</f>
        <v>0</v>
      </c>
      <c r="O7" s="5">
        <f>shock_OC!$E$11*s_ri!N7</f>
        <v>0</v>
      </c>
      <c r="P7" s="5">
        <f>shock_OC!$E$12*s_ri!O7</f>
        <v>6.1447333884979286E-3</v>
      </c>
      <c r="Q7" s="5">
        <f>shock_OC!$E$13*s_ri!P7</f>
        <v>0.51134976613843586</v>
      </c>
      <c r="R7" s="5">
        <f t="shared" si="1"/>
        <v>-0.1331252931231659</v>
      </c>
    </row>
    <row r="8" spans="1:18" x14ac:dyDescent="0.2">
      <c r="A8" s="6" t="s">
        <v>8</v>
      </c>
      <c r="B8" s="5">
        <f>shock_OC!$E$2*s_ri!B8</f>
        <v>9.1997691154104011</v>
      </c>
      <c r="C8" s="5">
        <f>shock_OC!$E$3*s_ri!C8</f>
        <v>10861.15030717871</v>
      </c>
      <c r="D8" s="5">
        <f>shock_OC!$E$4*s_ri!D8</f>
        <v>0</v>
      </c>
      <c r="E8" s="5">
        <f>shock_OC!$E$5*s_ri!E8</f>
        <v>0</v>
      </c>
      <c r="F8" s="5">
        <f>shock_OC!$E$6*s_ri!F8</f>
        <v>1.6621712273209931E-2</v>
      </c>
      <c r="G8" s="5">
        <f>shock_OC!$E$7*s_ri!G8</f>
        <v>14.078751353145229</v>
      </c>
      <c r="H8" s="5">
        <f t="shared" si="0"/>
        <v>10.884445449359539</v>
      </c>
      <c r="K8" s="6" t="s">
        <v>8</v>
      </c>
      <c r="L8" s="5">
        <f>shock_OC!$E$8*s_ri!K8</f>
        <v>-4.3318695133763914</v>
      </c>
      <c r="M8" s="5">
        <f>shock_OC!$E$9*s_ri!L8</f>
        <v>-153.55681204713011</v>
      </c>
      <c r="N8" s="5">
        <f>shock_OC!$E$10*s_ri!M8</f>
        <v>0</v>
      </c>
      <c r="O8" s="5">
        <f>shock_OC!$E$11*s_ri!N8</f>
        <v>0</v>
      </c>
      <c r="P8" s="5">
        <f>shock_OC!$E$12*s_ri!O8</f>
        <v>6.7956008035347159E-3</v>
      </c>
      <c r="Q8" s="5">
        <f>shock_OC!$E$13*s_ri!P8</f>
        <v>0.52125305505313613</v>
      </c>
      <c r="R8" s="5">
        <f t="shared" si="1"/>
        <v>-0.15736063290464983</v>
      </c>
    </row>
    <row r="9" spans="1:18" x14ac:dyDescent="0.2">
      <c r="A9" s="6" t="s">
        <v>9</v>
      </c>
      <c r="B9" s="5">
        <f>shock_OC!$E$2*s_ri!B9</f>
        <v>6.5661733063775074</v>
      </c>
      <c r="C9" s="5">
        <f>shock_OC!$E$3*s_ri!C9</f>
        <v>10179.770690543432</v>
      </c>
      <c r="D9" s="5">
        <f>shock_OC!$E$4*s_ri!D9</f>
        <v>0</v>
      </c>
      <c r="E9" s="5">
        <f>shock_OC!$E$5*s_ri!E9</f>
        <v>0</v>
      </c>
      <c r="F9" s="5">
        <f>shock_OC!$E$6*s_ri!F9</f>
        <v>1.644199847539915E-2</v>
      </c>
      <c r="G9" s="5">
        <f>shock_OC!$E$7*s_ri!G9</f>
        <v>14.732647401047027</v>
      </c>
      <c r="H9" s="5">
        <f t="shared" si="0"/>
        <v>10.201085953249333</v>
      </c>
      <c r="K9" s="6" t="s">
        <v>9</v>
      </c>
      <c r="L9" s="5">
        <f>shock_OC!$E$8*s_ri!K9</f>
        <v>-3.0997793414662951</v>
      </c>
      <c r="M9" s="5">
        <f>shock_OC!$E$9*s_ri!L9</f>
        <v>-125.86213365600456</v>
      </c>
      <c r="N9" s="5">
        <f>shock_OC!$E$10*s_ri!M9</f>
        <v>0</v>
      </c>
      <c r="O9" s="5">
        <f>shock_OC!$E$11*s_ri!N9</f>
        <v>0</v>
      </c>
      <c r="P9" s="5">
        <f>shock_OC!$E$12*s_ri!O9</f>
        <v>7.461611730114932E-3</v>
      </c>
      <c r="Q9" s="5">
        <f>shock_OC!$E$13*s_ri!P9</f>
        <v>0.54101325201700468</v>
      </c>
      <c r="R9" s="5">
        <f t="shared" si="1"/>
        <v>-0.12841343813372372</v>
      </c>
    </row>
    <row r="10" spans="1:18" x14ac:dyDescent="0.2">
      <c r="A10" s="6" t="s">
        <v>10</v>
      </c>
      <c r="B10" s="5">
        <f>shock_OC!$E$2*s_ri!B10</f>
        <v>15.12863387762561</v>
      </c>
      <c r="C10" s="5">
        <f>shock_OC!$E$3*s_ri!C10</f>
        <v>11246.959162936799</v>
      </c>
      <c r="D10" s="5">
        <f>shock_OC!$E$4*s_ri!D10</f>
        <v>0</v>
      </c>
      <c r="E10" s="5">
        <f>shock_OC!$E$5*s_ri!E10</f>
        <v>0</v>
      </c>
      <c r="F10" s="5">
        <f>shock_OC!$E$6*s_ri!F10</f>
        <v>1.440817926140656E-2</v>
      </c>
      <c r="G10" s="5">
        <f>shock_OC!$E$7*s_ri!G10</f>
        <v>13.609814197999585</v>
      </c>
      <c r="H10" s="5">
        <f t="shared" si="0"/>
        <v>11.275712019191685</v>
      </c>
      <c r="K10" s="6" t="s">
        <v>10</v>
      </c>
      <c r="L10" s="5">
        <f>shock_OC!$E$8*s_ri!K10</f>
        <v>-8.6824898306062508</v>
      </c>
      <c r="M10" s="5">
        <f>shock_OC!$E$9*s_ri!L10</f>
        <v>-129.0180110267967</v>
      </c>
      <c r="N10" s="5">
        <f>shock_OC!$E$10*s_ri!M10</f>
        <v>0</v>
      </c>
      <c r="O10" s="5">
        <f>shock_OC!$E$11*s_ri!N10</f>
        <v>0</v>
      </c>
      <c r="P10" s="5">
        <f>shock_OC!$E$12*s_ri!O10</f>
        <v>6.2555577936677887E-3</v>
      </c>
      <c r="Q10" s="5">
        <f>shock_OC!$E$13*s_ri!P10</f>
        <v>0.49693525843110337</v>
      </c>
      <c r="R10" s="5">
        <f t="shared" si="1"/>
        <v>-0.13719731004117816</v>
      </c>
    </row>
    <row r="11" spans="1:18" x14ac:dyDescent="0.2">
      <c r="A11" s="6" t="s">
        <v>11</v>
      </c>
      <c r="B11" s="5">
        <f>shock_OC!$E$2*s_ri!B11</f>
        <v>7.409070463644837</v>
      </c>
      <c r="C11" s="5">
        <f>shock_OC!$E$3*s_ri!C11</f>
        <v>12881.1502209101</v>
      </c>
      <c r="D11" s="5">
        <f>shock_OC!$E$4*s_ri!D11</f>
        <v>0</v>
      </c>
      <c r="E11" s="5">
        <f>shock_OC!$E$5*s_ri!E11</f>
        <v>0</v>
      </c>
      <c r="F11" s="5">
        <f>shock_OC!$E$6*s_ri!F11</f>
        <v>1.7323858809681479E-2</v>
      </c>
      <c r="G11" s="5">
        <f>shock_OC!$E$7*s_ri!G11</f>
        <v>12.163144018204365</v>
      </c>
      <c r="H11" s="5">
        <f t="shared" si="0"/>
        <v>12.90073975925076</v>
      </c>
      <c r="K11" s="6" t="s">
        <v>11</v>
      </c>
      <c r="L11" s="5">
        <f>shock_OC!$E$8*s_ri!K11</f>
        <v>-2.6196951545582432</v>
      </c>
      <c r="M11" s="5">
        <f>shock_OC!$E$9*s_ri!L11</f>
        <v>-159.88356005938937</v>
      </c>
      <c r="N11" s="5">
        <f>shock_OC!$E$10*s_ri!M11</f>
        <v>0</v>
      </c>
      <c r="O11" s="5">
        <f>shock_OC!$E$11*s_ri!N11</f>
        <v>0</v>
      </c>
      <c r="P11" s="5">
        <f>shock_OC!$E$12*s_ri!O11</f>
        <v>7.2123170887174164E-3</v>
      </c>
      <c r="Q11" s="5">
        <f>shock_OC!$E$13*s_ri!P11</f>
        <v>0.48667736194473438</v>
      </c>
      <c r="R11" s="5">
        <f t="shared" si="1"/>
        <v>-0.16200936553491413</v>
      </c>
    </row>
    <row r="12" spans="1:18" x14ac:dyDescent="0.2">
      <c r="A12" s="6" t="s">
        <v>12</v>
      </c>
      <c r="B12" s="5">
        <f>shock_OC!$E$2*s_ri!B12</f>
        <v>33.17373594903777</v>
      </c>
      <c r="C12" s="5">
        <f>shock_OC!$E$3*s_ri!C12</f>
        <v>9623.1934396651923</v>
      </c>
      <c r="D12" s="5">
        <f>shock_OC!$E$4*s_ri!D12</f>
        <v>0</v>
      </c>
      <c r="E12" s="5">
        <f>shock_OC!$E$5*s_ri!E12</f>
        <v>0</v>
      </c>
      <c r="F12" s="5">
        <f>shock_OC!$E$6*s_ri!F12</f>
        <v>1.4490885871228034E-2</v>
      </c>
      <c r="G12" s="5">
        <f>shock_OC!$E$7*s_ri!G12</f>
        <v>14.167585780333441</v>
      </c>
      <c r="H12" s="5">
        <f t="shared" si="0"/>
        <v>9.6705492522804342</v>
      </c>
      <c r="K12" s="6" t="s">
        <v>12</v>
      </c>
      <c r="L12" s="5">
        <f>shock_OC!$E$8*s_ri!K12</f>
        <v>-16.718060366610334</v>
      </c>
      <c r="M12" s="5">
        <f>shock_OC!$E$9*s_ri!L12</f>
        <v>-144.705256409882</v>
      </c>
      <c r="N12" s="5">
        <f>shock_OC!$E$10*s_ri!M12</f>
        <v>0</v>
      </c>
      <c r="O12" s="5">
        <f>shock_OC!$E$11*s_ri!N12</f>
        <v>0</v>
      </c>
      <c r="P12" s="5">
        <f>shock_OC!$E$12*s_ri!O12</f>
        <v>6.3004827694594671E-3</v>
      </c>
      <c r="Q12" s="5">
        <f>shock_OC!$E$13*s_ri!P12</f>
        <v>0.50987599143196549</v>
      </c>
      <c r="R12" s="5">
        <f t="shared" si="1"/>
        <v>-0.16090714030229092</v>
      </c>
    </row>
    <row r="13" spans="1:18" x14ac:dyDescent="0.2">
      <c r="A13" s="6" t="s">
        <v>13</v>
      </c>
      <c r="B13" s="5">
        <f>shock_OC!$E$2*s_ri!B13</f>
        <v>11.249663439499125</v>
      </c>
      <c r="C13" s="5">
        <f>shock_OC!$E$3*s_ri!C13</f>
        <v>10829.757775871443</v>
      </c>
      <c r="D13" s="5">
        <f>shock_OC!$E$4*s_ri!D13</f>
        <v>0</v>
      </c>
      <c r="E13" s="5">
        <f>shock_OC!$E$5*s_ri!E13</f>
        <v>0</v>
      </c>
      <c r="F13" s="5">
        <f>shock_OC!$E$6*s_ri!F13</f>
        <v>1.5251609680966187E-2</v>
      </c>
      <c r="G13" s="5">
        <f>shock_OC!$E$7*s_ri!G13</f>
        <v>14.503251628730453</v>
      </c>
      <c r="H13" s="5">
        <f t="shared" si="0"/>
        <v>10.855525942549352</v>
      </c>
      <c r="K13" s="6" t="s">
        <v>13</v>
      </c>
      <c r="L13" s="5">
        <f>shock_OC!$E$8*s_ri!K13</f>
        <v>-5.5721478605941162</v>
      </c>
      <c r="M13" s="5">
        <f>shock_OC!$E$9*s_ri!L13</f>
        <v>-129.70121312328001</v>
      </c>
      <c r="N13" s="5">
        <f>shock_OC!$E$10*s_ri!M13</f>
        <v>0</v>
      </c>
      <c r="O13" s="5">
        <f>shock_OC!$E$11*s_ri!N13</f>
        <v>0</v>
      </c>
      <c r="P13" s="5">
        <f>shock_OC!$E$12*s_ri!O13</f>
        <v>7.1591967246726245E-3</v>
      </c>
      <c r="Q13" s="5">
        <f>shock_OC!$E$13*s_ri!P13</f>
        <v>0.54719337284589509</v>
      </c>
      <c r="R13" s="5">
        <f t="shared" si="1"/>
        <v>-0.13471900841430356</v>
      </c>
    </row>
    <row r="14" spans="1:18" x14ac:dyDescent="0.2">
      <c r="A14" s="6" t="s">
        <v>14</v>
      </c>
      <c r="B14" s="5">
        <f>shock_OC!$E$2*s_ri!B14</f>
        <v>25.608805838202173</v>
      </c>
      <c r="C14" s="5">
        <f>shock_OC!$E$3*s_ri!C14</f>
        <v>11212.508632864912</v>
      </c>
      <c r="D14" s="5">
        <f>shock_OC!$E$4*s_ri!D14</f>
        <v>0</v>
      </c>
      <c r="E14" s="5">
        <f>shock_OC!$E$5*s_ri!E14</f>
        <v>0</v>
      </c>
      <c r="F14" s="5">
        <f>shock_OC!$E$6*s_ri!F14</f>
        <v>1.4771408714196185E-2</v>
      </c>
      <c r="G14" s="5">
        <f>shock_OC!$E$7*s_ri!G14</f>
        <v>13.50591282959291</v>
      </c>
      <c r="H14" s="5">
        <f t="shared" si="0"/>
        <v>11.251638122941422</v>
      </c>
      <c r="K14" s="6" t="s">
        <v>14</v>
      </c>
      <c r="L14" s="5">
        <f>shock_OC!$E$8*s_ri!K14</f>
        <v>-11.57426180891202</v>
      </c>
      <c r="M14" s="5">
        <f>shock_OC!$E$9*s_ri!L14</f>
        <v>-140.87756489092936</v>
      </c>
      <c r="N14" s="5">
        <f>shock_OC!$E$10*s_ri!M14</f>
        <v>0</v>
      </c>
      <c r="O14" s="5">
        <f>shock_OC!$E$11*s_ri!N14</f>
        <v>0</v>
      </c>
      <c r="P14" s="5">
        <f>shock_OC!$E$12*s_ri!O14</f>
        <v>7.6758033461204016E-3</v>
      </c>
      <c r="Q14" s="5">
        <f>shock_OC!$E$13*s_ri!P14</f>
        <v>0.4671075824337555</v>
      </c>
      <c r="R14" s="5">
        <f t="shared" si="1"/>
        <v>-0.15197704331406148</v>
      </c>
    </row>
    <row r="15" spans="1:18" x14ac:dyDescent="0.2">
      <c r="A15" s="6" t="s">
        <v>15</v>
      </c>
      <c r="B15" s="5">
        <f>shock_OC!$E$2*s_ri!B15</f>
        <v>30.239139196459149</v>
      </c>
      <c r="C15" s="5">
        <f>shock_OC!$E$3*s_ri!C15</f>
        <v>9085.4355264237056</v>
      </c>
      <c r="D15" s="5">
        <f>shock_OC!$E$4*s_ri!D15</f>
        <v>0</v>
      </c>
      <c r="E15" s="5">
        <f>shock_OC!$E$5*s_ri!E15</f>
        <v>0</v>
      </c>
      <c r="F15" s="5">
        <f>shock_OC!$E$6*s_ri!F15</f>
        <v>1.4195909253187623E-2</v>
      </c>
      <c r="G15" s="5">
        <f>shock_OC!$E$7*s_ri!G15</f>
        <v>15.322195474197924</v>
      </c>
      <c r="H15" s="5">
        <f t="shared" si="0"/>
        <v>9.1310110570036152</v>
      </c>
      <c r="K15" s="6" t="s">
        <v>15</v>
      </c>
      <c r="L15" s="5">
        <f>shock_OC!$E$8*s_ri!K15</f>
        <v>-17.244877237713958</v>
      </c>
      <c r="M15" s="5">
        <f>shock_OC!$E$9*s_ri!L15</f>
        <v>-111.07557539520798</v>
      </c>
      <c r="N15" s="5">
        <f>shock_OC!$E$10*s_ri!M15</f>
        <v>0</v>
      </c>
      <c r="O15" s="5">
        <f>shock_OC!$E$11*s_ri!N15</f>
        <v>0</v>
      </c>
      <c r="P15" s="5">
        <f>shock_OC!$E$12*s_ri!O15</f>
        <v>7.1782708877293601E-3</v>
      </c>
      <c r="Q15" s="5">
        <f>shock_OC!$E$13*s_ri!P15</f>
        <v>0.50648117559677996</v>
      </c>
      <c r="R15" s="5">
        <f t="shared" si="1"/>
        <v>-0.12780679318643742</v>
      </c>
    </row>
    <row r="16" spans="1:18" x14ac:dyDescent="0.2">
      <c r="A16" s="6" t="s">
        <v>16</v>
      </c>
      <c r="B16" s="5">
        <f>shock_OC!$E$2*s_ri!B16</f>
        <v>29.226233066253361</v>
      </c>
      <c r="C16" s="5">
        <f>shock_OC!$E$3*s_ri!C16</f>
        <v>6637.9233530744896</v>
      </c>
      <c r="D16" s="5">
        <f>shock_OC!$E$4*s_ri!D16</f>
        <v>0</v>
      </c>
      <c r="E16" s="5">
        <f>shock_OC!$E$5*s_ri!E16</f>
        <v>0</v>
      </c>
      <c r="F16" s="5">
        <f>shock_OC!$E$6*s_ri!F16</f>
        <v>1.7820444052994818E-2</v>
      </c>
      <c r="G16" s="5">
        <f>shock_OC!$E$7*s_ri!G16</f>
        <v>14.777031822156708</v>
      </c>
      <c r="H16" s="5">
        <f t="shared" si="0"/>
        <v>6.6819444384069522</v>
      </c>
      <c r="K16" s="6" t="s">
        <v>16</v>
      </c>
      <c r="L16" s="5">
        <f>shock_OC!$E$8*s_ri!K16</f>
        <v>-11.608599146754266</v>
      </c>
      <c r="M16" s="5">
        <f>shock_OC!$E$9*s_ri!L16</f>
        <v>-83.130668535616564</v>
      </c>
      <c r="N16" s="5">
        <f>shock_OC!$E$10*s_ri!M16</f>
        <v>0</v>
      </c>
      <c r="O16" s="5">
        <f>shock_OC!$E$11*s_ri!N16</f>
        <v>0</v>
      </c>
      <c r="P16" s="5">
        <f>shock_OC!$E$12*s_ri!O16</f>
        <v>7.9372535803876564E-3</v>
      </c>
      <c r="Q16" s="5">
        <f>shock_OC!$E$13*s_ri!P16</f>
        <v>0.53888274437917572</v>
      </c>
      <c r="R16" s="5">
        <f t="shared" si="1"/>
        <v>-9.4192447684411262E-2</v>
      </c>
    </row>
    <row r="17" spans="1:18" x14ac:dyDescent="0.2">
      <c r="A17" s="6" t="s">
        <v>17</v>
      </c>
      <c r="B17" s="5">
        <f>shock_OC!$E$2*s_ri!B17</f>
        <v>36.699665744525362</v>
      </c>
      <c r="C17" s="5">
        <f>shock_OC!$E$3*s_ri!C17</f>
        <v>8301.6340504395612</v>
      </c>
      <c r="D17" s="5">
        <f>shock_OC!$E$4*s_ri!D17</f>
        <v>0</v>
      </c>
      <c r="E17" s="5">
        <f>shock_OC!$E$5*s_ri!E17</f>
        <v>0</v>
      </c>
      <c r="F17" s="5">
        <f>shock_OC!$E$6*s_ri!F17</f>
        <v>1.1244686137888656E-2</v>
      </c>
      <c r="G17" s="5">
        <f>shock_OC!$E$7*s_ri!G17</f>
        <v>15.106904045914838</v>
      </c>
      <c r="H17" s="5">
        <f t="shared" si="0"/>
        <v>8.3534518649161402</v>
      </c>
      <c r="K17" s="6" t="s">
        <v>17</v>
      </c>
      <c r="L17" s="5">
        <f>shock_OC!$E$8*s_ri!K17</f>
        <v>-16.710768364655877</v>
      </c>
      <c r="M17" s="5">
        <f>shock_OC!$E$9*s_ri!L17</f>
        <v>-109.3921217488718</v>
      </c>
      <c r="N17" s="5">
        <f>shock_OC!$E$10*s_ri!M17</f>
        <v>0</v>
      </c>
      <c r="O17" s="5">
        <f>shock_OC!$E$11*s_ri!N17</f>
        <v>0</v>
      </c>
      <c r="P17" s="5">
        <f>shock_OC!$E$12*s_ri!O17</f>
        <v>3.2954411731021785E-3</v>
      </c>
      <c r="Q17" s="5">
        <f>shock_OC!$E$13*s_ri!P17</f>
        <v>0.63553803447536272</v>
      </c>
      <c r="R17" s="5">
        <f t="shared" si="1"/>
        <v>-0.12546405663787921</v>
      </c>
    </row>
    <row r="18" spans="1:18" x14ac:dyDescent="0.2">
      <c r="A18" s="6" t="s">
        <v>18</v>
      </c>
      <c r="B18" s="5">
        <f>shock_OC!$E$2*s_ri!B18</f>
        <v>33.993694642260543</v>
      </c>
      <c r="C18" s="5">
        <f>shock_OC!$E$3*s_ri!C18</f>
        <v>8941.6952498121464</v>
      </c>
      <c r="D18" s="5">
        <f>shock_OC!$E$4*s_ri!D18</f>
        <v>0</v>
      </c>
      <c r="E18" s="5">
        <f>shock_OC!$E$5*s_ri!E18</f>
        <v>0</v>
      </c>
      <c r="F18" s="5">
        <f>shock_OC!$E$6*s_ri!F18</f>
        <v>1.4841478906808885E-2</v>
      </c>
      <c r="G18" s="5">
        <f>shock_OC!$E$7*s_ri!G18</f>
        <v>15.239893758051799</v>
      </c>
      <c r="H18" s="5">
        <f t="shared" si="0"/>
        <v>8.990943679691366</v>
      </c>
      <c r="K18" s="6" t="s">
        <v>18</v>
      </c>
      <c r="L18" s="5">
        <f>shock_OC!$E$8*s_ri!K18</f>
        <v>-13.372058169357508</v>
      </c>
      <c r="M18" s="5">
        <f>shock_OC!$E$9*s_ri!L18</f>
        <v>-136.72221375119292</v>
      </c>
      <c r="N18" s="5">
        <f>shock_OC!$E$10*s_ri!M18</f>
        <v>0</v>
      </c>
      <c r="O18" s="5">
        <f>shock_OC!$E$11*s_ri!N18</f>
        <v>0</v>
      </c>
      <c r="P18" s="5">
        <f>shock_OC!$E$12*s_ri!O18</f>
        <v>7.8539445532900733E-3</v>
      </c>
      <c r="Q18" s="5">
        <f>shock_OC!$E$13*s_ri!P18</f>
        <v>0.51079176247824365</v>
      </c>
      <c r="R18" s="5">
        <f t="shared" si="1"/>
        <v>-0.14957562621351889</v>
      </c>
    </row>
    <row r="19" spans="1:18" x14ac:dyDescent="0.2">
      <c r="A19" s="6" t="s">
        <v>19</v>
      </c>
      <c r="B19" s="5">
        <f>shock_OC!$E$2*s_ri!B19</f>
        <v>26.490828645600413</v>
      </c>
      <c r="C19" s="5">
        <f>shock_OC!$E$3*s_ri!C19</f>
        <v>4751.3770332629756</v>
      </c>
      <c r="D19" s="5">
        <f>shock_OC!$E$4*s_ri!D19</f>
        <v>0</v>
      </c>
      <c r="E19" s="5">
        <f>shock_OC!$E$5*s_ri!E19</f>
        <v>0</v>
      </c>
      <c r="F19" s="5">
        <f>shock_OC!$E$6*s_ri!F19</f>
        <v>1.8881244071646236E-2</v>
      </c>
      <c r="G19" s="5">
        <f>shock_OC!$E$7*s_ri!G19</f>
        <v>16.389546993399961</v>
      </c>
      <c r="H19" s="5">
        <f t="shared" si="0"/>
        <v>4.7942762901460476</v>
      </c>
      <c r="K19" s="6" t="s">
        <v>19</v>
      </c>
      <c r="L19" s="5">
        <f>shock_OC!$E$8*s_ri!K19</f>
        <v>-10.696390139504826</v>
      </c>
      <c r="M19" s="5">
        <f>shock_OC!$E$9*s_ri!L19</f>
        <v>-70.003469293722858</v>
      </c>
      <c r="N19" s="5">
        <f>shock_OC!$E$10*s_ri!M19</f>
        <v>0</v>
      </c>
      <c r="O19" s="5">
        <f>shock_OC!$E$11*s_ri!N19</f>
        <v>0</v>
      </c>
      <c r="P19" s="5">
        <f>shock_OC!$E$12*s_ri!O19</f>
        <v>7.1566083255133039E-3</v>
      </c>
      <c r="Q19" s="5">
        <f>shock_OC!$E$13*s_ri!P19</f>
        <v>0.61202060282209547</v>
      </c>
      <c r="R19" s="5">
        <f t="shared" si="1"/>
        <v>-8.0080682222080077E-2</v>
      </c>
    </row>
    <row r="20" spans="1:18" x14ac:dyDescent="0.2">
      <c r="A20" s="6" t="s">
        <v>20</v>
      </c>
      <c r="B20" s="5">
        <f>shock_OC!$E$2*s_ri!B20</f>
        <v>26.85549589969564</v>
      </c>
      <c r="C20" s="5">
        <f>shock_OC!$E$3*s_ri!C20</f>
        <v>7697.0898222473743</v>
      </c>
      <c r="D20" s="5">
        <f>shock_OC!$E$4*s_ri!D20</f>
        <v>0</v>
      </c>
      <c r="E20" s="5">
        <f>shock_OC!$E$5*s_ri!E20</f>
        <v>0</v>
      </c>
      <c r="F20" s="5">
        <f>shock_OC!$E$6*s_ri!F20</f>
        <v>1.8752771935671764E-2</v>
      </c>
      <c r="G20" s="5">
        <f>shock_OC!$E$7*s_ri!G20</f>
        <v>15.294540782120563</v>
      </c>
      <c r="H20" s="5">
        <f t="shared" si="0"/>
        <v>7.7392586117011257</v>
      </c>
      <c r="K20" s="6" t="s">
        <v>20</v>
      </c>
      <c r="L20" s="5">
        <f>shock_OC!$E$8*s_ri!K20</f>
        <v>-14.497518200314419</v>
      </c>
      <c r="M20" s="5">
        <f>shock_OC!$E$9*s_ri!L20</f>
        <v>-101.87768576019808</v>
      </c>
      <c r="N20" s="5">
        <f>shock_OC!$E$10*s_ri!M20</f>
        <v>0</v>
      </c>
      <c r="O20" s="5">
        <f>shock_OC!$E$11*s_ri!N20</f>
        <v>0</v>
      </c>
      <c r="P20" s="5">
        <f>shock_OC!$E$12*s_ri!O20</f>
        <v>8.8868362580391443E-3</v>
      </c>
      <c r="Q20" s="5">
        <f>shock_OC!$E$13*s_ri!P20</f>
        <v>0.51815333349705084</v>
      </c>
      <c r="R20" s="5">
        <f t="shared" si="1"/>
        <v>-0.11584816379075739</v>
      </c>
    </row>
    <row r="21" spans="1:18" x14ac:dyDescent="0.2">
      <c r="A21" s="6" t="s">
        <v>21</v>
      </c>
      <c r="B21" s="5">
        <f>shock_OC!$E$2*s_ri!B21</f>
        <v>30.405600334336587</v>
      </c>
      <c r="C21" s="5">
        <f>shock_OC!$E$3*s_ri!C21</f>
        <v>9264.66787141239</v>
      </c>
      <c r="D21" s="5">
        <f>shock_OC!$E$4*s_ri!D21</f>
        <v>0</v>
      </c>
      <c r="E21" s="5">
        <f>shock_OC!$E$5*s_ri!E21</f>
        <v>0</v>
      </c>
      <c r="F21" s="5">
        <f>shock_OC!$E$6*s_ri!F21</f>
        <v>1.3117702536282709E-2</v>
      </c>
      <c r="G21" s="5">
        <f>shock_OC!$E$7*s_ri!G21</f>
        <v>15.253923825189583</v>
      </c>
      <c r="H21" s="5">
        <f t="shared" si="0"/>
        <v>9.3103405132744523</v>
      </c>
      <c r="K21" s="6" t="s">
        <v>21</v>
      </c>
      <c r="L21" s="5">
        <f>shock_OC!$E$8*s_ri!K21</f>
        <v>-20.901415450031717</v>
      </c>
      <c r="M21" s="5">
        <f>shock_OC!$E$9*s_ri!L21</f>
        <v>-133.40599312706237</v>
      </c>
      <c r="N21" s="5">
        <f>shock_OC!$E$10*s_ri!M21</f>
        <v>0</v>
      </c>
      <c r="O21" s="5">
        <f>shock_OC!$E$11*s_ri!N21</f>
        <v>0</v>
      </c>
      <c r="P21" s="5">
        <f>shock_OC!$E$12*s_ri!O21</f>
        <v>6.4008400750685222E-3</v>
      </c>
      <c r="Q21" s="5">
        <f>shock_OC!$E$13*s_ri!P21</f>
        <v>0.51595896391209595</v>
      </c>
      <c r="R21" s="5">
        <f t="shared" si="1"/>
        <v>-0.15378504877310695</v>
      </c>
    </row>
    <row r="22" spans="1:18" x14ac:dyDescent="0.2">
      <c r="A22" s="6" t="s">
        <v>22</v>
      </c>
      <c r="B22" s="5">
        <f>shock_OC!$E$2*s_ri!B22</f>
        <v>13.454624184264578</v>
      </c>
      <c r="C22" s="5">
        <f>shock_OC!$E$3*s_ri!C22</f>
        <v>10414.1991358709</v>
      </c>
      <c r="D22" s="5">
        <f>shock_OC!$E$4*s_ri!D22</f>
        <v>0</v>
      </c>
      <c r="E22" s="5">
        <f>shock_OC!$E$5*s_ri!E22</f>
        <v>0</v>
      </c>
      <c r="F22" s="5">
        <f>shock_OC!$E$6*s_ri!F22</f>
        <v>2.1156750637929562E-2</v>
      </c>
      <c r="G22" s="5">
        <f>shock_OC!$E$7*s_ri!G22</f>
        <v>13.339244339839119</v>
      </c>
      <c r="H22" s="5">
        <f t="shared" si="0"/>
        <v>10.441014161145642</v>
      </c>
      <c r="K22" s="6" t="s">
        <v>22</v>
      </c>
      <c r="L22" s="5">
        <f>shock_OC!$E$8*s_ri!K22</f>
        <v>-7.8256769065475433</v>
      </c>
      <c r="M22" s="5">
        <f>shock_OC!$E$9*s_ri!L22</f>
        <v>-126.12912992798022</v>
      </c>
      <c r="N22" s="5">
        <f>shock_OC!$E$10*s_ri!M22</f>
        <v>0</v>
      </c>
      <c r="O22" s="5">
        <f>shock_OC!$E$11*s_ri!N22</f>
        <v>0</v>
      </c>
      <c r="P22" s="5">
        <f>shock_OC!$E$12*s_ri!O22</f>
        <v>8.9889763978716532E-3</v>
      </c>
      <c r="Q22" s="5">
        <f>shock_OC!$E$13*s_ri!P22</f>
        <v>0.4694082285144765</v>
      </c>
      <c r="R22" s="5">
        <f t="shared" si="1"/>
        <v>-0.13347640962961543</v>
      </c>
    </row>
    <row r="23" spans="1:18" x14ac:dyDescent="0.2">
      <c r="A23" s="6" t="s">
        <v>23</v>
      </c>
      <c r="B23" s="5">
        <f>shock_OC!$E$2*s_ri!B23</f>
        <v>9.2909411090785579</v>
      </c>
      <c r="C23" s="5">
        <f>shock_OC!$E$3*s_ri!C23</f>
        <v>5504.7105182363475</v>
      </c>
      <c r="D23" s="5">
        <f>shock_OC!$E$4*s_ri!D23</f>
        <v>0</v>
      </c>
      <c r="E23" s="5">
        <f>shock_OC!$E$5*s_ri!E23</f>
        <v>0</v>
      </c>
      <c r="F23" s="5">
        <f>shock_OC!$E$6*s_ri!F23</f>
        <v>2.0087976144692665E-2</v>
      </c>
      <c r="G23" s="5">
        <f>shock_OC!$E$7*s_ri!G23</f>
        <v>16.198201988974123</v>
      </c>
      <c r="H23" s="5">
        <f t="shared" si="0"/>
        <v>5.5302197493105449</v>
      </c>
      <c r="K23" s="6" t="s">
        <v>23</v>
      </c>
      <c r="L23" s="5">
        <f>shock_OC!$E$8*s_ri!K23</f>
        <v>-6.4468107981800546</v>
      </c>
      <c r="M23" s="5">
        <f>shock_OC!$E$9*s_ri!L23</f>
        <v>-74.491521384035792</v>
      </c>
      <c r="N23" s="5">
        <f>shock_OC!$E$10*s_ri!M23</f>
        <v>0</v>
      </c>
      <c r="O23" s="5">
        <f>shock_OC!$E$11*s_ri!N23</f>
        <v>0</v>
      </c>
      <c r="P23" s="5">
        <f>shock_OC!$E$12*s_ri!O23</f>
        <v>9.6500003037308258E-3</v>
      </c>
      <c r="Q23" s="5">
        <f>shock_OC!$E$13*s_ri!P23</f>
        <v>0.53544817785983023</v>
      </c>
      <c r="R23" s="5">
        <f t="shared" si="1"/>
        <v>-8.039323400405228E-2</v>
      </c>
    </row>
    <row r="24" spans="1:18" x14ac:dyDescent="0.2">
      <c r="A24" s="6" t="s">
        <v>24</v>
      </c>
      <c r="B24" s="5">
        <f>shock_OC!$E$2*s_ri!B24</f>
        <v>0</v>
      </c>
      <c r="C24" s="5">
        <f>shock_OC!$E$3*s_ri!C24</f>
        <v>0</v>
      </c>
      <c r="D24" s="5">
        <f>shock_OC!$E$4*s_ri!D24</f>
        <v>0</v>
      </c>
      <c r="E24" s="5">
        <f>shock_OC!$E$5*s_ri!E24</f>
        <v>0</v>
      </c>
      <c r="F24" s="5">
        <f>shock_OC!$E$6*s_ri!F24</f>
        <v>0</v>
      </c>
      <c r="G24" s="5">
        <f>shock_OC!$E$7*s_ri!G24</f>
        <v>25.420799444534879</v>
      </c>
      <c r="H24" s="5">
        <f t="shared" si="0"/>
        <v>2.5420799444534879E-2</v>
      </c>
      <c r="K24" s="6" t="s">
        <v>24</v>
      </c>
      <c r="L24" s="5">
        <f>shock_OC!$E$8*s_ri!K24</f>
        <v>0</v>
      </c>
      <c r="M24" s="5">
        <f>shock_OC!$E$9*s_ri!L24</f>
        <v>-119.32970239297825</v>
      </c>
      <c r="N24" s="5">
        <f>shock_OC!$E$10*s_ri!M24</f>
        <v>0</v>
      </c>
      <c r="O24" s="5">
        <f>shock_OC!$E$11*s_ri!N24</f>
        <v>0</v>
      </c>
      <c r="P24" s="5">
        <f>shock_OC!$E$12*s_ri!O24</f>
        <v>7.27709069620581E-3</v>
      </c>
      <c r="Q24" s="5">
        <f>shock_OC!$E$13*s_ri!P24</f>
        <v>0.50844923711585277</v>
      </c>
      <c r="R24" s="5">
        <f t="shared" si="1"/>
        <v>-0.11881397606516619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IPW_r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2026-04-03T10:34:45Z</dcterms:created>
  <dcterms:modified xsi:type="dcterms:W3CDTF">2026-04-13T23:48:14Z</dcterms:modified>
</cp:coreProperties>
</file>