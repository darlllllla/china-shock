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netherlands/"/>
    </mc:Choice>
  </mc:AlternateContent>
  <xr:revisionPtr revIDLastSave="0" documentId="13_ncr:1_{AFA2F107-AB53-8842-9B21-7E8D60AE5486}" xr6:coauthVersionLast="47" xr6:coauthVersionMax="47" xr10:uidLastSave="{00000000-0000-0000-0000-000000000000}"/>
  <bookViews>
    <workbookView xWindow="0" yWindow="740" windowWidth="29400" windowHeight="16640" activeTab="1" xr2:uid="{B4D76EE0-75A7-B144-BCCF-18B1B5D4FF80}"/>
  </bookViews>
  <sheets>
    <sheet name="employment" sheetId="1" r:id="rId1"/>
    <sheet name="import" sheetId="2" r:id="rId2"/>
    <sheet name="L_i" sheetId="3" r:id="rId3"/>
    <sheet name="delta_M" sheetId="4" r:id="rId4"/>
    <sheet name="shock_i" sheetId="5" r:id="rId5"/>
    <sheet name="L_r" sheetId="6" r:id="rId6"/>
    <sheet name="s_ri" sheetId="7" r:id="rId7"/>
    <sheet name="IPW_i" sheetId="8" r:id="rId8"/>
    <sheet name="import OC" sheetId="9" r:id="rId9"/>
    <sheet name="delta_M_OC" sheetId="10" r:id="rId10"/>
    <sheet name="shock_OC" sheetId="11" r:id="rId11"/>
    <sheet name="IPW_OC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1" l="1"/>
  <c r="C10" i="11"/>
  <c r="C11" i="11"/>
  <c r="C12" i="11"/>
  <c r="C13" i="11"/>
  <c r="C8" i="11"/>
  <c r="C3" i="11"/>
  <c r="C4" i="11"/>
  <c r="C5" i="11"/>
  <c r="C6" i="11"/>
  <c r="C7" i="11"/>
  <c r="C2" i="11"/>
  <c r="C9" i="4"/>
  <c r="C10" i="4"/>
  <c r="C11" i="4"/>
  <c r="C12" i="4"/>
  <c r="C13" i="4"/>
  <c r="C8" i="4"/>
  <c r="C3" i="4"/>
  <c r="C4" i="4"/>
  <c r="C5" i="4"/>
  <c r="C6" i="4"/>
  <c r="C7" i="4"/>
  <c r="C2" i="4"/>
  <c r="D13" i="11" l="1"/>
  <c r="E13" i="11" s="1"/>
  <c r="D12" i="11"/>
  <c r="D11" i="11"/>
  <c r="D10" i="11"/>
  <c r="E10" i="11" s="1"/>
  <c r="D9" i="11"/>
  <c r="E9" i="11" s="1"/>
  <c r="D8" i="11"/>
  <c r="E8" i="11" s="1"/>
  <c r="D7" i="11"/>
  <c r="D6" i="11"/>
  <c r="E6" i="11" s="1"/>
  <c r="D5" i="11"/>
  <c r="E5" i="11"/>
  <c r="D4" i="11"/>
  <c r="D3" i="11"/>
  <c r="D2" i="11"/>
  <c r="E2" i="11" s="1"/>
  <c r="C13" i="10"/>
  <c r="C12" i="10"/>
  <c r="C11" i="10"/>
  <c r="C10" i="10"/>
  <c r="C9" i="10"/>
  <c r="C8" i="10"/>
  <c r="C7" i="10"/>
  <c r="C6" i="10"/>
  <c r="C5" i="10"/>
  <c r="C4" i="10"/>
  <c r="C3" i="10"/>
  <c r="C2" i="10"/>
  <c r="W40" i="9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S9" i="6"/>
  <c r="H5" i="6"/>
  <c r="C5" i="7" s="1"/>
  <c r="M4" i="6"/>
  <c r="N4" i="6"/>
  <c r="O4" i="6"/>
  <c r="P4" i="6"/>
  <c r="Q4" i="6"/>
  <c r="R4" i="6"/>
  <c r="M5" i="6"/>
  <c r="S5" i="6" s="1"/>
  <c r="N5" i="6"/>
  <c r="L5" i="7" s="1"/>
  <c r="O5" i="6"/>
  <c r="M5" i="7" s="1"/>
  <c r="P5" i="6"/>
  <c r="N5" i="7" s="1"/>
  <c r="Q5" i="6"/>
  <c r="O5" i="7" s="1"/>
  <c r="R5" i="6"/>
  <c r="P5" i="7" s="1"/>
  <c r="M6" i="6"/>
  <c r="S6" i="6" s="1"/>
  <c r="K6" i="7" s="1"/>
  <c r="N6" i="6"/>
  <c r="L6" i="7" s="1"/>
  <c r="O6" i="6"/>
  <c r="P6" i="6"/>
  <c r="Q6" i="6"/>
  <c r="R6" i="6"/>
  <c r="M7" i="6"/>
  <c r="N7" i="6"/>
  <c r="O7" i="6"/>
  <c r="P7" i="6"/>
  <c r="Q7" i="6"/>
  <c r="R7" i="6"/>
  <c r="M8" i="6"/>
  <c r="N8" i="6"/>
  <c r="O8" i="6"/>
  <c r="P8" i="6"/>
  <c r="Q8" i="6"/>
  <c r="R8" i="6"/>
  <c r="M9" i="6"/>
  <c r="K9" i="7" s="1"/>
  <c r="N9" i="6"/>
  <c r="L9" i="7" s="1"/>
  <c r="O9" i="6"/>
  <c r="M9" i="7" s="1"/>
  <c r="P9" i="6"/>
  <c r="N9" i="7" s="1"/>
  <c r="Q9" i="6"/>
  <c r="O9" i="7" s="1"/>
  <c r="R9" i="6"/>
  <c r="P9" i="7" s="1"/>
  <c r="M10" i="6"/>
  <c r="N10" i="6"/>
  <c r="O10" i="6"/>
  <c r="P10" i="6"/>
  <c r="Q10" i="6"/>
  <c r="R10" i="6"/>
  <c r="M11" i="6"/>
  <c r="N11" i="6"/>
  <c r="O11" i="6"/>
  <c r="S11" i="6" s="1"/>
  <c r="P11" i="6"/>
  <c r="N11" i="7" s="1"/>
  <c r="Q11" i="6"/>
  <c r="R11" i="6"/>
  <c r="M12" i="6"/>
  <c r="N12" i="6"/>
  <c r="O12" i="6"/>
  <c r="P12" i="6"/>
  <c r="Q12" i="6"/>
  <c r="R12" i="6"/>
  <c r="M13" i="6"/>
  <c r="S13" i="6" s="1"/>
  <c r="N13" i="6"/>
  <c r="L13" i="7" s="1"/>
  <c r="O13" i="6"/>
  <c r="M13" i="7" s="1"/>
  <c r="P13" i="6"/>
  <c r="N13" i="7" s="1"/>
  <c r="Q13" i="6"/>
  <c r="O13" i="7" s="1"/>
  <c r="R13" i="6"/>
  <c r="P13" i="7" s="1"/>
  <c r="M14" i="6"/>
  <c r="N14" i="6"/>
  <c r="O14" i="6"/>
  <c r="P14" i="6"/>
  <c r="Q14" i="6"/>
  <c r="R14" i="6"/>
  <c r="B4" i="6"/>
  <c r="C4" i="6"/>
  <c r="D4" i="6"/>
  <c r="H4" i="6" s="1"/>
  <c r="E4" i="6"/>
  <c r="E4" i="7" s="1"/>
  <c r="F4" i="6"/>
  <c r="G4" i="6"/>
  <c r="B5" i="6"/>
  <c r="B5" i="7" s="1"/>
  <c r="C5" i="6"/>
  <c r="D5" i="6"/>
  <c r="D5" i="7" s="1"/>
  <c r="E5" i="6"/>
  <c r="E5" i="7" s="1"/>
  <c r="F5" i="6"/>
  <c r="F5" i="7" s="1"/>
  <c r="G5" i="6"/>
  <c r="G5" i="7" s="1"/>
  <c r="B6" i="6"/>
  <c r="H6" i="6" s="1"/>
  <c r="C6" i="6"/>
  <c r="D6" i="6"/>
  <c r="D6" i="7" s="1"/>
  <c r="E6" i="6"/>
  <c r="F6" i="6"/>
  <c r="F6" i="7" s="1"/>
  <c r="G6" i="6"/>
  <c r="G6" i="7" s="1"/>
  <c r="B7" i="6"/>
  <c r="C7" i="6"/>
  <c r="D7" i="6"/>
  <c r="E7" i="6"/>
  <c r="F7" i="6"/>
  <c r="G7" i="6"/>
  <c r="B8" i="6"/>
  <c r="C8" i="6"/>
  <c r="D8" i="6"/>
  <c r="E8" i="6"/>
  <c r="F8" i="6"/>
  <c r="G8" i="6"/>
  <c r="B9" i="6"/>
  <c r="H9" i="6" s="1"/>
  <c r="C9" i="7" s="1"/>
  <c r="C9" i="6"/>
  <c r="D9" i="6"/>
  <c r="D9" i="7" s="1"/>
  <c r="E9" i="6"/>
  <c r="E9" i="7" s="1"/>
  <c r="F9" i="6"/>
  <c r="F9" i="7" s="1"/>
  <c r="G9" i="6"/>
  <c r="G9" i="7" s="1"/>
  <c r="B10" i="6"/>
  <c r="H10" i="6" s="1"/>
  <c r="C10" i="6"/>
  <c r="D10" i="6"/>
  <c r="D10" i="7" s="1"/>
  <c r="E10" i="6"/>
  <c r="F10" i="6"/>
  <c r="F10" i="7" s="1"/>
  <c r="G10" i="6"/>
  <c r="G10" i="7" s="1"/>
  <c r="B11" i="6"/>
  <c r="H11" i="6" s="1"/>
  <c r="C11" i="6"/>
  <c r="C11" i="7" s="1"/>
  <c r="D11" i="6"/>
  <c r="E11" i="6"/>
  <c r="F11" i="6"/>
  <c r="G11" i="6"/>
  <c r="B12" i="6"/>
  <c r="C12" i="6"/>
  <c r="D12" i="6"/>
  <c r="E12" i="6"/>
  <c r="F12" i="6"/>
  <c r="G12" i="6"/>
  <c r="B13" i="6"/>
  <c r="C13" i="6"/>
  <c r="D13" i="6"/>
  <c r="E13" i="6"/>
  <c r="F13" i="6"/>
  <c r="G13" i="6"/>
  <c r="B14" i="6"/>
  <c r="H14" i="6" s="1"/>
  <c r="C14" i="6"/>
  <c r="D14" i="6"/>
  <c r="D14" i="7" s="1"/>
  <c r="E14" i="6"/>
  <c r="F14" i="6"/>
  <c r="F14" i="7" s="1"/>
  <c r="G14" i="6"/>
  <c r="G14" i="7" s="1"/>
  <c r="R3" i="6"/>
  <c r="G3" i="6"/>
  <c r="G3" i="7" s="1"/>
  <c r="Q3" i="6"/>
  <c r="F3" i="6"/>
  <c r="P3" i="6"/>
  <c r="E3" i="6"/>
  <c r="O3" i="6"/>
  <c r="D3" i="6"/>
  <c r="D3" i="7" s="1"/>
  <c r="N3" i="6"/>
  <c r="C3" i="6"/>
  <c r="C3" i="7" s="1"/>
  <c r="M3" i="6"/>
  <c r="B3" i="6"/>
  <c r="H3" i="6" s="1"/>
  <c r="D9" i="5"/>
  <c r="D10" i="5"/>
  <c r="D11" i="5"/>
  <c r="D12" i="5"/>
  <c r="D13" i="5"/>
  <c r="D8" i="5"/>
  <c r="D3" i="5"/>
  <c r="D4" i="5"/>
  <c r="D5" i="5"/>
  <c r="D6" i="5"/>
  <c r="D7" i="5"/>
  <c r="L6" i="12" l="1"/>
  <c r="L10" i="12"/>
  <c r="L14" i="12"/>
  <c r="L11" i="12"/>
  <c r="L5" i="12"/>
  <c r="L9" i="12"/>
  <c r="L13" i="12"/>
  <c r="L4" i="12"/>
  <c r="L3" i="12"/>
  <c r="L8" i="12"/>
  <c r="L12" i="12"/>
  <c r="L7" i="12"/>
  <c r="B4" i="12"/>
  <c r="B8" i="12"/>
  <c r="B12" i="12"/>
  <c r="B13" i="12"/>
  <c r="B3" i="12"/>
  <c r="B7" i="12"/>
  <c r="B11" i="12"/>
  <c r="B6" i="12"/>
  <c r="B5" i="12"/>
  <c r="B9" i="12"/>
  <c r="B10" i="12"/>
  <c r="B14" i="12"/>
  <c r="F6" i="12"/>
  <c r="F10" i="12"/>
  <c r="F14" i="12"/>
  <c r="F9" i="12"/>
  <c r="F13" i="12"/>
  <c r="F8" i="12"/>
  <c r="F12" i="12"/>
  <c r="F5" i="12"/>
  <c r="F3" i="12"/>
  <c r="F4" i="12"/>
  <c r="F11" i="12"/>
  <c r="F7" i="12"/>
  <c r="N7" i="12"/>
  <c r="N11" i="12"/>
  <c r="N8" i="12"/>
  <c r="N3" i="12"/>
  <c r="N6" i="12"/>
  <c r="N10" i="12"/>
  <c r="N14" i="12"/>
  <c r="N9" i="12"/>
  <c r="N13" i="12"/>
  <c r="N12" i="12"/>
  <c r="N5" i="12"/>
  <c r="N4" i="12"/>
  <c r="E3" i="11"/>
  <c r="E11" i="11"/>
  <c r="E4" i="11"/>
  <c r="E5" i="12"/>
  <c r="E9" i="12"/>
  <c r="E13" i="12"/>
  <c r="E7" i="12"/>
  <c r="E6" i="12"/>
  <c r="E4" i="12"/>
  <c r="E8" i="12"/>
  <c r="E12" i="12"/>
  <c r="E3" i="12"/>
  <c r="E11" i="12"/>
  <c r="E10" i="12"/>
  <c r="E14" i="12"/>
  <c r="E12" i="11"/>
  <c r="E7" i="11"/>
  <c r="M11" i="12"/>
  <c r="M6" i="12"/>
  <c r="M10" i="12"/>
  <c r="M14" i="12"/>
  <c r="M3" i="12"/>
  <c r="M4" i="12"/>
  <c r="M8" i="12"/>
  <c r="M12" i="12"/>
  <c r="M5" i="12"/>
  <c r="M9" i="12"/>
  <c r="M13" i="12"/>
  <c r="M7" i="12"/>
  <c r="Q4" i="12"/>
  <c r="Q8" i="12"/>
  <c r="Q12" i="12"/>
  <c r="Q6" i="12"/>
  <c r="Q10" i="12"/>
  <c r="Q14" i="12"/>
  <c r="Q13" i="12"/>
  <c r="Q7" i="12"/>
  <c r="Q11" i="12"/>
  <c r="Q5" i="12"/>
  <c r="Q9" i="12"/>
  <c r="Q3" i="12"/>
  <c r="E8" i="7"/>
  <c r="D11" i="7"/>
  <c r="E11" i="7"/>
  <c r="G11" i="7"/>
  <c r="C4" i="7"/>
  <c r="P12" i="7"/>
  <c r="L11" i="7"/>
  <c r="P14" i="7"/>
  <c r="F11" i="7"/>
  <c r="K4" i="7"/>
  <c r="P3" i="7"/>
  <c r="F4" i="7"/>
  <c r="G4" i="7"/>
  <c r="O12" i="7"/>
  <c r="O8" i="7"/>
  <c r="C8" i="7"/>
  <c r="N8" i="7"/>
  <c r="B4" i="7"/>
  <c r="M12" i="7"/>
  <c r="K11" i="7"/>
  <c r="M4" i="7"/>
  <c r="L12" i="7"/>
  <c r="P6" i="7"/>
  <c r="L4" i="7"/>
  <c r="O14" i="7"/>
  <c r="E3" i="7"/>
  <c r="F3" i="7"/>
  <c r="P11" i="7"/>
  <c r="N6" i="7"/>
  <c r="P8" i="7"/>
  <c r="P4" i="7"/>
  <c r="D8" i="7"/>
  <c r="E8" i="5"/>
  <c r="B8" i="7"/>
  <c r="E4" i="5"/>
  <c r="O6" i="7"/>
  <c r="E10" i="5"/>
  <c r="B14" i="7"/>
  <c r="C14" i="7"/>
  <c r="E14" i="7"/>
  <c r="E10" i="7"/>
  <c r="B10" i="7"/>
  <c r="C10" i="7"/>
  <c r="E6" i="7"/>
  <c r="B6" i="7"/>
  <c r="C6" i="7"/>
  <c r="M14" i="7"/>
  <c r="O11" i="7"/>
  <c r="M6" i="7"/>
  <c r="B3" i="7"/>
  <c r="H12" i="6"/>
  <c r="D12" i="7" s="1"/>
  <c r="S8" i="6"/>
  <c r="L8" i="7" s="1"/>
  <c r="M11" i="7"/>
  <c r="H7" i="6"/>
  <c r="B7" i="7" s="1"/>
  <c r="S10" i="6"/>
  <c r="P10" i="7" s="1"/>
  <c r="B9" i="7"/>
  <c r="K13" i="7"/>
  <c r="K5" i="7"/>
  <c r="S3" i="6"/>
  <c r="S14" i="6"/>
  <c r="N14" i="7" s="1"/>
  <c r="B11" i="7"/>
  <c r="D4" i="7"/>
  <c r="H13" i="6"/>
  <c r="C13" i="7" s="1"/>
  <c r="S7" i="6"/>
  <c r="N7" i="7" s="1"/>
  <c r="H8" i="6"/>
  <c r="S12" i="6"/>
  <c r="N12" i="7" s="1"/>
  <c r="S4" i="6"/>
  <c r="N4" i="7" s="1"/>
  <c r="D2" i="5"/>
  <c r="C25" i="3"/>
  <c r="C19" i="3"/>
  <c r="C13" i="5" s="1"/>
  <c r="E13" i="5" s="1"/>
  <c r="C13" i="3"/>
  <c r="C7" i="3"/>
  <c r="C7" i="5" s="1"/>
  <c r="E7" i="5" s="1"/>
  <c r="C24" i="3"/>
  <c r="C18" i="3"/>
  <c r="C12" i="5" s="1"/>
  <c r="E12" i="5" s="1"/>
  <c r="C12" i="3"/>
  <c r="C6" i="3"/>
  <c r="C6" i="5" s="1"/>
  <c r="E6" i="5" s="1"/>
  <c r="C23" i="3"/>
  <c r="C17" i="3"/>
  <c r="C11" i="5" s="1"/>
  <c r="E11" i="5" s="1"/>
  <c r="C11" i="3"/>
  <c r="C5" i="3"/>
  <c r="C5" i="5" s="1"/>
  <c r="E5" i="5" s="1"/>
  <c r="C22" i="3"/>
  <c r="C16" i="3"/>
  <c r="C10" i="5" s="1"/>
  <c r="C10" i="3"/>
  <c r="C4" i="3"/>
  <c r="C4" i="5" s="1"/>
  <c r="C21" i="3"/>
  <c r="C15" i="3"/>
  <c r="C9" i="5" s="1"/>
  <c r="E9" i="5" s="1"/>
  <c r="C9" i="3"/>
  <c r="C3" i="3"/>
  <c r="C3" i="5" s="1"/>
  <c r="E3" i="5" s="1"/>
  <c r="C20" i="3"/>
  <c r="C14" i="3"/>
  <c r="C8" i="5" s="1"/>
  <c r="C8" i="3"/>
  <c r="C2" i="3"/>
  <c r="C2" i="5" s="1"/>
  <c r="P4" i="12" l="1"/>
  <c r="P8" i="12"/>
  <c r="P12" i="12"/>
  <c r="P13" i="12"/>
  <c r="P7" i="12"/>
  <c r="P11" i="12"/>
  <c r="P14" i="12"/>
  <c r="P5" i="12"/>
  <c r="P9" i="12"/>
  <c r="P6" i="12"/>
  <c r="P10" i="12"/>
  <c r="P3" i="12"/>
  <c r="D5" i="12"/>
  <c r="D9" i="12"/>
  <c r="D13" i="12"/>
  <c r="H13" i="12" s="1"/>
  <c r="D6" i="12"/>
  <c r="D10" i="12"/>
  <c r="D4" i="12"/>
  <c r="D8" i="12"/>
  <c r="D12" i="12"/>
  <c r="D3" i="12"/>
  <c r="D14" i="12"/>
  <c r="D7" i="12"/>
  <c r="D11" i="12"/>
  <c r="O3" i="12"/>
  <c r="R3" i="12" s="1"/>
  <c r="O7" i="12"/>
  <c r="R7" i="12" s="1"/>
  <c r="O11" i="12"/>
  <c r="O9" i="12"/>
  <c r="O4" i="12"/>
  <c r="O8" i="12"/>
  <c r="O6" i="12"/>
  <c r="O10" i="12"/>
  <c r="O14" i="12"/>
  <c r="O5" i="12"/>
  <c r="O13" i="12"/>
  <c r="R13" i="12" s="1"/>
  <c r="O12" i="12"/>
  <c r="G7" i="12"/>
  <c r="G11" i="12"/>
  <c r="G6" i="12"/>
  <c r="G10" i="12"/>
  <c r="G14" i="12"/>
  <c r="G3" i="12"/>
  <c r="G4" i="12"/>
  <c r="G12" i="12"/>
  <c r="G5" i="12"/>
  <c r="G9" i="12"/>
  <c r="G13" i="12"/>
  <c r="G8" i="12"/>
  <c r="C4" i="12"/>
  <c r="C8" i="12"/>
  <c r="H8" i="12" s="1"/>
  <c r="C12" i="12"/>
  <c r="H12" i="12" s="1"/>
  <c r="C10" i="12"/>
  <c r="H10" i="12" s="1"/>
  <c r="C9" i="12"/>
  <c r="H9" i="12" s="1"/>
  <c r="C13" i="12"/>
  <c r="C7" i="12"/>
  <c r="H7" i="12" s="1"/>
  <c r="C11" i="12"/>
  <c r="H11" i="12" s="1"/>
  <c r="C6" i="12"/>
  <c r="H6" i="12" s="1"/>
  <c r="C14" i="12"/>
  <c r="H14" i="12" s="1"/>
  <c r="C5" i="12"/>
  <c r="H5" i="12" s="1"/>
  <c r="C3" i="12"/>
  <c r="O5" i="8"/>
  <c r="O13" i="8"/>
  <c r="O11" i="8"/>
  <c r="O8" i="8"/>
  <c r="O10" i="8"/>
  <c r="O7" i="8"/>
  <c r="O3" i="8"/>
  <c r="O9" i="8"/>
  <c r="O6" i="8"/>
  <c r="O14" i="8"/>
  <c r="O4" i="8"/>
  <c r="O12" i="8"/>
  <c r="Q11" i="8"/>
  <c r="Q3" i="8"/>
  <c r="Q7" i="8"/>
  <c r="Q12" i="8"/>
  <c r="Q6" i="8"/>
  <c r="Q14" i="8"/>
  <c r="Q8" i="8"/>
  <c r="Q5" i="8"/>
  <c r="Q13" i="8"/>
  <c r="Q9" i="8"/>
  <c r="Q10" i="8"/>
  <c r="Q4" i="8"/>
  <c r="N10" i="8"/>
  <c r="N6" i="8"/>
  <c r="N14" i="8"/>
  <c r="N8" i="8"/>
  <c r="N7" i="8"/>
  <c r="N4" i="8"/>
  <c r="N12" i="8"/>
  <c r="N11" i="8"/>
  <c r="N5" i="8"/>
  <c r="N13" i="8"/>
  <c r="N9" i="8"/>
  <c r="N3" i="8"/>
  <c r="P8" i="8"/>
  <c r="P4" i="8"/>
  <c r="P12" i="8"/>
  <c r="P11" i="8"/>
  <c r="P5" i="8"/>
  <c r="P13" i="8"/>
  <c r="P3" i="8"/>
  <c r="P10" i="8"/>
  <c r="P9" i="8"/>
  <c r="P7" i="8"/>
  <c r="P6" i="8"/>
  <c r="P14" i="8"/>
  <c r="M7" i="8"/>
  <c r="M11" i="8"/>
  <c r="M3" i="8"/>
  <c r="M4" i="8"/>
  <c r="M12" i="8"/>
  <c r="M8" i="8"/>
  <c r="M5" i="8"/>
  <c r="M13" i="8"/>
  <c r="M9" i="8"/>
  <c r="M10" i="8"/>
  <c r="M6" i="8"/>
  <c r="M14" i="8"/>
  <c r="L7" i="8"/>
  <c r="L11" i="8"/>
  <c r="L6" i="8"/>
  <c r="R6" i="8" s="1"/>
  <c r="L10" i="8"/>
  <c r="L14" i="8"/>
  <c r="L5" i="8"/>
  <c r="L9" i="8"/>
  <c r="L13" i="8"/>
  <c r="L3" i="8"/>
  <c r="L4" i="8"/>
  <c r="L8" i="8"/>
  <c r="L12" i="8"/>
  <c r="R12" i="8" s="1"/>
  <c r="C10" i="8"/>
  <c r="C9" i="8"/>
  <c r="C6" i="8"/>
  <c r="C14" i="8"/>
  <c r="C3" i="8"/>
  <c r="C8" i="8"/>
  <c r="C13" i="8"/>
  <c r="C7" i="8"/>
  <c r="C4" i="8"/>
  <c r="C12" i="8"/>
  <c r="C11" i="8"/>
  <c r="C5" i="8"/>
  <c r="E8" i="8"/>
  <c r="E7" i="8"/>
  <c r="E4" i="8"/>
  <c r="E12" i="8"/>
  <c r="E9" i="8"/>
  <c r="E14" i="8"/>
  <c r="E5" i="8"/>
  <c r="E13" i="8"/>
  <c r="E10" i="8"/>
  <c r="E3" i="8"/>
  <c r="E6" i="8"/>
  <c r="E11" i="8"/>
  <c r="F11" i="8"/>
  <c r="F10" i="8"/>
  <c r="F4" i="8"/>
  <c r="F12" i="8"/>
  <c r="F9" i="8"/>
  <c r="F6" i="8"/>
  <c r="F14" i="8"/>
  <c r="F8" i="8"/>
  <c r="F5" i="8"/>
  <c r="F13" i="8"/>
  <c r="F3" i="8"/>
  <c r="F7" i="8"/>
  <c r="D5" i="8"/>
  <c r="D13" i="8"/>
  <c r="D4" i="8"/>
  <c r="D9" i="8"/>
  <c r="D11" i="8"/>
  <c r="D8" i="8"/>
  <c r="D10" i="8"/>
  <c r="D7" i="8"/>
  <c r="D12" i="8"/>
  <c r="D3" i="8"/>
  <c r="D6" i="8"/>
  <c r="D14" i="8"/>
  <c r="G6" i="8"/>
  <c r="G14" i="8"/>
  <c r="G13" i="8"/>
  <c r="G10" i="8"/>
  <c r="G7" i="8"/>
  <c r="G4" i="8"/>
  <c r="G12" i="8"/>
  <c r="G9" i="8"/>
  <c r="G11" i="8"/>
  <c r="G3" i="8"/>
  <c r="G8" i="8"/>
  <c r="G5" i="8"/>
  <c r="O7" i="7"/>
  <c r="E7" i="7"/>
  <c r="G7" i="7"/>
  <c r="D7" i="7"/>
  <c r="D13" i="7"/>
  <c r="C7" i="7"/>
  <c r="M8" i="7"/>
  <c r="O4" i="7"/>
  <c r="L14" i="7"/>
  <c r="E13" i="7"/>
  <c r="K10" i="7"/>
  <c r="K8" i="7"/>
  <c r="L10" i="7"/>
  <c r="M7" i="7"/>
  <c r="K7" i="7"/>
  <c r="M3" i="7"/>
  <c r="K3" i="7"/>
  <c r="N3" i="7"/>
  <c r="O3" i="7"/>
  <c r="F12" i="7"/>
  <c r="G12" i="7"/>
  <c r="N10" i="7"/>
  <c r="L7" i="7"/>
  <c r="F13" i="7"/>
  <c r="B12" i="7"/>
  <c r="K14" i="7"/>
  <c r="K12" i="7"/>
  <c r="G13" i="7"/>
  <c r="M10" i="7"/>
  <c r="B13" i="7"/>
  <c r="E2" i="5"/>
  <c r="P7" i="7"/>
  <c r="O10" i="7"/>
  <c r="E12" i="7"/>
  <c r="F8" i="7"/>
  <c r="G8" i="7"/>
  <c r="L3" i="7"/>
  <c r="F7" i="7"/>
  <c r="C12" i="7"/>
  <c r="H3" i="12" l="1"/>
  <c r="H4" i="12"/>
  <c r="R6" i="12"/>
  <c r="R8" i="12"/>
  <c r="R11" i="12"/>
  <c r="R4" i="12"/>
  <c r="R9" i="12"/>
  <c r="R12" i="12"/>
  <c r="R5" i="12"/>
  <c r="R14" i="12"/>
  <c r="R10" i="12"/>
  <c r="R10" i="8"/>
  <c r="R8" i="8"/>
  <c r="R11" i="8"/>
  <c r="R3" i="8"/>
  <c r="R13" i="8"/>
  <c r="R7" i="8"/>
  <c r="R9" i="8"/>
  <c r="R4" i="8"/>
  <c r="R5" i="8"/>
  <c r="R14" i="8"/>
  <c r="B4" i="8"/>
  <c r="H4" i="8" s="1"/>
  <c r="B8" i="8"/>
  <c r="H8" i="8" s="1"/>
  <c r="B12" i="8"/>
  <c r="H12" i="8" s="1"/>
  <c r="B3" i="8"/>
  <c r="H3" i="8" s="1"/>
  <c r="B10" i="8"/>
  <c r="H10" i="8" s="1"/>
  <c r="B13" i="8"/>
  <c r="H13" i="8" s="1"/>
  <c r="B7" i="8"/>
  <c r="H7" i="8" s="1"/>
  <c r="B11" i="8"/>
  <c r="H11" i="8" s="1"/>
  <c r="B14" i="8"/>
  <c r="H14" i="8" s="1"/>
  <c r="B5" i="8"/>
  <c r="H5" i="8" s="1"/>
  <c r="B6" i="8"/>
  <c r="H6" i="8" s="1"/>
  <c r="B9" i="8"/>
  <c r="H9" i="8" s="1"/>
</calcChain>
</file>

<file path=xl/sharedStrings.xml><?xml version="1.0" encoding="utf-8"?>
<sst xmlns="http://schemas.openxmlformats.org/spreadsheetml/2006/main" count="1230" uniqueCount="46">
  <si>
    <t>zone</t>
  </si>
  <si>
    <t>year</t>
  </si>
  <si>
    <t>industry</t>
  </si>
  <si>
    <t>import</t>
  </si>
  <si>
    <t>a-b</t>
  </si>
  <si>
    <t>Groningen</t>
  </si>
  <si>
    <t>Friesland (NL)</t>
  </si>
  <si>
    <t>Drenthe</t>
  </si>
  <si>
    <t>Overijssel</t>
  </si>
  <si>
    <t>Gelderland</t>
  </si>
  <si>
    <t>Flevoland</t>
  </si>
  <si>
    <t>Utrecht (NUTS 2021)</t>
  </si>
  <si>
    <t>Noord-Holland</t>
  </si>
  <si>
    <t>Zuid-Holland (NUTS 2021)</t>
  </si>
  <si>
    <t>Zeeland</t>
  </si>
  <si>
    <t>Noord-Brabant</t>
  </si>
  <si>
    <t>Limburg (NL)</t>
  </si>
  <si>
    <t>c-e</t>
  </si>
  <si>
    <t>f</t>
  </si>
  <si>
    <t>g-i</t>
  </si>
  <si>
    <t>j-k</t>
  </si>
  <si>
    <t>l-q</t>
  </si>
  <si>
    <t>L_i</t>
  </si>
  <si>
    <t>period</t>
  </si>
  <si>
    <t>1999-2011</t>
  </si>
  <si>
    <t>2012-2019</t>
  </si>
  <si>
    <t>delta_M</t>
  </si>
  <si>
    <t>L_i0</t>
  </si>
  <si>
    <t>shock_i</t>
  </si>
  <si>
    <t>total_1999</t>
  </si>
  <si>
    <t>total_2012</t>
  </si>
  <si>
    <t>p1</t>
  </si>
  <si>
    <t>p2</t>
  </si>
  <si>
    <t>IPW_OC (1999-2011)</t>
  </si>
  <si>
    <t>IPW_OC (2012-2019)</t>
  </si>
  <si>
    <t>IPW (1999-2011)</t>
  </si>
  <si>
    <t>IPW (2012-2019)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</si>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</sst>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raleksikova/Downloads/france/france%20TOTAL.xlsx" TargetMode="External"/><Relationship Id="rId1" Type="http://schemas.openxmlformats.org/officeDocument/2006/relationships/externalLinkPath" Target="/Users/daraleksikova/Downloads/france/france%20TO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ment"/>
      <sheetName val="import"/>
      <sheetName val="L_i"/>
      <sheetName val="delta_M"/>
      <sheetName val="shock_i"/>
      <sheetName val="L_r"/>
      <sheetName val="s_ri"/>
      <sheetName val="IPW_i"/>
      <sheetName val="import OC"/>
      <sheetName val="delta_M_OC"/>
      <sheetName val="shock_OC"/>
      <sheetName val="IPW_OC"/>
    </sheetNames>
    <sheetDataSet>
      <sheetData sheetId="0"/>
      <sheetData sheetId="1"/>
      <sheetData sheetId="2">
        <row r="2">
          <cell r="C2">
            <v>919.79999999999984</v>
          </cell>
        </row>
      </sheetData>
      <sheetData sheetId="3"/>
      <sheetData sheetId="4"/>
      <sheetData sheetId="5"/>
      <sheetData sheetId="6"/>
      <sheetData sheetId="7"/>
      <sheetData sheetId="8">
        <row r="29">
          <cell r="C29">
            <v>94843969</v>
          </cell>
          <cell r="G29">
            <v>754415</v>
          </cell>
          <cell r="K29">
            <v>227713596</v>
          </cell>
          <cell r="O29">
            <v>13328158</v>
          </cell>
          <cell r="S29">
            <v>14972654.137999993</v>
          </cell>
          <cell r="W29">
            <v>9039494</v>
          </cell>
        </row>
        <row r="30">
          <cell r="C30">
            <v>38400805692</v>
          </cell>
          <cell r="G30">
            <v>2306713988</v>
          </cell>
          <cell r="K30">
            <v>137476733432</v>
          </cell>
          <cell r="O30">
            <v>7318816835</v>
          </cell>
          <cell r="S30">
            <v>5090165079.3119993</v>
          </cell>
          <cell r="W30">
            <v>6073689631</v>
          </cell>
        </row>
        <row r="31">
          <cell r="C31">
            <v>0</v>
          </cell>
          <cell r="G31">
            <v>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C32">
            <v>0</v>
          </cell>
          <cell r="G32">
            <v>0</v>
          </cell>
          <cell r="K32">
            <v>0</v>
          </cell>
          <cell r="O32">
            <v>0</v>
          </cell>
          <cell r="S32">
            <v>0</v>
          </cell>
          <cell r="W32">
            <v>0</v>
          </cell>
        </row>
        <row r="33">
          <cell r="C33">
            <v>4298</v>
          </cell>
          <cell r="G33">
            <v>2351</v>
          </cell>
          <cell r="K33">
            <v>362563</v>
          </cell>
          <cell r="O33">
            <v>-2333</v>
          </cell>
          <cell r="S33">
            <v>119105.481</v>
          </cell>
          <cell r="W33">
            <v>90</v>
          </cell>
        </row>
        <row r="34">
          <cell r="C34">
            <v>-340145</v>
          </cell>
          <cell r="G34">
            <v>58959</v>
          </cell>
          <cell r="K34">
            <v>-12463861</v>
          </cell>
          <cell r="O34">
            <v>1795471</v>
          </cell>
          <cell r="S34">
            <v>417087.29500000004</v>
          </cell>
          <cell r="W34">
            <v>1203812</v>
          </cell>
        </row>
        <row r="35">
          <cell r="C35">
            <v>33751430.112999976</v>
          </cell>
          <cell r="G35">
            <v>116933.34099999908</v>
          </cell>
          <cell r="K35">
            <v>-265434564.03100014</v>
          </cell>
          <cell r="O35">
            <v>4261096.2950000018</v>
          </cell>
          <cell r="S35">
            <v>13832956.041999996</v>
          </cell>
          <cell r="W35">
            <v>5051225.7269999981</v>
          </cell>
        </row>
        <row r="36">
          <cell r="C36">
            <v>11313181153.047981</v>
          </cell>
          <cell r="G36">
            <v>-423857687.3419981</v>
          </cell>
          <cell r="K36">
            <v>-18174445741.212952</v>
          </cell>
          <cell r="O36">
            <v>668957665.3200016</v>
          </cell>
          <cell r="S36">
            <v>2238338857.6920004</v>
          </cell>
          <cell r="W36">
            <v>1607121021.3240023</v>
          </cell>
        </row>
        <row r="37">
          <cell r="C37">
            <v>0</v>
          </cell>
          <cell r="G37">
            <v>0</v>
          </cell>
          <cell r="K37">
            <v>0</v>
          </cell>
          <cell r="O37">
            <v>0</v>
          </cell>
          <cell r="S37">
            <v>0</v>
          </cell>
          <cell r="W37">
            <v>0</v>
          </cell>
        </row>
        <row r="38">
          <cell r="C38">
            <v>0</v>
          </cell>
          <cell r="G38">
            <v>0</v>
          </cell>
          <cell r="K38">
            <v>0</v>
          </cell>
          <cell r="O38">
            <v>0</v>
          </cell>
          <cell r="S38">
            <v>0</v>
          </cell>
          <cell r="W38">
            <v>0</v>
          </cell>
        </row>
        <row r="39">
          <cell r="C39">
            <v>-16866.494999999999</v>
          </cell>
          <cell r="G39">
            <v>5974.4489999999996</v>
          </cell>
          <cell r="K39">
            <v>353490.36600000004</v>
          </cell>
          <cell r="O39">
            <v>-33543.559000000001</v>
          </cell>
          <cell r="S39">
            <v>-81522.771000000008</v>
          </cell>
          <cell r="W39">
            <v>1830.9640000000018</v>
          </cell>
        </row>
        <row r="40">
          <cell r="C40">
            <v>10823487.196999999</v>
          </cell>
          <cell r="G40">
            <v>-49944.883999999991</v>
          </cell>
          <cell r="K40">
            <v>3868789.0829999996</v>
          </cell>
          <cell r="O40">
            <v>-830318.21200000006</v>
          </cell>
          <cell r="S40">
            <v>-413354.348</v>
          </cell>
          <cell r="W40">
            <v>-622979.36500000046</v>
          </cell>
        </row>
      </sheetData>
      <sheetData sheetId="9">
        <row r="2">
          <cell r="C2">
            <v>360652286.13800001</v>
          </cell>
        </row>
        <row r="3">
          <cell r="C3">
            <v>196666924657.31201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486074.48100000003</v>
          </cell>
        </row>
        <row r="7">
          <cell r="C7">
            <v>-9328676.7050000001</v>
          </cell>
        </row>
        <row r="8">
          <cell r="C8">
            <v>-208420922.51300019</v>
          </cell>
        </row>
        <row r="9">
          <cell r="C9">
            <v>-2770704731.1709652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229362.95400000006</v>
          </cell>
        </row>
        <row r="13">
          <cell r="C13">
            <v>12775679.470999999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FD40-5690-DC47-9E40-DF87DE0E6BFB}">
  <dimension ref="A1:D289"/>
  <sheetViews>
    <sheetView workbookViewId="0">
      <selection activeCell="G10" sqref="G10"/>
    </sheetView>
  </sheetViews>
  <sheetFormatPr baseColWidth="10" defaultRowHeight="16" x14ac:dyDescent="0.2"/>
  <cols>
    <col min="1" max="1" width="22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45</v>
      </c>
    </row>
    <row r="2" spans="1:4" x14ac:dyDescent="0.2">
      <c r="A2" t="s">
        <v>5</v>
      </c>
      <c r="B2">
        <v>1999</v>
      </c>
      <c r="C2" t="s">
        <v>4</v>
      </c>
      <c r="D2">
        <v>5.6</v>
      </c>
    </row>
    <row r="3" spans="1:4" x14ac:dyDescent="0.2">
      <c r="A3" t="s">
        <v>6</v>
      </c>
      <c r="B3">
        <v>1999</v>
      </c>
      <c r="C3" t="s">
        <v>4</v>
      </c>
      <c r="D3">
        <v>10.6</v>
      </c>
    </row>
    <row r="4" spans="1:4" x14ac:dyDescent="0.2">
      <c r="A4" t="s">
        <v>7</v>
      </c>
      <c r="B4">
        <v>1999</v>
      </c>
      <c r="C4" t="s">
        <v>4</v>
      </c>
      <c r="D4">
        <v>12</v>
      </c>
    </row>
    <row r="5" spans="1:4" x14ac:dyDescent="0.2">
      <c r="A5" t="s">
        <v>8</v>
      </c>
      <c r="B5">
        <v>1999</v>
      </c>
      <c r="C5" t="s">
        <v>4</v>
      </c>
      <c r="D5">
        <v>19.5</v>
      </c>
    </row>
    <row r="6" spans="1:4" x14ac:dyDescent="0.2">
      <c r="A6" t="s">
        <v>9</v>
      </c>
      <c r="B6">
        <v>1999</v>
      </c>
      <c r="C6" t="s">
        <v>4</v>
      </c>
      <c r="D6">
        <v>30.1</v>
      </c>
    </row>
    <row r="7" spans="1:4" x14ac:dyDescent="0.2">
      <c r="A7" t="s">
        <v>10</v>
      </c>
      <c r="B7">
        <v>1999</v>
      </c>
      <c r="C7" t="s">
        <v>4</v>
      </c>
      <c r="D7">
        <v>4.5999999999999996</v>
      </c>
    </row>
    <row r="8" spans="1:4" x14ac:dyDescent="0.2">
      <c r="A8" t="s">
        <v>11</v>
      </c>
      <c r="B8">
        <v>1999</v>
      </c>
      <c r="C8" t="s">
        <v>4</v>
      </c>
      <c r="D8">
        <v>6.1</v>
      </c>
    </row>
    <row r="9" spans="1:4" x14ac:dyDescent="0.2">
      <c r="A9" t="s">
        <v>12</v>
      </c>
      <c r="B9">
        <v>1999</v>
      </c>
      <c r="C9" t="s">
        <v>4</v>
      </c>
      <c r="D9">
        <v>28.1</v>
      </c>
    </row>
    <row r="10" spans="1:4" x14ac:dyDescent="0.2">
      <c r="A10" t="s">
        <v>13</v>
      </c>
      <c r="B10">
        <v>1999</v>
      </c>
      <c r="C10" t="s">
        <v>4</v>
      </c>
      <c r="D10">
        <v>41.9</v>
      </c>
    </row>
    <row r="11" spans="1:4" x14ac:dyDescent="0.2">
      <c r="A11" t="s">
        <v>14</v>
      </c>
      <c r="B11">
        <v>1999</v>
      </c>
      <c r="C11" t="s">
        <v>4</v>
      </c>
      <c r="D11">
        <v>5.8</v>
      </c>
    </row>
    <row r="12" spans="1:4" x14ac:dyDescent="0.2">
      <c r="A12" t="s">
        <v>15</v>
      </c>
      <c r="B12">
        <v>1999</v>
      </c>
      <c r="C12" t="s">
        <v>4</v>
      </c>
      <c r="D12">
        <v>41.2</v>
      </c>
    </row>
    <row r="13" spans="1:4" x14ac:dyDescent="0.2">
      <c r="A13" t="s">
        <v>16</v>
      </c>
      <c r="B13">
        <v>1999</v>
      </c>
      <c r="C13" t="s">
        <v>4</v>
      </c>
      <c r="D13">
        <v>20.6</v>
      </c>
    </row>
    <row r="14" spans="1:4" x14ac:dyDescent="0.2">
      <c r="A14" t="s">
        <v>5</v>
      </c>
      <c r="B14">
        <v>2011</v>
      </c>
      <c r="C14" t="s">
        <v>4</v>
      </c>
      <c r="D14">
        <v>7.2</v>
      </c>
    </row>
    <row r="15" spans="1:4" x14ac:dyDescent="0.2">
      <c r="A15" t="s">
        <v>6</v>
      </c>
      <c r="B15">
        <v>2011</v>
      </c>
      <c r="C15" t="s">
        <v>4</v>
      </c>
      <c r="D15">
        <v>13.7</v>
      </c>
    </row>
    <row r="16" spans="1:4" x14ac:dyDescent="0.2">
      <c r="A16" t="s">
        <v>7</v>
      </c>
      <c r="B16">
        <v>2011</v>
      </c>
      <c r="C16" t="s">
        <v>4</v>
      </c>
      <c r="D16">
        <v>5.8</v>
      </c>
    </row>
    <row r="17" spans="1:4" x14ac:dyDescent="0.2">
      <c r="A17" t="s">
        <v>8</v>
      </c>
      <c r="B17">
        <v>2011</v>
      </c>
      <c r="C17" t="s">
        <v>4</v>
      </c>
      <c r="D17">
        <v>15.3</v>
      </c>
    </row>
    <row r="18" spans="1:4" x14ac:dyDescent="0.2">
      <c r="A18" t="s">
        <v>9</v>
      </c>
      <c r="B18">
        <v>2011</v>
      </c>
      <c r="C18" t="s">
        <v>4</v>
      </c>
      <c r="D18">
        <v>24.4</v>
      </c>
    </row>
    <row r="19" spans="1:4" x14ac:dyDescent="0.2">
      <c r="A19" t="s">
        <v>10</v>
      </c>
      <c r="B19">
        <v>2011</v>
      </c>
      <c r="C19" t="s">
        <v>4</v>
      </c>
      <c r="D19">
        <v>5.2</v>
      </c>
    </row>
    <row r="20" spans="1:4" x14ac:dyDescent="0.2">
      <c r="A20" t="s">
        <v>11</v>
      </c>
      <c r="B20">
        <v>2011</v>
      </c>
      <c r="C20" t="s">
        <v>4</v>
      </c>
      <c r="D20">
        <v>8.4</v>
      </c>
    </row>
    <row r="21" spans="1:4" x14ac:dyDescent="0.2">
      <c r="A21" t="s">
        <v>12</v>
      </c>
      <c r="B21">
        <v>2011</v>
      </c>
      <c r="C21" t="s">
        <v>4</v>
      </c>
      <c r="D21">
        <v>21.8</v>
      </c>
    </row>
    <row r="22" spans="1:4" x14ac:dyDescent="0.2">
      <c r="A22" t="s">
        <v>13</v>
      </c>
      <c r="B22">
        <v>2011</v>
      </c>
      <c r="C22" t="s">
        <v>4</v>
      </c>
      <c r="D22">
        <v>41.1</v>
      </c>
    </row>
    <row r="23" spans="1:4" x14ac:dyDescent="0.2">
      <c r="A23" t="s">
        <v>14</v>
      </c>
      <c r="B23">
        <v>2011</v>
      </c>
      <c r="C23" t="s">
        <v>4</v>
      </c>
      <c r="D23">
        <v>4.5</v>
      </c>
    </row>
    <row r="24" spans="1:4" x14ac:dyDescent="0.2">
      <c r="A24" t="s">
        <v>15</v>
      </c>
      <c r="B24">
        <v>2011</v>
      </c>
      <c r="C24" t="s">
        <v>4</v>
      </c>
      <c r="D24">
        <v>30.7</v>
      </c>
    </row>
    <row r="25" spans="1:4" x14ac:dyDescent="0.2">
      <c r="A25" t="s">
        <v>16</v>
      </c>
      <c r="B25">
        <v>2011</v>
      </c>
      <c r="C25" t="s">
        <v>4</v>
      </c>
      <c r="D25">
        <v>16</v>
      </c>
    </row>
    <row r="26" spans="1:4" x14ac:dyDescent="0.2">
      <c r="A26" t="s">
        <v>5</v>
      </c>
      <c r="B26">
        <v>2012</v>
      </c>
      <c r="C26" t="s">
        <v>4</v>
      </c>
      <c r="D26">
        <v>7.9</v>
      </c>
    </row>
    <row r="27" spans="1:4" x14ac:dyDescent="0.2">
      <c r="A27" t="s">
        <v>6</v>
      </c>
      <c r="B27">
        <v>2012</v>
      </c>
      <c r="C27" t="s">
        <v>4</v>
      </c>
      <c r="D27">
        <v>12</v>
      </c>
    </row>
    <row r="28" spans="1:4" x14ac:dyDescent="0.2">
      <c r="A28" t="s">
        <v>7</v>
      </c>
      <c r="B28">
        <v>2012</v>
      </c>
      <c r="C28" t="s">
        <v>4</v>
      </c>
      <c r="D28">
        <v>7.7</v>
      </c>
    </row>
    <row r="29" spans="1:4" x14ac:dyDescent="0.2">
      <c r="A29" t="s">
        <v>8</v>
      </c>
      <c r="B29">
        <v>2012</v>
      </c>
      <c r="C29" t="s">
        <v>4</v>
      </c>
      <c r="D29">
        <v>16.899999999999999</v>
      </c>
    </row>
    <row r="30" spans="1:4" x14ac:dyDescent="0.2">
      <c r="A30" t="s">
        <v>9</v>
      </c>
      <c r="B30">
        <v>2012</v>
      </c>
      <c r="C30" t="s">
        <v>4</v>
      </c>
      <c r="D30">
        <v>25</v>
      </c>
    </row>
    <row r="31" spans="1:4" x14ac:dyDescent="0.2">
      <c r="A31" t="s">
        <v>10</v>
      </c>
      <c r="B31">
        <v>2012</v>
      </c>
      <c r="C31" t="s">
        <v>4</v>
      </c>
      <c r="D31">
        <v>5.3</v>
      </c>
    </row>
    <row r="32" spans="1:4" x14ac:dyDescent="0.2">
      <c r="A32" t="s">
        <v>11</v>
      </c>
      <c r="B32">
        <v>2012</v>
      </c>
      <c r="C32" t="s">
        <v>4</v>
      </c>
      <c r="D32">
        <v>7.3</v>
      </c>
    </row>
    <row r="33" spans="1:4" x14ac:dyDescent="0.2">
      <c r="A33" t="s">
        <v>12</v>
      </c>
      <c r="B33">
        <v>2012</v>
      </c>
      <c r="C33" t="s">
        <v>4</v>
      </c>
      <c r="D33">
        <v>19.399999999999999</v>
      </c>
    </row>
    <row r="34" spans="1:4" x14ac:dyDescent="0.2">
      <c r="A34" t="s">
        <v>13</v>
      </c>
      <c r="B34">
        <v>2012</v>
      </c>
      <c r="C34" t="s">
        <v>4</v>
      </c>
      <c r="D34">
        <v>36.299999999999997</v>
      </c>
    </row>
    <row r="35" spans="1:4" x14ac:dyDescent="0.2">
      <c r="A35" t="s">
        <v>14</v>
      </c>
      <c r="B35">
        <v>2012</v>
      </c>
      <c r="C35" t="s">
        <v>4</v>
      </c>
      <c r="D35">
        <v>5.5</v>
      </c>
    </row>
    <row r="36" spans="1:4" x14ac:dyDescent="0.2">
      <c r="A36" t="s">
        <v>15</v>
      </c>
      <c r="B36">
        <v>2012</v>
      </c>
      <c r="C36" t="s">
        <v>4</v>
      </c>
      <c r="D36">
        <v>34</v>
      </c>
    </row>
    <row r="37" spans="1:4" x14ac:dyDescent="0.2">
      <c r="A37" t="s">
        <v>16</v>
      </c>
      <c r="B37">
        <v>2012</v>
      </c>
      <c r="C37" t="s">
        <v>4</v>
      </c>
      <c r="D37">
        <v>15.1</v>
      </c>
    </row>
    <row r="38" spans="1:4" x14ac:dyDescent="0.2">
      <c r="A38" t="s">
        <v>5</v>
      </c>
      <c r="B38">
        <v>2019</v>
      </c>
      <c r="C38" t="s">
        <v>4</v>
      </c>
      <c r="D38">
        <v>6.7</v>
      </c>
    </row>
    <row r="39" spans="1:4" x14ac:dyDescent="0.2">
      <c r="A39" t="s">
        <v>6</v>
      </c>
      <c r="B39">
        <v>2019</v>
      </c>
      <c r="C39" t="s">
        <v>4</v>
      </c>
      <c r="D39">
        <v>10</v>
      </c>
    </row>
    <row r="40" spans="1:4" x14ac:dyDescent="0.2">
      <c r="A40" t="s">
        <v>7</v>
      </c>
      <c r="B40">
        <v>2019</v>
      </c>
      <c r="C40" t="s">
        <v>4</v>
      </c>
      <c r="D40">
        <v>5.3</v>
      </c>
    </row>
    <row r="41" spans="1:4" x14ac:dyDescent="0.2">
      <c r="A41" t="s">
        <v>8</v>
      </c>
      <c r="B41">
        <v>2019</v>
      </c>
      <c r="C41" t="s">
        <v>4</v>
      </c>
      <c r="D41">
        <v>15</v>
      </c>
    </row>
    <row r="42" spans="1:4" x14ac:dyDescent="0.2">
      <c r="A42" t="s">
        <v>9</v>
      </c>
      <c r="B42">
        <v>2019</v>
      </c>
      <c r="C42" t="s">
        <v>4</v>
      </c>
      <c r="D42">
        <v>19.7</v>
      </c>
    </row>
    <row r="43" spans="1:4" x14ac:dyDescent="0.2">
      <c r="A43" t="s">
        <v>10</v>
      </c>
      <c r="B43">
        <v>2019</v>
      </c>
      <c r="C43" t="s">
        <v>4</v>
      </c>
      <c r="D43">
        <v>4.5999999999999996</v>
      </c>
    </row>
    <row r="44" spans="1:4" x14ac:dyDescent="0.2">
      <c r="A44" t="s">
        <v>11</v>
      </c>
      <c r="B44">
        <v>2019</v>
      </c>
      <c r="C44" t="s">
        <v>4</v>
      </c>
      <c r="D44">
        <v>5.9</v>
      </c>
    </row>
    <row r="45" spans="1:4" x14ac:dyDescent="0.2">
      <c r="A45" t="s">
        <v>12</v>
      </c>
      <c r="B45">
        <v>2019</v>
      </c>
      <c r="C45" t="s">
        <v>4</v>
      </c>
      <c r="D45">
        <v>14.6</v>
      </c>
    </row>
    <row r="46" spans="1:4" x14ac:dyDescent="0.2">
      <c r="A46" t="s">
        <v>13</v>
      </c>
      <c r="B46">
        <v>2019</v>
      </c>
      <c r="C46" t="s">
        <v>4</v>
      </c>
      <c r="D46">
        <v>27.8</v>
      </c>
    </row>
    <row r="47" spans="1:4" x14ac:dyDescent="0.2">
      <c r="A47" t="s">
        <v>14</v>
      </c>
      <c r="B47">
        <v>2019</v>
      </c>
      <c r="C47" t="s">
        <v>4</v>
      </c>
      <c r="D47">
        <v>5</v>
      </c>
    </row>
    <row r="48" spans="1:4" x14ac:dyDescent="0.2">
      <c r="A48" t="s">
        <v>15</v>
      </c>
      <c r="B48">
        <v>2019</v>
      </c>
      <c r="C48" t="s">
        <v>4</v>
      </c>
      <c r="D48">
        <v>29.3</v>
      </c>
    </row>
    <row r="49" spans="1:4" x14ac:dyDescent="0.2">
      <c r="A49" t="s">
        <v>16</v>
      </c>
      <c r="B49">
        <v>2019</v>
      </c>
      <c r="C49" t="s">
        <v>4</v>
      </c>
      <c r="D49">
        <v>10.5</v>
      </c>
    </row>
    <row r="50" spans="1:4" x14ac:dyDescent="0.2">
      <c r="A50" t="s">
        <v>5</v>
      </c>
      <c r="B50">
        <v>1999</v>
      </c>
      <c r="C50" t="s">
        <v>17</v>
      </c>
      <c r="D50">
        <v>46.6</v>
      </c>
    </row>
    <row r="51" spans="1:4" x14ac:dyDescent="0.2">
      <c r="A51" t="s">
        <v>6</v>
      </c>
      <c r="B51">
        <v>1999</v>
      </c>
      <c r="C51" t="s">
        <v>17</v>
      </c>
      <c r="D51">
        <v>56.3</v>
      </c>
    </row>
    <row r="52" spans="1:4" x14ac:dyDescent="0.2">
      <c r="A52" t="s">
        <v>7</v>
      </c>
      <c r="B52">
        <v>1999</v>
      </c>
      <c r="C52" t="s">
        <v>17</v>
      </c>
      <c r="D52">
        <v>37.700000000000003</v>
      </c>
    </row>
    <row r="53" spans="1:4" x14ac:dyDescent="0.2">
      <c r="A53" t="s">
        <v>8</v>
      </c>
      <c r="B53">
        <v>1999</v>
      </c>
      <c r="C53" t="s">
        <v>17</v>
      </c>
      <c r="D53">
        <v>106.7</v>
      </c>
    </row>
    <row r="54" spans="1:4" x14ac:dyDescent="0.2">
      <c r="A54" t="s">
        <v>9</v>
      </c>
      <c r="B54">
        <v>1999</v>
      </c>
      <c r="C54" t="s">
        <v>17</v>
      </c>
      <c r="D54">
        <v>139.1</v>
      </c>
    </row>
    <row r="55" spans="1:4" x14ac:dyDescent="0.2">
      <c r="A55" t="s">
        <v>10</v>
      </c>
      <c r="B55">
        <v>1999</v>
      </c>
      <c r="C55" t="s">
        <v>17</v>
      </c>
      <c r="D55">
        <v>22.3</v>
      </c>
    </row>
    <row r="56" spans="1:4" x14ac:dyDescent="0.2">
      <c r="A56" t="s">
        <v>11</v>
      </c>
      <c r="B56">
        <v>1999</v>
      </c>
      <c r="C56" t="s">
        <v>17</v>
      </c>
      <c r="D56">
        <v>56.7</v>
      </c>
    </row>
    <row r="57" spans="1:4" x14ac:dyDescent="0.2">
      <c r="A57" t="s">
        <v>12</v>
      </c>
      <c r="B57">
        <v>1999</v>
      </c>
      <c r="C57" t="s">
        <v>17</v>
      </c>
      <c r="D57">
        <v>123.3</v>
      </c>
    </row>
    <row r="58" spans="1:4" x14ac:dyDescent="0.2">
      <c r="A58" t="s">
        <v>13</v>
      </c>
      <c r="B58">
        <v>1999</v>
      </c>
      <c r="C58" t="s">
        <v>17</v>
      </c>
      <c r="D58">
        <v>168.9</v>
      </c>
    </row>
    <row r="59" spans="1:4" x14ac:dyDescent="0.2">
      <c r="A59" t="s">
        <v>14</v>
      </c>
      <c r="B59">
        <v>1999</v>
      </c>
      <c r="C59" t="s">
        <v>17</v>
      </c>
      <c r="D59">
        <v>34.9</v>
      </c>
    </row>
    <row r="60" spans="1:4" x14ac:dyDescent="0.2">
      <c r="A60" t="s">
        <v>15</v>
      </c>
      <c r="B60">
        <v>1999</v>
      </c>
      <c r="C60" t="s">
        <v>17</v>
      </c>
      <c r="D60">
        <v>231.7</v>
      </c>
    </row>
    <row r="61" spans="1:4" x14ac:dyDescent="0.2">
      <c r="A61" t="s">
        <v>16</v>
      </c>
      <c r="B61">
        <v>1999</v>
      </c>
      <c r="C61" t="s">
        <v>17</v>
      </c>
      <c r="D61">
        <v>120.2</v>
      </c>
    </row>
    <row r="62" spans="1:4" x14ac:dyDescent="0.2">
      <c r="A62" t="s">
        <v>5</v>
      </c>
      <c r="B62">
        <v>2011</v>
      </c>
      <c r="C62" t="s">
        <v>17</v>
      </c>
      <c r="D62">
        <v>30.8</v>
      </c>
    </row>
    <row r="63" spans="1:4" x14ac:dyDescent="0.2">
      <c r="A63" t="s">
        <v>6</v>
      </c>
      <c r="B63">
        <v>2011</v>
      </c>
      <c r="C63" t="s">
        <v>17</v>
      </c>
      <c r="D63">
        <v>35</v>
      </c>
    </row>
    <row r="64" spans="1:4" x14ac:dyDescent="0.2">
      <c r="A64" t="s">
        <v>7</v>
      </c>
      <c r="B64">
        <v>2011</v>
      </c>
      <c r="C64" t="s">
        <v>17</v>
      </c>
      <c r="D64">
        <v>27.6</v>
      </c>
    </row>
    <row r="65" spans="1:4" x14ac:dyDescent="0.2">
      <c r="A65" t="s">
        <v>8</v>
      </c>
      <c r="B65">
        <v>2011</v>
      </c>
      <c r="C65" t="s">
        <v>17</v>
      </c>
      <c r="D65">
        <v>68.2</v>
      </c>
    </row>
    <row r="66" spans="1:4" x14ac:dyDescent="0.2">
      <c r="A66" t="s">
        <v>9</v>
      </c>
      <c r="B66">
        <v>2011</v>
      </c>
      <c r="C66" t="s">
        <v>17</v>
      </c>
      <c r="D66">
        <v>108.9</v>
      </c>
    </row>
    <row r="67" spans="1:4" x14ac:dyDescent="0.2">
      <c r="A67" t="s">
        <v>10</v>
      </c>
      <c r="B67">
        <v>2011</v>
      </c>
      <c r="C67" t="s">
        <v>17</v>
      </c>
      <c r="D67">
        <v>17.2</v>
      </c>
    </row>
    <row r="68" spans="1:4" x14ac:dyDescent="0.2">
      <c r="A68" t="s">
        <v>11</v>
      </c>
      <c r="B68">
        <v>2011</v>
      </c>
      <c r="C68" t="s">
        <v>17</v>
      </c>
      <c r="D68">
        <v>44</v>
      </c>
    </row>
    <row r="69" spans="1:4" x14ac:dyDescent="0.2">
      <c r="A69" t="s">
        <v>12</v>
      </c>
      <c r="B69">
        <v>2011</v>
      </c>
      <c r="C69" t="s">
        <v>17</v>
      </c>
      <c r="D69">
        <v>96.9</v>
      </c>
    </row>
    <row r="70" spans="1:4" x14ac:dyDescent="0.2">
      <c r="A70" t="s">
        <v>13</v>
      </c>
      <c r="B70">
        <v>2011</v>
      </c>
      <c r="C70" t="s">
        <v>17</v>
      </c>
      <c r="D70">
        <v>134</v>
      </c>
    </row>
    <row r="71" spans="1:4" x14ac:dyDescent="0.2">
      <c r="A71" t="s">
        <v>14</v>
      </c>
      <c r="B71">
        <v>2011</v>
      </c>
      <c r="C71" t="s">
        <v>17</v>
      </c>
      <c r="D71">
        <v>26.1</v>
      </c>
    </row>
    <row r="72" spans="1:4" x14ac:dyDescent="0.2">
      <c r="A72" t="s">
        <v>15</v>
      </c>
      <c r="B72">
        <v>2011</v>
      </c>
      <c r="C72" t="s">
        <v>17</v>
      </c>
      <c r="D72">
        <v>163.5</v>
      </c>
    </row>
    <row r="73" spans="1:4" x14ac:dyDescent="0.2">
      <c r="A73" t="s">
        <v>16</v>
      </c>
      <c r="B73">
        <v>2011</v>
      </c>
      <c r="C73" t="s">
        <v>17</v>
      </c>
      <c r="D73">
        <v>75.8</v>
      </c>
    </row>
    <row r="74" spans="1:4" x14ac:dyDescent="0.2">
      <c r="A74" t="s">
        <v>5</v>
      </c>
      <c r="B74">
        <v>2012</v>
      </c>
      <c r="C74" t="s">
        <v>17</v>
      </c>
      <c r="D74">
        <v>33</v>
      </c>
    </row>
    <row r="75" spans="1:4" x14ac:dyDescent="0.2">
      <c r="A75" t="s">
        <v>6</v>
      </c>
      <c r="B75">
        <v>2012</v>
      </c>
      <c r="C75" t="s">
        <v>17</v>
      </c>
      <c r="D75">
        <v>33</v>
      </c>
    </row>
    <row r="76" spans="1:4" x14ac:dyDescent="0.2">
      <c r="A76" t="s">
        <v>7</v>
      </c>
      <c r="B76">
        <v>2012</v>
      </c>
      <c r="C76" t="s">
        <v>17</v>
      </c>
      <c r="D76">
        <v>27.9</v>
      </c>
    </row>
    <row r="77" spans="1:4" x14ac:dyDescent="0.2">
      <c r="A77" t="s">
        <v>8</v>
      </c>
      <c r="B77">
        <v>2012</v>
      </c>
      <c r="C77" t="s">
        <v>17</v>
      </c>
      <c r="D77">
        <v>74.2</v>
      </c>
    </row>
    <row r="78" spans="1:4" x14ac:dyDescent="0.2">
      <c r="A78" t="s">
        <v>9</v>
      </c>
      <c r="B78">
        <v>2012</v>
      </c>
      <c r="C78" t="s">
        <v>17</v>
      </c>
      <c r="D78">
        <v>103.8</v>
      </c>
    </row>
    <row r="79" spans="1:4" x14ac:dyDescent="0.2">
      <c r="A79" t="s">
        <v>10</v>
      </c>
      <c r="B79">
        <v>2012</v>
      </c>
      <c r="C79" t="s">
        <v>17</v>
      </c>
      <c r="D79">
        <v>17.7</v>
      </c>
    </row>
    <row r="80" spans="1:4" x14ac:dyDescent="0.2">
      <c r="A80" t="s">
        <v>11</v>
      </c>
      <c r="B80">
        <v>2012</v>
      </c>
      <c r="C80" t="s">
        <v>17</v>
      </c>
      <c r="D80">
        <v>42.8</v>
      </c>
    </row>
    <row r="81" spans="1:4" x14ac:dyDescent="0.2">
      <c r="A81" t="s">
        <v>12</v>
      </c>
      <c r="B81">
        <v>2012</v>
      </c>
      <c r="C81" t="s">
        <v>17</v>
      </c>
      <c r="D81">
        <v>101.4</v>
      </c>
    </row>
    <row r="82" spans="1:4" x14ac:dyDescent="0.2">
      <c r="A82" t="s">
        <v>13</v>
      </c>
      <c r="B82">
        <v>2012</v>
      </c>
      <c r="C82" t="s">
        <v>17</v>
      </c>
      <c r="D82">
        <v>142.1</v>
      </c>
    </row>
    <row r="83" spans="1:4" x14ac:dyDescent="0.2">
      <c r="A83" t="s">
        <v>14</v>
      </c>
      <c r="B83">
        <v>2012</v>
      </c>
      <c r="C83" t="s">
        <v>17</v>
      </c>
      <c r="D83">
        <v>27.9</v>
      </c>
    </row>
    <row r="84" spans="1:4" x14ac:dyDescent="0.2">
      <c r="A84" t="s">
        <v>15</v>
      </c>
      <c r="B84">
        <v>2012</v>
      </c>
      <c r="C84" t="s">
        <v>17</v>
      </c>
      <c r="D84">
        <v>167.5</v>
      </c>
    </row>
    <row r="85" spans="1:4" x14ac:dyDescent="0.2">
      <c r="A85" t="s">
        <v>16</v>
      </c>
      <c r="B85">
        <v>2012</v>
      </c>
      <c r="C85" t="s">
        <v>17</v>
      </c>
      <c r="D85">
        <v>72.8</v>
      </c>
    </row>
    <row r="86" spans="1:4" x14ac:dyDescent="0.2">
      <c r="A86" t="s">
        <v>5</v>
      </c>
      <c r="B86">
        <v>2019</v>
      </c>
      <c r="C86" t="s">
        <v>17</v>
      </c>
      <c r="D86">
        <v>30.7</v>
      </c>
    </row>
    <row r="87" spans="1:4" x14ac:dyDescent="0.2">
      <c r="A87" t="s">
        <v>6</v>
      </c>
      <c r="B87">
        <v>2019</v>
      </c>
      <c r="C87" t="s">
        <v>17</v>
      </c>
      <c r="D87">
        <v>36.4</v>
      </c>
    </row>
    <row r="88" spans="1:4" x14ac:dyDescent="0.2">
      <c r="A88" t="s">
        <v>7</v>
      </c>
      <c r="B88">
        <v>2019</v>
      </c>
      <c r="C88" t="s">
        <v>17</v>
      </c>
      <c r="D88">
        <v>27.9</v>
      </c>
    </row>
    <row r="89" spans="1:4" x14ac:dyDescent="0.2">
      <c r="A89" t="s">
        <v>8</v>
      </c>
      <c r="B89">
        <v>2019</v>
      </c>
      <c r="C89" t="s">
        <v>17</v>
      </c>
      <c r="D89">
        <v>73</v>
      </c>
    </row>
    <row r="90" spans="1:4" x14ac:dyDescent="0.2">
      <c r="A90" t="s">
        <v>9</v>
      </c>
      <c r="B90">
        <v>2019</v>
      </c>
      <c r="C90" t="s">
        <v>17</v>
      </c>
      <c r="D90">
        <v>108.8</v>
      </c>
    </row>
    <row r="91" spans="1:4" x14ac:dyDescent="0.2">
      <c r="A91" t="s">
        <v>10</v>
      </c>
      <c r="B91">
        <v>2019</v>
      </c>
      <c r="C91" t="s">
        <v>17</v>
      </c>
      <c r="D91">
        <v>16.8</v>
      </c>
    </row>
    <row r="92" spans="1:4" x14ac:dyDescent="0.2">
      <c r="A92" t="s">
        <v>11</v>
      </c>
      <c r="B92">
        <v>2019</v>
      </c>
      <c r="C92" t="s">
        <v>17</v>
      </c>
      <c r="D92">
        <v>46.5</v>
      </c>
    </row>
    <row r="93" spans="1:4" x14ac:dyDescent="0.2">
      <c r="A93" t="s">
        <v>12</v>
      </c>
      <c r="B93">
        <v>2019</v>
      </c>
      <c r="C93" t="s">
        <v>17</v>
      </c>
      <c r="D93">
        <v>100.6</v>
      </c>
    </row>
    <row r="94" spans="1:4" x14ac:dyDescent="0.2">
      <c r="A94" t="s">
        <v>13</v>
      </c>
      <c r="B94">
        <v>2019</v>
      </c>
      <c r="C94" t="s">
        <v>17</v>
      </c>
      <c r="D94">
        <v>139.69999999999999</v>
      </c>
    </row>
    <row r="95" spans="1:4" x14ac:dyDescent="0.2">
      <c r="A95" t="s">
        <v>14</v>
      </c>
      <c r="B95">
        <v>2019</v>
      </c>
      <c r="C95" t="s">
        <v>17</v>
      </c>
      <c r="D95">
        <v>25.3</v>
      </c>
    </row>
    <row r="96" spans="1:4" x14ac:dyDescent="0.2">
      <c r="A96" t="s">
        <v>15</v>
      </c>
      <c r="B96">
        <v>2019</v>
      </c>
      <c r="C96" t="s">
        <v>17</v>
      </c>
      <c r="D96">
        <v>181.6</v>
      </c>
    </row>
    <row r="97" spans="1:4" x14ac:dyDescent="0.2">
      <c r="A97" t="s">
        <v>16</v>
      </c>
      <c r="B97">
        <v>2019</v>
      </c>
      <c r="C97" t="s">
        <v>17</v>
      </c>
      <c r="D97">
        <v>79.2</v>
      </c>
    </row>
    <row r="98" spans="1:4" x14ac:dyDescent="0.2">
      <c r="A98" t="s">
        <v>5</v>
      </c>
      <c r="B98">
        <v>1999</v>
      </c>
      <c r="C98" t="s">
        <v>18</v>
      </c>
      <c r="D98">
        <v>13.5</v>
      </c>
    </row>
    <row r="99" spans="1:4" x14ac:dyDescent="0.2">
      <c r="A99" t="s">
        <v>6</v>
      </c>
      <c r="B99">
        <v>1999</v>
      </c>
      <c r="C99" t="s">
        <v>18</v>
      </c>
      <c r="D99">
        <v>19.600000000000001</v>
      </c>
    </row>
    <row r="100" spans="1:4" x14ac:dyDescent="0.2">
      <c r="A100" t="s">
        <v>7</v>
      </c>
      <c r="B100">
        <v>1999</v>
      </c>
      <c r="C100" t="s">
        <v>18</v>
      </c>
      <c r="D100">
        <v>13.1</v>
      </c>
    </row>
    <row r="101" spans="1:4" x14ac:dyDescent="0.2">
      <c r="A101" t="s">
        <v>8</v>
      </c>
      <c r="B101">
        <v>1999</v>
      </c>
      <c r="C101" t="s">
        <v>18</v>
      </c>
      <c r="D101">
        <v>37.799999999999997</v>
      </c>
    </row>
    <row r="102" spans="1:4" x14ac:dyDescent="0.2">
      <c r="A102" t="s">
        <v>9</v>
      </c>
      <c r="B102">
        <v>1999</v>
      </c>
      <c r="C102" t="s">
        <v>18</v>
      </c>
      <c r="D102">
        <v>58.6</v>
      </c>
    </row>
    <row r="103" spans="1:4" x14ac:dyDescent="0.2">
      <c r="A103" t="s">
        <v>10</v>
      </c>
      <c r="B103">
        <v>1999</v>
      </c>
      <c r="C103" t="s">
        <v>18</v>
      </c>
      <c r="D103">
        <v>6.2</v>
      </c>
    </row>
    <row r="104" spans="1:4" x14ac:dyDescent="0.2">
      <c r="A104" t="s">
        <v>11</v>
      </c>
      <c r="B104">
        <v>1999</v>
      </c>
      <c r="C104" t="s">
        <v>18</v>
      </c>
      <c r="D104">
        <v>31</v>
      </c>
    </row>
    <row r="105" spans="1:4" x14ac:dyDescent="0.2">
      <c r="A105" t="s">
        <v>12</v>
      </c>
      <c r="B105">
        <v>1999</v>
      </c>
      <c r="C105" t="s">
        <v>18</v>
      </c>
      <c r="D105">
        <v>59.5</v>
      </c>
    </row>
    <row r="106" spans="1:4" x14ac:dyDescent="0.2">
      <c r="A106" t="s">
        <v>13</v>
      </c>
      <c r="B106">
        <v>1999</v>
      </c>
      <c r="C106" t="s">
        <v>18</v>
      </c>
      <c r="D106">
        <v>96.5</v>
      </c>
    </row>
    <row r="107" spans="1:4" x14ac:dyDescent="0.2">
      <c r="A107" t="s">
        <v>14</v>
      </c>
      <c r="B107">
        <v>1999</v>
      </c>
      <c r="C107" t="s">
        <v>18</v>
      </c>
      <c r="D107">
        <v>9.1999999999999993</v>
      </c>
    </row>
    <row r="108" spans="1:4" x14ac:dyDescent="0.2">
      <c r="A108" t="s">
        <v>15</v>
      </c>
      <c r="B108">
        <v>1999</v>
      </c>
      <c r="C108" t="s">
        <v>18</v>
      </c>
      <c r="D108">
        <v>86.3</v>
      </c>
    </row>
    <row r="109" spans="1:4" x14ac:dyDescent="0.2">
      <c r="A109" t="s">
        <v>16</v>
      </c>
      <c r="B109">
        <v>1999</v>
      </c>
      <c r="C109" t="s">
        <v>18</v>
      </c>
      <c r="D109">
        <v>29.2</v>
      </c>
    </row>
    <row r="110" spans="1:4" x14ac:dyDescent="0.2">
      <c r="A110" t="s">
        <v>5</v>
      </c>
      <c r="B110">
        <v>2011</v>
      </c>
      <c r="C110" t="s">
        <v>18</v>
      </c>
      <c r="D110">
        <v>14</v>
      </c>
    </row>
    <row r="111" spans="1:4" x14ac:dyDescent="0.2">
      <c r="A111" t="s">
        <v>6</v>
      </c>
      <c r="B111">
        <v>2011</v>
      </c>
      <c r="C111" t="s">
        <v>18</v>
      </c>
      <c r="D111">
        <v>19</v>
      </c>
    </row>
    <row r="112" spans="1:4" x14ac:dyDescent="0.2">
      <c r="A112" t="s">
        <v>7</v>
      </c>
      <c r="B112">
        <v>2011</v>
      </c>
      <c r="C112" t="s">
        <v>18</v>
      </c>
      <c r="D112">
        <v>14.9</v>
      </c>
    </row>
    <row r="113" spans="1:4" x14ac:dyDescent="0.2">
      <c r="A113" t="s">
        <v>8</v>
      </c>
      <c r="B113">
        <v>2011</v>
      </c>
      <c r="C113" t="s">
        <v>18</v>
      </c>
      <c r="D113">
        <v>35.9</v>
      </c>
    </row>
    <row r="114" spans="1:4" x14ac:dyDescent="0.2">
      <c r="A114" t="s">
        <v>9</v>
      </c>
      <c r="B114">
        <v>2011</v>
      </c>
      <c r="C114" t="s">
        <v>18</v>
      </c>
      <c r="D114">
        <v>54.3</v>
      </c>
    </row>
    <row r="115" spans="1:4" x14ac:dyDescent="0.2">
      <c r="A115" t="s">
        <v>10</v>
      </c>
      <c r="B115">
        <v>2011</v>
      </c>
      <c r="C115" t="s">
        <v>18</v>
      </c>
      <c r="D115">
        <v>8.1999999999999993</v>
      </c>
    </row>
    <row r="116" spans="1:4" x14ac:dyDescent="0.2">
      <c r="A116" t="s">
        <v>11</v>
      </c>
      <c r="B116">
        <v>2011</v>
      </c>
      <c r="C116" t="s">
        <v>18</v>
      </c>
      <c r="D116">
        <v>28.2</v>
      </c>
    </row>
    <row r="117" spans="1:4" x14ac:dyDescent="0.2">
      <c r="A117" t="s">
        <v>12</v>
      </c>
      <c r="B117">
        <v>2011</v>
      </c>
      <c r="C117" t="s">
        <v>18</v>
      </c>
      <c r="D117">
        <v>59.2</v>
      </c>
    </row>
    <row r="118" spans="1:4" x14ac:dyDescent="0.2">
      <c r="A118" t="s">
        <v>13</v>
      </c>
      <c r="B118">
        <v>2011</v>
      </c>
      <c r="C118" t="s">
        <v>18</v>
      </c>
      <c r="D118">
        <v>87</v>
      </c>
    </row>
    <row r="119" spans="1:4" x14ac:dyDescent="0.2">
      <c r="A119" t="s">
        <v>14</v>
      </c>
      <c r="B119">
        <v>2011</v>
      </c>
      <c r="C119" t="s">
        <v>18</v>
      </c>
      <c r="D119">
        <v>11.2</v>
      </c>
    </row>
    <row r="120" spans="1:4" x14ac:dyDescent="0.2">
      <c r="A120" t="s">
        <v>15</v>
      </c>
      <c r="B120">
        <v>2011</v>
      </c>
      <c r="C120" t="s">
        <v>18</v>
      </c>
      <c r="D120">
        <v>75.2</v>
      </c>
    </row>
    <row r="121" spans="1:4" x14ac:dyDescent="0.2">
      <c r="A121" t="s">
        <v>16</v>
      </c>
      <c r="B121">
        <v>2011</v>
      </c>
      <c r="C121" t="s">
        <v>18</v>
      </c>
      <c r="D121">
        <v>23.4</v>
      </c>
    </row>
    <row r="122" spans="1:4" x14ac:dyDescent="0.2">
      <c r="A122" t="s">
        <v>5</v>
      </c>
      <c r="B122">
        <v>2012</v>
      </c>
      <c r="C122" t="s">
        <v>18</v>
      </c>
      <c r="D122">
        <v>11.5</v>
      </c>
    </row>
    <row r="123" spans="1:4" x14ac:dyDescent="0.2">
      <c r="A123" t="s">
        <v>6</v>
      </c>
      <c r="B123">
        <v>2012</v>
      </c>
      <c r="C123" t="s">
        <v>18</v>
      </c>
      <c r="D123">
        <v>21.2</v>
      </c>
    </row>
    <row r="124" spans="1:4" x14ac:dyDescent="0.2">
      <c r="A124" t="s">
        <v>7</v>
      </c>
      <c r="B124">
        <v>2012</v>
      </c>
      <c r="C124" t="s">
        <v>18</v>
      </c>
      <c r="D124">
        <v>13.9</v>
      </c>
    </row>
    <row r="125" spans="1:4" x14ac:dyDescent="0.2">
      <c r="A125" t="s">
        <v>8</v>
      </c>
      <c r="B125">
        <v>2012</v>
      </c>
      <c r="C125" t="s">
        <v>18</v>
      </c>
      <c r="D125">
        <v>32.799999999999997</v>
      </c>
    </row>
    <row r="126" spans="1:4" x14ac:dyDescent="0.2">
      <c r="A126" t="s">
        <v>9</v>
      </c>
      <c r="B126">
        <v>2012</v>
      </c>
      <c r="C126" t="s">
        <v>18</v>
      </c>
      <c r="D126">
        <v>56.1</v>
      </c>
    </row>
    <row r="127" spans="1:4" x14ac:dyDescent="0.2">
      <c r="A127" t="s">
        <v>10</v>
      </c>
      <c r="B127">
        <v>2012</v>
      </c>
      <c r="C127" t="s">
        <v>18</v>
      </c>
      <c r="D127">
        <v>10</v>
      </c>
    </row>
    <row r="128" spans="1:4" x14ac:dyDescent="0.2">
      <c r="A128" t="s">
        <v>11</v>
      </c>
      <c r="B128">
        <v>2012</v>
      </c>
      <c r="C128" t="s">
        <v>18</v>
      </c>
      <c r="D128">
        <v>28.9</v>
      </c>
    </row>
    <row r="129" spans="1:4" x14ac:dyDescent="0.2">
      <c r="A129" t="s">
        <v>12</v>
      </c>
      <c r="B129">
        <v>2012</v>
      </c>
      <c r="C129" t="s">
        <v>18</v>
      </c>
      <c r="D129">
        <v>59.9</v>
      </c>
    </row>
    <row r="130" spans="1:4" x14ac:dyDescent="0.2">
      <c r="A130" t="s">
        <v>13</v>
      </c>
      <c r="B130">
        <v>2012</v>
      </c>
      <c r="C130" t="s">
        <v>18</v>
      </c>
      <c r="D130">
        <v>88.7</v>
      </c>
    </row>
    <row r="131" spans="1:4" x14ac:dyDescent="0.2">
      <c r="A131" t="s">
        <v>14</v>
      </c>
      <c r="B131">
        <v>2012</v>
      </c>
      <c r="C131" t="s">
        <v>18</v>
      </c>
      <c r="D131">
        <v>11.6</v>
      </c>
    </row>
    <row r="132" spans="1:4" x14ac:dyDescent="0.2">
      <c r="A132" t="s">
        <v>15</v>
      </c>
      <c r="B132">
        <v>2012</v>
      </c>
      <c r="C132" t="s">
        <v>18</v>
      </c>
      <c r="D132">
        <v>74.7</v>
      </c>
    </row>
    <row r="133" spans="1:4" x14ac:dyDescent="0.2">
      <c r="A133" t="s">
        <v>16</v>
      </c>
      <c r="B133">
        <v>2012</v>
      </c>
      <c r="C133" t="s">
        <v>18</v>
      </c>
      <c r="D133">
        <v>24.7</v>
      </c>
    </row>
    <row r="134" spans="1:4" x14ac:dyDescent="0.2">
      <c r="A134" t="s">
        <v>5</v>
      </c>
      <c r="B134">
        <v>2019</v>
      </c>
      <c r="C134" t="s">
        <v>18</v>
      </c>
      <c r="D134">
        <v>11.3</v>
      </c>
    </row>
    <row r="135" spans="1:4" x14ac:dyDescent="0.2">
      <c r="A135" t="s">
        <v>6</v>
      </c>
      <c r="B135">
        <v>2019</v>
      </c>
      <c r="C135" t="s">
        <v>18</v>
      </c>
      <c r="D135">
        <v>18.7</v>
      </c>
    </row>
    <row r="136" spans="1:4" x14ac:dyDescent="0.2">
      <c r="A136" t="s">
        <v>7</v>
      </c>
      <c r="B136">
        <v>2019</v>
      </c>
      <c r="C136" t="s">
        <v>18</v>
      </c>
      <c r="D136">
        <v>12.9</v>
      </c>
    </row>
    <row r="137" spans="1:4" x14ac:dyDescent="0.2">
      <c r="A137" t="s">
        <v>8</v>
      </c>
      <c r="B137">
        <v>2019</v>
      </c>
      <c r="C137" t="s">
        <v>18</v>
      </c>
      <c r="D137">
        <v>29.8</v>
      </c>
    </row>
    <row r="138" spans="1:4" x14ac:dyDescent="0.2">
      <c r="A138" t="s">
        <v>9</v>
      </c>
      <c r="B138">
        <v>2019</v>
      </c>
      <c r="C138" t="s">
        <v>18</v>
      </c>
      <c r="D138">
        <v>52.2</v>
      </c>
    </row>
    <row r="139" spans="1:4" x14ac:dyDescent="0.2">
      <c r="A139" t="s">
        <v>10</v>
      </c>
      <c r="B139">
        <v>2019</v>
      </c>
      <c r="C139" t="s">
        <v>18</v>
      </c>
      <c r="D139">
        <v>10.199999999999999</v>
      </c>
    </row>
    <row r="140" spans="1:4" x14ac:dyDescent="0.2">
      <c r="A140" t="s">
        <v>11</v>
      </c>
      <c r="B140">
        <v>2019</v>
      </c>
      <c r="C140" t="s">
        <v>18</v>
      </c>
      <c r="D140">
        <v>24.3</v>
      </c>
    </row>
    <row r="141" spans="1:4" x14ac:dyDescent="0.2">
      <c r="A141" t="s">
        <v>12</v>
      </c>
      <c r="B141">
        <v>2019</v>
      </c>
      <c r="C141" t="s">
        <v>18</v>
      </c>
      <c r="D141">
        <v>56.6</v>
      </c>
    </row>
    <row r="142" spans="1:4" x14ac:dyDescent="0.2">
      <c r="A142" t="s">
        <v>13</v>
      </c>
      <c r="B142">
        <v>2019</v>
      </c>
      <c r="C142" t="s">
        <v>18</v>
      </c>
      <c r="D142">
        <v>88.9</v>
      </c>
    </row>
    <row r="143" spans="1:4" x14ac:dyDescent="0.2">
      <c r="A143" t="s">
        <v>14</v>
      </c>
      <c r="B143">
        <v>2019</v>
      </c>
      <c r="C143" t="s">
        <v>18</v>
      </c>
      <c r="D143">
        <v>9.3000000000000007</v>
      </c>
    </row>
    <row r="144" spans="1:4" x14ac:dyDescent="0.2">
      <c r="A144" t="s">
        <v>15</v>
      </c>
      <c r="B144">
        <v>2019</v>
      </c>
      <c r="C144" t="s">
        <v>18</v>
      </c>
      <c r="D144">
        <v>66.3</v>
      </c>
    </row>
    <row r="145" spans="1:4" x14ac:dyDescent="0.2">
      <c r="A145" t="s">
        <v>16</v>
      </c>
      <c r="B145">
        <v>2019</v>
      </c>
      <c r="C145" t="s">
        <v>18</v>
      </c>
      <c r="D145">
        <v>21.8</v>
      </c>
    </row>
    <row r="146" spans="1:4" x14ac:dyDescent="0.2">
      <c r="A146" t="s">
        <v>5</v>
      </c>
      <c r="B146">
        <v>1999</v>
      </c>
      <c r="C146" t="s">
        <v>19</v>
      </c>
      <c r="D146">
        <v>52.2</v>
      </c>
    </row>
    <row r="147" spans="1:4" x14ac:dyDescent="0.2">
      <c r="A147" t="s">
        <v>6</v>
      </c>
      <c r="B147">
        <v>1999</v>
      </c>
      <c r="C147" t="s">
        <v>19</v>
      </c>
      <c r="D147">
        <v>64.2</v>
      </c>
    </row>
    <row r="148" spans="1:4" x14ac:dyDescent="0.2">
      <c r="A148" t="s">
        <v>7</v>
      </c>
      <c r="B148">
        <v>1999</v>
      </c>
      <c r="C148" t="s">
        <v>19</v>
      </c>
      <c r="D148">
        <v>33.4</v>
      </c>
    </row>
    <row r="149" spans="1:4" x14ac:dyDescent="0.2">
      <c r="A149" t="s">
        <v>8</v>
      </c>
      <c r="B149">
        <v>1999</v>
      </c>
      <c r="C149" t="s">
        <v>19</v>
      </c>
      <c r="D149">
        <v>111.7</v>
      </c>
    </row>
    <row r="150" spans="1:4" x14ac:dyDescent="0.2">
      <c r="A150" t="s">
        <v>9</v>
      </c>
      <c r="B150">
        <v>1999</v>
      </c>
      <c r="C150" t="s">
        <v>19</v>
      </c>
      <c r="D150">
        <v>215.1</v>
      </c>
    </row>
    <row r="151" spans="1:4" x14ac:dyDescent="0.2">
      <c r="A151" t="s">
        <v>10</v>
      </c>
      <c r="B151">
        <v>1999</v>
      </c>
      <c r="C151" t="s">
        <v>19</v>
      </c>
      <c r="D151">
        <v>32.799999999999997</v>
      </c>
    </row>
    <row r="152" spans="1:4" x14ac:dyDescent="0.2">
      <c r="A152" t="s">
        <v>11</v>
      </c>
      <c r="B152">
        <v>1999</v>
      </c>
      <c r="C152" t="s">
        <v>19</v>
      </c>
      <c r="D152">
        <v>139.30000000000001</v>
      </c>
    </row>
    <row r="153" spans="1:4" x14ac:dyDescent="0.2">
      <c r="A153" t="s">
        <v>12</v>
      </c>
      <c r="B153">
        <v>1999</v>
      </c>
      <c r="C153" t="s">
        <v>19</v>
      </c>
      <c r="D153">
        <v>337.6</v>
      </c>
    </row>
    <row r="154" spans="1:4" x14ac:dyDescent="0.2">
      <c r="A154" t="s">
        <v>13</v>
      </c>
      <c r="B154">
        <v>1999</v>
      </c>
      <c r="C154" t="s">
        <v>19</v>
      </c>
      <c r="D154">
        <v>391.1</v>
      </c>
    </row>
    <row r="155" spans="1:4" x14ac:dyDescent="0.2">
      <c r="A155" t="s">
        <v>14</v>
      </c>
      <c r="B155">
        <v>1999</v>
      </c>
      <c r="C155" t="s">
        <v>19</v>
      </c>
      <c r="D155">
        <v>43.5</v>
      </c>
    </row>
    <row r="156" spans="1:4" x14ac:dyDescent="0.2">
      <c r="A156" t="s">
        <v>15</v>
      </c>
      <c r="B156">
        <v>1999</v>
      </c>
      <c r="C156" t="s">
        <v>19</v>
      </c>
      <c r="D156">
        <v>289.7</v>
      </c>
    </row>
    <row r="157" spans="1:4" x14ac:dyDescent="0.2">
      <c r="A157" t="s">
        <v>16</v>
      </c>
      <c r="B157">
        <v>1999</v>
      </c>
      <c r="C157" t="s">
        <v>19</v>
      </c>
      <c r="D157">
        <v>115.9</v>
      </c>
    </row>
    <row r="158" spans="1:4" x14ac:dyDescent="0.2">
      <c r="A158" t="s">
        <v>5</v>
      </c>
      <c r="B158">
        <v>2011</v>
      </c>
      <c r="C158" t="s">
        <v>19</v>
      </c>
      <c r="D158">
        <v>62.4</v>
      </c>
    </row>
    <row r="159" spans="1:4" x14ac:dyDescent="0.2">
      <c r="A159" t="s">
        <v>6</v>
      </c>
      <c r="B159">
        <v>2011</v>
      </c>
      <c r="C159" t="s">
        <v>19</v>
      </c>
      <c r="D159">
        <v>65.5</v>
      </c>
    </row>
    <row r="160" spans="1:4" x14ac:dyDescent="0.2">
      <c r="A160" t="s">
        <v>7</v>
      </c>
      <c r="B160">
        <v>2011</v>
      </c>
      <c r="C160" t="s">
        <v>19</v>
      </c>
      <c r="D160">
        <v>51.5</v>
      </c>
    </row>
    <row r="161" spans="1:4" x14ac:dyDescent="0.2">
      <c r="A161" t="s">
        <v>8</v>
      </c>
      <c r="B161">
        <v>2011</v>
      </c>
      <c r="C161" t="s">
        <v>19</v>
      </c>
      <c r="D161">
        <v>134.29999999999998</v>
      </c>
    </row>
    <row r="162" spans="1:4" x14ac:dyDescent="0.2">
      <c r="A162" t="s">
        <v>9</v>
      </c>
      <c r="B162">
        <v>2011</v>
      </c>
      <c r="C162" t="s">
        <v>19</v>
      </c>
      <c r="D162">
        <v>243.1</v>
      </c>
    </row>
    <row r="163" spans="1:4" x14ac:dyDescent="0.2">
      <c r="A163" t="s">
        <v>10</v>
      </c>
      <c r="B163">
        <v>2011</v>
      </c>
      <c r="C163" t="s">
        <v>19</v>
      </c>
      <c r="D163">
        <v>55.7</v>
      </c>
    </row>
    <row r="164" spans="1:4" x14ac:dyDescent="0.2">
      <c r="A164" t="s">
        <v>11</v>
      </c>
      <c r="B164">
        <v>2011</v>
      </c>
      <c r="C164" t="s">
        <v>19</v>
      </c>
      <c r="D164">
        <v>160.19999999999999</v>
      </c>
    </row>
    <row r="165" spans="1:4" x14ac:dyDescent="0.2">
      <c r="A165" t="s">
        <v>12</v>
      </c>
      <c r="B165">
        <v>2011</v>
      </c>
      <c r="C165" t="s">
        <v>19</v>
      </c>
      <c r="D165">
        <v>370.1</v>
      </c>
    </row>
    <row r="166" spans="1:4" x14ac:dyDescent="0.2">
      <c r="A166" t="s">
        <v>13</v>
      </c>
      <c r="B166">
        <v>2011</v>
      </c>
      <c r="C166" t="s">
        <v>19</v>
      </c>
      <c r="D166">
        <v>431</v>
      </c>
    </row>
    <row r="167" spans="1:4" x14ac:dyDescent="0.2">
      <c r="A167" t="s">
        <v>14</v>
      </c>
      <c r="B167">
        <v>2011</v>
      </c>
      <c r="C167" t="s">
        <v>19</v>
      </c>
      <c r="D167">
        <v>44.1</v>
      </c>
    </row>
    <row r="168" spans="1:4" x14ac:dyDescent="0.2">
      <c r="A168" t="s">
        <v>15</v>
      </c>
      <c r="B168">
        <v>2011</v>
      </c>
      <c r="C168" t="s">
        <v>19</v>
      </c>
      <c r="D168">
        <v>310.7</v>
      </c>
    </row>
    <row r="169" spans="1:4" x14ac:dyDescent="0.2">
      <c r="A169" t="s">
        <v>16</v>
      </c>
      <c r="B169">
        <v>2011</v>
      </c>
      <c r="C169" t="s">
        <v>19</v>
      </c>
      <c r="D169">
        <v>134.6</v>
      </c>
    </row>
    <row r="170" spans="1:4" x14ac:dyDescent="0.2">
      <c r="A170" t="s">
        <v>5</v>
      </c>
      <c r="B170">
        <v>2012</v>
      </c>
      <c r="C170" t="s">
        <v>19</v>
      </c>
      <c r="D170">
        <v>60.400000000000006</v>
      </c>
    </row>
    <row r="171" spans="1:4" x14ac:dyDescent="0.2">
      <c r="A171" t="s">
        <v>6</v>
      </c>
      <c r="B171">
        <v>2012</v>
      </c>
      <c r="C171" t="s">
        <v>19</v>
      </c>
      <c r="D171">
        <v>73.8</v>
      </c>
    </row>
    <row r="172" spans="1:4" x14ac:dyDescent="0.2">
      <c r="A172" t="s">
        <v>7</v>
      </c>
      <c r="B172">
        <v>2012</v>
      </c>
      <c r="C172" t="s">
        <v>19</v>
      </c>
      <c r="D172">
        <v>54.599999999999994</v>
      </c>
    </row>
    <row r="173" spans="1:4" x14ac:dyDescent="0.2">
      <c r="A173" t="s">
        <v>8</v>
      </c>
      <c r="B173">
        <v>2012</v>
      </c>
      <c r="C173" t="s">
        <v>19</v>
      </c>
      <c r="D173">
        <v>128.19999999999999</v>
      </c>
    </row>
    <row r="174" spans="1:4" x14ac:dyDescent="0.2">
      <c r="A174" t="s">
        <v>9</v>
      </c>
      <c r="B174">
        <v>2012</v>
      </c>
      <c r="C174" t="s">
        <v>19</v>
      </c>
      <c r="D174">
        <v>242.5</v>
      </c>
    </row>
    <row r="175" spans="1:4" x14ac:dyDescent="0.2">
      <c r="A175" t="s">
        <v>10</v>
      </c>
      <c r="B175">
        <v>2012</v>
      </c>
      <c r="C175" t="s">
        <v>19</v>
      </c>
      <c r="D175">
        <v>58.699999999999996</v>
      </c>
    </row>
    <row r="176" spans="1:4" x14ac:dyDescent="0.2">
      <c r="A176" t="s">
        <v>11</v>
      </c>
      <c r="B176">
        <v>2012</v>
      </c>
      <c r="C176" t="s">
        <v>19</v>
      </c>
      <c r="D176">
        <v>172.4</v>
      </c>
    </row>
    <row r="177" spans="1:4" x14ac:dyDescent="0.2">
      <c r="A177" t="s">
        <v>12</v>
      </c>
      <c r="B177">
        <v>2012</v>
      </c>
      <c r="C177" t="s">
        <v>19</v>
      </c>
      <c r="D177">
        <v>378.4</v>
      </c>
    </row>
    <row r="178" spans="1:4" x14ac:dyDescent="0.2">
      <c r="A178" t="s">
        <v>13</v>
      </c>
      <c r="B178">
        <v>2012</v>
      </c>
      <c r="C178" t="s">
        <v>19</v>
      </c>
      <c r="D178">
        <v>428.5</v>
      </c>
    </row>
    <row r="179" spans="1:4" x14ac:dyDescent="0.2">
      <c r="A179" t="s">
        <v>14</v>
      </c>
      <c r="B179">
        <v>2012</v>
      </c>
      <c r="C179" t="s">
        <v>19</v>
      </c>
      <c r="D179">
        <v>48.6</v>
      </c>
    </row>
    <row r="180" spans="1:4" x14ac:dyDescent="0.2">
      <c r="A180" t="s">
        <v>15</v>
      </c>
      <c r="B180">
        <v>2012</v>
      </c>
      <c r="C180" t="s">
        <v>19</v>
      </c>
      <c r="D180">
        <v>317.40000000000003</v>
      </c>
    </row>
    <row r="181" spans="1:4" x14ac:dyDescent="0.2">
      <c r="A181" t="s">
        <v>16</v>
      </c>
      <c r="B181">
        <v>2012</v>
      </c>
      <c r="C181" t="s">
        <v>19</v>
      </c>
      <c r="D181">
        <v>138.20000000000002</v>
      </c>
    </row>
    <row r="182" spans="1:4" x14ac:dyDescent="0.2">
      <c r="A182" t="s">
        <v>5</v>
      </c>
      <c r="B182">
        <v>2019</v>
      </c>
      <c r="C182" t="s">
        <v>19</v>
      </c>
      <c r="D182">
        <v>65.8</v>
      </c>
    </row>
    <row r="183" spans="1:4" x14ac:dyDescent="0.2">
      <c r="A183" t="s">
        <v>6</v>
      </c>
      <c r="B183">
        <v>2019</v>
      </c>
      <c r="C183" t="s">
        <v>19</v>
      </c>
      <c r="D183">
        <v>75.3</v>
      </c>
    </row>
    <row r="184" spans="1:4" x14ac:dyDescent="0.2">
      <c r="A184" t="s">
        <v>7</v>
      </c>
      <c r="B184">
        <v>2019</v>
      </c>
      <c r="C184" t="s">
        <v>19</v>
      </c>
      <c r="D184">
        <v>54.4</v>
      </c>
    </row>
    <row r="185" spans="1:4" x14ac:dyDescent="0.2">
      <c r="A185" t="s">
        <v>8</v>
      </c>
      <c r="B185">
        <v>2019</v>
      </c>
      <c r="C185" t="s">
        <v>19</v>
      </c>
      <c r="D185">
        <v>143.80000000000001</v>
      </c>
    </row>
    <row r="186" spans="1:4" x14ac:dyDescent="0.2">
      <c r="A186" t="s">
        <v>9</v>
      </c>
      <c r="B186">
        <v>2019</v>
      </c>
      <c r="C186" t="s">
        <v>19</v>
      </c>
      <c r="D186">
        <v>263.10000000000002</v>
      </c>
    </row>
    <row r="187" spans="1:4" x14ac:dyDescent="0.2">
      <c r="A187" t="s">
        <v>10</v>
      </c>
      <c r="B187">
        <v>2019</v>
      </c>
      <c r="C187" t="s">
        <v>19</v>
      </c>
      <c r="D187">
        <v>65.2</v>
      </c>
    </row>
    <row r="188" spans="1:4" x14ac:dyDescent="0.2">
      <c r="A188" t="s">
        <v>11</v>
      </c>
      <c r="B188">
        <v>2019</v>
      </c>
      <c r="C188" t="s">
        <v>19</v>
      </c>
      <c r="D188">
        <v>174.10000000000002</v>
      </c>
    </row>
    <row r="189" spans="1:4" x14ac:dyDescent="0.2">
      <c r="A189" t="s">
        <v>12</v>
      </c>
      <c r="B189">
        <v>2019</v>
      </c>
      <c r="C189" t="s">
        <v>19</v>
      </c>
      <c r="D189">
        <v>394</v>
      </c>
    </row>
    <row r="190" spans="1:4" x14ac:dyDescent="0.2">
      <c r="A190" t="s">
        <v>13</v>
      </c>
      <c r="B190">
        <v>2019</v>
      </c>
      <c r="C190" t="s">
        <v>19</v>
      </c>
      <c r="D190">
        <v>485.5</v>
      </c>
    </row>
    <row r="191" spans="1:4" x14ac:dyDescent="0.2">
      <c r="A191" t="s">
        <v>14</v>
      </c>
      <c r="B191">
        <v>2019</v>
      </c>
      <c r="C191" t="s">
        <v>19</v>
      </c>
      <c r="D191">
        <v>50</v>
      </c>
    </row>
    <row r="192" spans="1:4" x14ac:dyDescent="0.2">
      <c r="A192" t="s">
        <v>15</v>
      </c>
      <c r="B192">
        <v>2019</v>
      </c>
      <c r="C192" t="s">
        <v>19</v>
      </c>
      <c r="D192">
        <v>355.8</v>
      </c>
    </row>
    <row r="193" spans="1:4" x14ac:dyDescent="0.2">
      <c r="A193" t="s">
        <v>16</v>
      </c>
      <c r="B193">
        <v>2019</v>
      </c>
      <c r="C193" t="s">
        <v>19</v>
      </c>
      <c r="D193">
        <v>141.4</v>
      </c>
    </row>
    <row r="194" spans="1:4" x14ac:dyDescent="0.2">
      <c r="A194" t="s">
        <v>5</v>
      </c>
      <c r="B194">
        <v>1999</v>
      </c>
      <c r="C194" t="s">
        <v>20</v>
      </c>
      <c r="D194">
        <v>34.700000000000003</v>
      </c>
    </row>
    <row r="195" spans="1:4" x14ac:dyDescent="0.2">
      <c r="A195" t="s">
        <v>6</v>
      </c>
      <c r="B195">
        <v>1999</v>
      </c>
      <c r="C195" t="s">
        <v>20</v>
      </c>
      <c r="D195">
        <v>31.1</v>
      </c>
    </row>
    <row r="196" spans="1:4" x14ac:dyDescent="0.2">
      <c r="A196" t="s">
        <v>7</v>
      </c>
      <c r="B196">
        <v>1999</v>
      </c>
      <c r="C196" t="s">
        <v>20</v>
      </c>
      <c r="D196">
        <v>18.600000000000001</v>
      </c>
    </row>
    <row r="197" spans="1:4" x14ac:dyDescent="0.2">
      <c r="A197" t="s">
        <v>8</v>
      </c>
      <c r="B197">
        <v>1999</v>
      </c>
      <c r="C197" t="s">
        <v>20</v>
      </c>
      <c r="D197">
        <v>54.6</v>
      </c>
    </row>
    <row r="198" spans="1:4" x14ac:dyDescent="0.2">
      <c r="A198" t="s">
        <v>9</v>
      </c>
      <c r="B198">
        <v>1999</v>
      </c>
      <c r="C198" t="s">
        <v>20</v>
      </c>
      <c r="D198">
        <v>121.5</v>
      </c>
    </row>
    <row r="199" spans="1:4" x14ac:dyDescent="0.2">
      <c r="A199" t="s">
        <v>10</v>
      </c>
      <c r="B199">
        <v>1999</v>
      </c>
      <c r="C199" t="s">
        <v>20</v>
      </c>
      <c r="D199">
        <v>29.7</v>
      </c>
    </row>
    <row r="200" spans="1:4" x14ac:dyDescent="0.2">
      <c r="A200" t="s">
        <v>11</v>
      </c>
      <c r="B200">
        <v>1999</v>
      </c>
      <c r="C200" t="s">
        <v>20</v>
      </c>
      <c r="D200">
        <v>108.6</v>
      </c>
    </row>
    <row r="201" spans="1:4" x14ac:dyDescent="0.2">
      <c r="A201" t="s">
        <v>12</v>
      </c>
      <c r="B201">
        <v>1999</v>
      </c>
      <c r="C201" t="s">
        <v>20</v>
      </c>
      <c r="D201">
        <v>216.6</v>
      </c>
    </row>
    <row r="202" spans="1:4" x14ac:dyDescent="0.2">
      <c r="A202" t="s">
        <v>13</v>
      </c>
      <c r="B202">
        <v>1999</v>
      </c>
      <c r="C202" t="s">
        <v>20</v>
      </c>
      <c r="D202">
        <v>284.5</v>
      </c>
    </row>
    <row r="203" spans="1:4" x14ac:dyDescent="0.2">
      <c r="A203" t="s">
        <v>14</v>
      </c>
      <c r="B203">
        <v>1999</v>
      </c>
      <c r="C203" t="s">
        <v>20</v>
      </c>
      <c r="D203">
        <v>19.3</v>
      </c>
    </row>
    <row r="204" spans="1:4" x14ac:dyDescent="0.2">
      <c r="A204" t="s">
        <v>15</v>
      </c>
      <c r="B204">
        <v>1999</v>
      </c>
      <c r="C204" t="s">
        <v>20</v>
      </c>
      <c r="D204">
        <v>147.69999999999999</v>
      </c>
    </row>
    <row r="205" spans="1:4" x14ac:dyDescent="0.2">
      <c r="A205" t="s">
        <v>16</v>
      </c>
      <c r="B205">
        <v>1999</v>
      </c>
      <c r="C205" t="s">
        <v>20</v>
      </c>
      <c r="D205">
        <v>66</v>
      </c>
    </row>
    <row r="206" spans="1:4" x14ac:dyDescent="0.2">
      <c r="A206" t="s">
        <v>5</v>
      </c>
      <c r="B206">
        <v>2011</v>
      </c>
      <c r="C206" t="s">
        <v>20</v>
      </c>
      <c r="D206">
        <v>27.200000000000003</v>
      </c>
    </row>
    <row r="207" spans="1:4" x14ac:dyDescent="0.2">
      <c r="A207" t="s">
        <v>6</v>
      </c>
      <c r="B207">
        <v>2011</v>
      </c>
      <c r="C207" t="s">
        <v>20</v>
      </c>
      <c r="D207">
        <v>34.299999999999997</v>
      </c>
    </row>
    <row r="208" spans="1:4" x14ac:dyDescent="0.2">
      <c r="A208" t="s">
        <v>7</v>
      </c>
      <c r="B208">
        <v>2011</v>
      </c>
      <c r="C208" t="s">
        <v>20</v>
      </c>
      <c r="D208">
        <v>24</v>
      </c>
    </row>
    <row r="209" spans="1:4" x14ac:dyDescent="0.2">
      <c r="A209" t="s">
        <v>8</v>
      </c>
      <c r="B209">
        <v>2011</v>
      </c>
      <c r="C209" t="s">
        <v>20</v>
      </c>
      <c r="D209">
        <v>56.099999999999994</v>
      </c>
    </row>
    <row r="210" spans="1:4" x14ac:dyDescent="0.2">
      <c r="A210" t="s">
        <v>9</v>
      </c>
      <c r="B210">
        <v>2011</v>
      </c>
      <c r="C210" t="s">
        <v>20</v>
      </c>
      <c r="D210">
        <v>111.8</v>
      </c>
    </row>
    <row r="211" spans="1:4" x14ac:dyDescent="0.2">
      <c r="A211" t="s">
        <v>10</v>
      </c>
      <c r="B211">
        <v>2011</v>
      </c>
      <c r="C211" t="s">
        <v>20</v>
      </c>
      <c r="D211">
        <v>27.8</v>
      </c>
    </row>
    <row r="212" spans="1:4" x14ac:dyDescent="0.2">
      <c r="A212" t="s">
        <v>11</v>
      </c>
      <c r="B212">
        <v>2011</v>
      </c>
      <c r="C212" t="s">
        <v>20</v>
      </c>
      <c r="D212">
        <v>92.3</v>
      </c>
    </row>
    <row r="213" spans="1:4" x14ac:dyDescent="0.2">
      <c r="A213" t="s">
        <v>12</v>
      </c>
      <c r="B213">
        <v>2011</v>
      </c>
      <c r="C213" t="s">
        <v>20</v>
      </c>
      <c r="D213">
        <v>210.39999999999998</v>
      </c>
    </row>
    <row r="214" spans="1:4" x14ac:dyDescent="0.2">
      <c r="A214" t="s">
        <v>13</v>
      </c>
      <c r="B214">
        <v>2011</v>
      </c>
      <c r="C214" t="s">
        <v>20</v>
      </c>
      <c r="D214">
        <v>234.60000000000002</v>
      </c>
    </row>
    <row r="215" spans="1:4" x14ac:dyDescent="0.2">
      <c r="A215" t="s">
        <v>14</v>
      </c>
      <c r="B215">
        <v>2011</v>
      </c>
      <c r="C215" t="s">
        <v>20</v>
      </c>
      <c r="D215">
        <v>16.600000000000001</v>
      </c>
    </row>
    <row r="216" spans="1:4" x14ac:dyDescent="0.2">
      <c r="A216" t="s">
        <v>15</v>
      </c>
      <c r="B216">
        <v>2011</v>
      </c>
      <c r="C216" t="s">
        <v>20</v>
      </c>
      <c r="D216">
        <v>136.1</v>
      </c>
    </row>
    <row r="217" spans="1:4" x14ac:dyDescent="0.2">
      <c r="A217" t="s">
        <v>16</v>
      </c>
      <c r="B217">
        <v>2011</v>
      </c>
      <c r="C217" t="s">
        <v>20</v>
      </c>
      <c r="D217">
        <v>54.8</v>
      </c>
    </row>
    <row r="218" spans="1:4" x14ac:dyDescent="0.2">
      <c r="A218" t="s">
        <v>5</v>
      </c>
      <c r="B218">
        <v>2012</v>
      </c>
      <c r="C218" t="s">
        <v>20</v>
      </c>
      <c r="D218">
        <v>30.799999999999997</v>
      </c>
    </row>
    <row r="219" spans="1:4" x14ac:dyDescent="0.2">
      <c r="A219" t="s">
        <v>6</v>
      </c>
      <c r="B219">
        <v>2012</v>
      </c>
      <c r="C219" t="s">
        <v>20</v>
      </c>
      <c r="D219">
        <v>33.1</v>
      </c>
    </row>
    <row r="220" spans="1:4" x14ac:dyDescent="0.2">
      <c r="A220" t="s">
        <v>7</v>
      </c>
      <c r="B220">
        <v>2012</v>
      </c>
      <c r="C220" t="s">
        <v>20</v>
      </c>
      <c r="D220">
        <v>24.1</v>
      </c>
    </row>
    <row r="221" spans="1:4" x14ac:dyDescent="0.2">
      <c r="A221" t="s">
        <v>8</v>
      </c>
      <c r="B221">
        <v>2012</v>
      </c>
      <c r="C221" t="s">
        <v>20</v>
      </c>
      <c r="D221">
        <v>53.099999999999994</v>
      </c>
    </row>
    <row r="222" spans="1:4" x14ac:dyDescent="0.2">
      <c r="A222" t="s">
        <v>9</v>
      </c>
      <c r="B222">
        <v>2012</v>
      </c>
      <c r="C222" t="s">
        <v>20</v>
      </c>
      <c r="D222">
        <v>120.80000000000001</v>
      </c>
    </row>
    <row r="223" spans="1:4" x14ac:dyDescent="0.2">
      <c r="A223" t="s">
        <v>10</v>
      </c>
      <c r="B223">
        <v>2012</v>
      </c>
      <c r="C223" t="s">
        <v>20</v>
      </c>
      <c r="D223">
        <v>25.299999999999997</v>
      </c>
    </row>
    <row r="224" spans="1:4" x14ac:dyDescent="0.2">
      <c r="A224" t="s">
        <v>11</v>
      </c>
      <c r="B224">
        <v>2012</v>
      </c>
      <c r="C224" t="s">
        <v>20</v>
      </c>
      <c r="D224">
        <v>96.5</v>
      </c>
    </row>
    <row r="225" spans="1:4" x14ac:dyDescent="0.2">
      <c r="A225" t="s">
        <v>12</v>
      </c>
      <c r="B225">
        <v>2012</v>
      </c>
      <c r="C225" t="s">
        <v>20</v>
      </c>
      <c r="D225">
        <v>213.6</v>
      </c>
    </row>
    <row r="226" spans="1:4" x14ac:dyDescent="0.2">
      <c r="A226" t="s">
        <v>13</v>
      </c>
      <c r="B226">
        <v>2012</v>
      </c>
      <c r="C226" t="s">
        <v>20</v>
      </c>
      <c r="D226">
        <v>247.60000000000002</v>
      </c>
    </row>
    <row r="227" spans="1:4" x14ac:dyDescent="0.2">
      <c r="A227" t="s">
        <v>14</v>
      </c>
      <c r="B227">
        <v>2012</v>
      </c>
      <c r="C227" t="s">
        <v>20</v>
      </c>
      <c r="D227">
        <v>14.5</v>
      </c>
    </row>
    <row r="228" spans="1:4" x14ac:dyDescent="0.2">
      <c r="A228" t="s">
        <v>15</v>
      </c>
      <c r="B228">
        <v>2012</v>
      </c>
      <c r="C228" t="s">
        <v>20</v>
      </c>
      <c r="D228">
        <v>143.9</v>
      </c>
    </row>
    <row r="229" spans="1:4" x14ac:dyDescent="0.2">
      <c r="A229" t="s">
        <v>16</v>
      </c>
      <c r="B229">
        <v>2012</v>
      </c>
      <c r="C229" t="s">
        <v>20</v>
      </c>
      <c r="D229">
        <v>54.599999999999994</v>
      </c>
    </row>
    <row r="230" spans="1:4" x14ac:dyDescent="0.2">
      <c r="A230" t="s">
        <v>5</v>
      </c>
      <c r="B230">
        <v>2019</v>
      </c>
      <c r="C230" t="s">
        <v>20</v>
      </c>
      <c r="D230">
        <v>38.700000000000003</v>
      </c>
    </row>
    <row r="231" spans="1:4" x14ac:dyDescent="0.2">
      <c r="A231" t="s">
        <v>6</v>
      </c>
      <c r="B231">
        <v>2019</v>
      </c>
      <c r="C231" t="s">
        <v>20</v>
      </c>
      <c r="D231">
        <v>41.3</v>
      </c>
    </row>
    <row r="232" spans="1:4" x14ac:dyDescent="0.2">
      <c r="A232" t="s">
        <v>7</v>
      </c>
      <c r="B232">
        <v>2019</v>
      </c>
      <c r="C232" t="s">
        <v>20</v>
      </c>
      <c r="D232">
        <v>32.4</v>
      </c>
    </row>
    <row r="233" spans="1:4" x14ac:dyDescent="0.2">
      <c r="A233" t="s">
        <v>8</v>
      </c>
      <c r="B233">
        <v>2019</v>
      </c>
      <c r="C233" t="s">
        <v>20</v>
      </c>
      <c r="D233">
        <v>74.8</v>
      </c>
    </row>
    <row r="234" spans="1:4" x14ac:dyDescent="0.2">
      <c r="A234" t="s">
        <v>9</v>
      </c>
      <c r="B234">
        <v>2019</v>
      </c>
      <c r="C234" t="s">
        <v>20</v>
      </c>
      <c r="D234">
        <v>148.30000000000001</v>
      </c>
    </row>
    <row r="235" spans="1:4" x14ac:dyDescent="0.2">
      <c r="A235" t="s">
        <v>10</v>
      </c>
      <c r="B235">
        <v>2019</v>
      </c>
      <c r="C235" t="s">
        <v>20</v>
      </c>
      <c r="D235">
        <v>34.4</v>
      </c>
    </row>
    <row r="236" spans="1:4" x14ac:dyDescent="0.2">
      <c r="A236" t="s">
        <v>11</v>
      </c>
      <c r="B236">
        <v>2019</v>
      </c>
      <c r="C236" t="s">
        <v>20</v>
      </c>
      <c r="D236">
        <v>122.3</v>
      </c>
    </row>
    <row r="237" spans="1:4" x14ac:dyDescent="0.2">
      <c r="A237" t="s">
        <v>12</v>
      </c>
      <c r="B237">
        <v>2019</v>
      </c>
      <c r="C237" t="s">
        <v>20</v>
      </c>
      <c r="D237">
        <v>298.5</v>
      </c>
    </row>
    <row r="238" spans="1:4" x14ac:dyDescent="0.2">
      <c r="A238" t="s">
        <v>13</v>
      </c>
      <c r="B238">
        <v>2019</v>
      </c>
      <c r="C238" t="s">
        <v>20</v>
      </c>
      <c r="D238">
        <v>309.89999999999998</v>
      </c>
    </row>
    <row r="239" spans="1:4" x14ac:dyDescent="0.2">
      <c r="A239" t="s">
        <v>14</v>
      </c>
      <c r="B239">
        <v>2019</v>
      </c>
      <c r="C239" t="s">
        <v>20</v>
      </c>
      <c r="D239">
        <v>18.899999999999999</v>
      </c>
    </row>
    <row r="240" spans="1:4" x14ac:dyDescent="0.2">
      <c r="A240" t="s">
        <v>15</v>
      </c>
      <c r="B240">
        <v>2019</v>
      </c>
      <c r="C240" t="s">
        <v>20</v>
      </c>
      <c r="D240">
        <v>195.7</v>
      </c>
    </row>
    <row r="241" spans="1:4" x14ac:dyDescent="0.2">
      <c r="A241" t="s">
        <v>16</v>
      </c>
      <c r="B241">
        <v>2019</v>
      </c>
      <c r="C241" t="s">
        <v>20</v>
      </c>
      <c r="D241">
        <v>66.3</v>
      </c>
    </row>
    <row r="242" spans="1:4" x14ac:dyDescent="0.2">
      <c r="A242" t="s">
        <v>5</v>
      </c>
      <c r="B242">
        <v>1999</v>
      </c>
      <c r="C242" t="s">
        <v>21</v>
      </c>
      <c r="D242">
        <v>85.8</v>
      </c>
    </row>
    <row r="243" spans="1:4" x14ac:dyDescent="0.2">
      <c r="A243" t="s">
        <v>6</v>
      </c>
      <c r="B243">
        <v>1999</v>
      </c>
      <c r="C243" t="s">
        <v>21</v>
      </c>
      <c r="D243">
        <v>93.4</v>
      </c>
    </row>
    <row r="244" spans="1:4" x14ac:dyDescent="0.2">
      <c r="A244" t="s">
        <v>7</v>
      </c>
      <c r="B244">
        <v>1999</v>
      </c>
      <c r="C244" t="s">
        <v>21</v>
      </c>
      <c r="D244">
        <v>79.2</v>
      </c>
    </row>
    <row r="245" spans="1:4" x14ac:dyDescent="0.2">
      <c r="A245" t="s">
        <v>8</v>
      </c>
      <c r="B245">
        <v>1999</v>
      </c>
      <c r="C245" t="s">
        <v>21</v>
      </c>
      <c r="D245">
        <v>147.19999999999999</v>
      </c>
    </row>
    <row r="246" spans="1:4" x14ac:dyDescent="0.2">
      <c r="A246" t="s">
        <v>9</v>
      </c>
      <c r="B246">
        <v>1999</v>
      </c>
      <c r="C246" t="s">
        <v>21</v>
      </c>
      <c r="D246">
        <v>298.2</v>
      </c>
    </row>
    <row r="247" spans="1:4" x14ac:dyDescent="0.2">
      <c r="A247" t="s">
        <v>10</v>
      </c>
      <c r="B247">
        <v>1999</v>
      </c>
      <c r="C247" t="s">
        <v>21</v>
      </c>
      <c r="D247">
        <v>48.1</v>
      </c>
    </row>
    <row r="248" spans="1:4" x14ac:dyDescent="0.2">
      <c r="A248" t="s">
        <v>11</v>
      </c>
      <c r="B248">
        <v>1999</v>
      </c>
      <c r="C248" t="s">
        <v>21</v>
      </c>
      <c r="D248">
        <v>188.2</v>
      </c>
    </row>
    <row r="249" spans="1:4" x14ac:dyDescent="0.2">
      <c r="A249" t="s">
        <v>12</v>
      </c>
      <c r="B249">
        <v>1999</v>
      </c>
      <c r="C249" t="s">
        <v>21</v>
      </c>
      <c r="D249">
        <v>401.4</v>
      </c>
    </row>
    <row r="250" spans="1:4" x14ac:dyDescent="0.2">
      <c r="A250" t="s">
        <v>13</v>
      </c>
      <c r="B250">
        <v>1999</v>
      </c>
      <c r="C250" t="s">
        <v>21</v>
      </c>
      <c r="D250">
        <v>547</v>
      </c>
    </row>
    <row r="251" spans="1:4" x14ac:dyDescent="0.2">
      <c r="A251" t="s">
        <v>14</v>
      </c>
      <c r="B251">
        <v>1999</v>
      </c>
      <c r="C251" t="s">
        <v>21</v>
      </c>
      <c r="D251">
        <v>43.2</v>
      </c>
    </row>
    <row r="252" spans="1:4" x14ac:dyDescent="0.2">
      <c r="A252" t="s">
        <v>15</v>
      </c>
      <c r="B252">
        <v>1999</v>
      </c>
      <c r="C252" t="s">
        <v>21</v>
      </c>
      <c r="D252">
        <v>299.7</v>
      </c>
    </row>
    <row r="253" spans="1:4" x14ac:dyDescent="0.2">
      <c r="A253" t="s">
        <v>16</v>
      </c>
      <c r="B253">
        <v>1999</v>
      </c>
      <c r="C253" t="s">
        <v>21</v>
      </c>
      <c r="D253">
        <v>151.19999999999999</v>
      </c>
    </row>
    <row r="254" spans="1:4" x14ac:dyDescent="0.2">
      <c r="A254" t="s">
        <v>5</v>
      </c>
      <c r="B254">
        <v>2011</v>
      </c>
      <c r="C254" t="s">
        <v>21</v>
      </c>
      <c r="D254">
        <v>106.80000000000001</v>
      </c>
    </row>
    <row r="255" spans="1:4" x14ac:dyDescent="0.2">
      <c r="A255" t="s">
        <v>6</v>
      </c>
      <c r="B255">
        <v>2011</v>
      </c>
      <c r="C255" t="s">
        <v>21</v>
      </c>
      <c r="D255">
        <v>109.89999999999999</v>
      </c>
    </row>
    <row r="256" spans="1:4" x14ac:dyDescent="0.2">
      <c r="A256" t="s">
        <v>7</v>
      </c>
      <c r="B256">
        <v>2011</v>
      </c>
      <c r="C256" t="s">
        <v>21</v>
      </c>
      <c r="D256">
        <v>78</v>
      </c>
    </row>
    <row r="257" spans="1:4" x14ac:dyDescent="0.2">
      <c r="A257" t="s">
        <v>8</v>
      </c>
      <c r="B257">
        <v>2011</v>
      </c>
      <c r="C257" t="s">
        <v>21</v>
      </c>
      <c r="D257">
        <v>187.7</v>
      </c>
    </row>
    <row r="258" spans="1:4" x14ac:dyDescent="0.2">
      <c r="A258" t="s">
        <v>9</v>
      </c>
      <c r="B258">
        <v>2011</v>
      </c>
      <c r="C258" t="s">
        <v>21</v>
      </c>
      <c r="D258">
        <v>339.20000000000005</v>
      </c>
    </row>
    <row r="259" spans="1:4" x14ac:dyDescent="0.2">
      <c r="A259" t="s">
        <v>10</v>
      </c>
      <c r="B259">
        <v>2011</v>
      </c>
      <c r="C259" t="s">
        <v>21</v>
      </c>
      <c r="D259">
        <v>60.5</v>
      </c>
    </row>
    <row r="260" spans="1:4" x14ac:dyDescent="0.2">
      <c r="A260" t="s">
        <v>11</v>
      </c>
      <c r="B260">
        <v>2011</v>
      </c>
      <c r="C260" t="s">
        <v>21</v>
      </c>
      <c r="D260">
        <v>224.5</v>
      </c>
    </row>
    <row r="261" spans="1:4" x14ac:dyDescent="0.2">
      <c r="A261" t="s">
        <v>12</v>
      </c>
      <c r="B261">
        <v>2011</v>
      </c>
      <c r="C261" t="s">
        <v>21</v>
      </c>
      <c r="D261">
        <v>441</v>
      </c>
    </row>
    <row r="262" spans="1:4" x14ac:dyDescent="0.2">
      <c r="A262" t="s">
        <v>13</v>
      </c>
      <c r="B262">
        <v>2011</v>
      </c>
      <c r="C262" t="s">
        <v>21</v>
      </c>
      <c r="D262">
        <v>603.29999999999995</v>
      </c>
    </row>
    <row r="263" spans="1:4" x14ac:dyDescent="0.2">
      <c r="A263" t="s">
        <v>14</v>
      </c>
      <c r="B263">
        <v>2011</v>
      </c>
      <c r="C263" t="s">
        <v>21</v>
      </c>
      <c r="D263">
        <v>59.199999999999996</v>
      </c>
    </row>
    <row r="264" spans="1:4" x14ac:dyDescent="0.2">
      <c r="A264" t="s">
        <v>15</v>
      </c>
      <c r="B264">
        <v>2011</v>
      </c>
      <c r="C264" t="s">
        <v>21</v>
      </c>
      <c r="D264">
        <v>363.5</v>
      </c>
    </row>
    <row r="265" spans="1:4" x14ac:dyDescent="0.2">
      <c r="A265" t="s">
        <v>16</v>
      </c>
      <c r="B265">
        <v>2011</v>
      </c>
      <c r="C265" t="s">
        <v>21</v>
      </c>
      <c r="D265">
        <v>170.70000000000002</v>
      </c>
    </row>
    <row r="266" spans="1:4" x14ac:dyDescent="0.2">
      <c r="A266" t="s">
        <v>5</v>
      </c>
      <c r="B266">
        <v>2012</v>
      </c>
      <c r="C266" t="s">
        <v>21</v>
      </c>
      <c r="D266">
        <v>106.9</v>
      </c>
    </row>
    <row r="267" spans="1:4" x14ac:dyDescent="0.2">
      <c r="A267" t="s">
        <v>6</v>
      </c>
      <c r="B267">
        <v>2012</v>
      </c>
      <c r="C267" t="s">
        <v>21</v>
      </c>
      <c r="D267">
        <v>102.6</v>
      </c>
    </row>
    <row r="268" spans="1:4" x14ac:dyDescent="0.2">
      <c r="A268" t="s">
        <v>7</v>
      </c>
      <c r="B268">
        <v>2012</v>
      </c>
      <c r="C268" t="s">
        <v>21</v>
      </c>
      <c r="D268">
        <v>79.5</v>
      </c>
    </row>
    <row r="269" spans="1:4" x14ac:dyDescent="0.2">
      <c r="A269" t="s">
        <v>8</v>
      </c>
      <c r="B269">
        <v>2012</v>
      </c>
      <c r="C269" t="s">
        <v>21</v>
      </c>
      <c r="D269">
        <v>188.5</v>
      </c>
    </row>
    <row r="270" spans="1:4" x14ac:dyDescent="0.2">
      <c r="A270" t="s">
        <v>9</v>
      </c>
      <c r="B270">
        <v>2012</v>
      </c>
      <c r="C270" t="s">
        <v>21</v>
      </c>
      <c r="D270">
        <v>334.09999999999997</v>
      </c>
    </row>
    <row r="271" spans="1:4" x14ac:dyDescent="0.2">
      <c r="A271" t="s">
        <v>10</v>
      </c>
      <c r="B271">
        <v>2012</v>
      </c>
      <c r="C271" t="s">
        <v>21</v>
      </c>
      <c r="D271">
        <v>60.3</v>
      </c>
    </row>
    <row r="272" spans="1:4" x14ac:dyDescent="0.2">
      <c r="A272" t="s">
        <v>11</v>
      </c>
      <c r="B272">
        <v>2012</v>
      </c>
      <c r="C272" t="s">
        <v>21</v>
      </c>
      <c r="D272">
        <v>222</v>
      </c>
    </row>
    <row r="273" spans="1:4" x14ac:dyDescent="0.2">
      <c r="A273" t="s">
        <v>12</v>
      </c>
      <c r="B273">
        <v>2012</v>
      </c>
      <c r="C273" t="s">
        <v>21</v>
      </c>
      <c r="D273">
        <v>446.2</v>
      </c>
    </row>
    <row r="274" spans="1:4" x14ac:dyDescent="0.2">
      <c r="A274" t="s">
        <v>13</v>
      </c>
      <c r="B274">
        <v>2012</v>
      </c>
      <c r="C274" t="s">
        <v>21</v>
      </c>
      <c r="D274">
        <v>598.1</v>
      </c>
    </row>
    <row r="275" spans="1:4" x14ac:dyDescent="0.2">
      <c r="A275" t="s">
        <v>14</v>
      </c>
      <c r="B275">
        <v>2012</v>
      </c>
      <c r="C275" t="s">
        <v>21</v>
      </c>
      <c r="D275">
        <v>56.9</v>
      </c>
    </row>
    <row r="276" spans="1:4" x14ac:dyDescent="0.2">
      <c r="A276" t="s">
        <v>15</v>
      </c>
      <c r="B276">
        <v>2012</v>
      </c>
      <c r="C276" t="s">
        <v>21</v>
      </c>
      <c r="D276">
        <v>367</v>
      </c>
    </row>
    <row r="277" spans="1:4" x14ac:dyDescent="0.2">
      <c r="A277" t="s">
        <v>16</v>
      </c>
      <c r="B277">
        <v>2012</v>
      </c>
      <c r="C277" t="s">
        <v>21</v>
      </c>
      <c r="D277">
        <v>176.5</v>
      </c>
    </row>
    <row r="278" spans="1:4" x14ac:dyDescent="0.2">
      <c r="A278" t="s">
        <v>5</v>
      </c>
      <c r="B278">
        <v>2019</v>
      </c>
      <c r="C278" t="s">
        <v>21</v>
      </c>
      <c r="D278">
        <v>102.6</v>
      </c>
    </row>
    <row r="279" spans="1:4" x14ac:dyDescent="0.2">
      <c r="A279" t="s">
        <v>6</v>
      </c>
      <c r="B279">
        <v>2019</v>
      </c>
      <c r="C279" t="s">
        <v>21</v>
      </c>
      <c r="D279">
        <v>103.5</v>
      </c>
    </row>
    <row r="280" spans="1:4" x14ac:dyDescent="0.2">
      <c r="A280" t="s">
        <v>7</v>
      </c>
      <c r="B280">
        <v>2019</v>
      </c>
      <c r="C280" t="s">
        <v>21</v>
      </c>
      <c r="D280">
        <v>78</v>
      </c>
    </row>
    <row r="281" spans="1:4" x14ac:dyDescent="0.2">
      <c r="A281" t="s">
        <v>8</v>
      </c>
      <c r="B281">
        <v>2019</v>
      </c>
      <c r="C281" t="s">
        <v>21</v>
      </c>
      <c r="D281">
        <v>185.1</v>
      </c>
    </row>
    <row r="282" spans="1:4" x14ac:dyDescent="0.2">
      <c r="A282" t="s">
        <v>9</v>
      </c>
      <c r="B282">
        <v>2019</v>
      </c>
      <c r="C282" t="s">
        <v>21</v>
      </c>
      <c r="D282">
        <v>339.7</v>
      </c>
    </row>
    <row r="283" spans="1:4" x14ac:dyDescent="0.2">
      <c r="A283" t="s">
        <v>10</v>
      </c>
      <c r="B283">
        <v>2019</v>
      </c>
      <c r="C283" t="s">
        <v>21</v>
      </c>
      <c r="D283">
        <v>66.7</v>
      </c>
    </row>
    <row r="284" spans="1:4" x14ac:dyDescent="0.2">
      <c r="A284" t="s">
        <v>11</v>
      </c>
      <c r="B284">
        <v>2019</v>
      </c>
      <c r="C284" t="s">
        <v>21</v>
      </c>
      <c r="D284">
        <v>236.5</v>
      </c>
    </row>
    <row r="285" spans="1:4" x14ac:dyDescent="0.2">
      <c r="A285" t="s">
        <v>12</v>
      </c>
      <c r="B285">
        <v>2019</v>
      </c>
      <c r="C285" t="s">
        <v>21</v>
      </c>
      <c r="D285">
        <v>449.4</v>
      </c>
    </row>
    <row r="286" spans="1:4" x14ac:dyDescent="0.2">
      <c r="A286" t="s">
        <v>13</v>
      </c>
      <c r="B286">
        <v>2019</v>
      </c>
      <c r="C286" t="s">
        <v>21</v>
      </c>
      <c r="D286">
        <v>594.79999999999995</v>
      </c>
    </row>
    <row r="287" spans="1:4" x14ac:dyDescent="0.2">
      <c r="A287" t="s">
        <v>14</v>
      </c>
      <c r="B287">
        <v>2019</v>
      </c>
      <c r="C287" t="s">
        <v>21</v>
      </c>
      <c r="D287">
        <v>57.4</v>
      </c>
    </row>
    <row r="288" spans="1:4" x14ac:dyDescent="0.2">
      <c r="A288" t="s">
        <v>15</v>
      </c>
      <c r="B288">
        <v>2019</v>
      </c>
      <c r="C288" t="s">
        <v>21</v>
      </c>
      <c r="D288">
        <v>366.5</v>
      </c>
    </row>
    <row r="289" spans="1:4" x14ac:dyDescent="0.2">
      <c r="A289" t="s">
        <v>16</v>
      </c>
      <c r="B289">
        <v>2019</v>
      </c>
      <c r="C289" t="s">
        <v>21</v>
      </c>
      <c r="D289">
        <v>168.2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30D6-D383-E344-8E3D-3FC5AC5E776C}">
  <dimension ref="A1:J25"/>
  <sheetViews>
    <sheetView tabSelected="1" workbookViewId="0">
      <selection activeCell="I20" sqref="I20"/>
    </sheetView>
  </sheetViews>
  <sheetFormatPr baseColWidth="10" defaultRowHeight="16" x14ac:dyDescent="0.2"/>
  <cols>
    <col min="1" max="2" width="10.83203125" style="1"/>
    <col min="3" max="3" width="16.83203125" style="4" bestFit="1" customWidth="1"/>
    <col min="4" max="4" width="10.83203125" style="1"/>
  </cols>
  <sheetData>
    <row r="1" spans="1:10" x14ac:dyDescent="0.2">
      <c r="A1" s="1" t="s">
        <v>1</v>
      </c>
      <c r="B1" s="1" t="s">
        <v>2</v>
      </c>
      <c r="C1" s="4" t="s">
        <v>3</v>
      </c>
    </row>
    <row r="2" spans="1:10" x14ac:dyDescent="0.2">
      <c r="A2" s="1">
        <v>1999</v>
      </c>
      <c r="B2" s="1" t="s">
        <v>4</v>
      </c>
      <c r="C2" s="4">
        <v>77134471</v>
      </c>
    </row>
    <row r="3" spans="1:10" x14ac:dyDescent="0.2">
      <c r="A3" s="1">
        <v>1999</v>
      </c>
      <c r="B3" s="1" t="s">
        <v>17</v>
      </c>
      <c r="C3" s="4">
        <v>3683427867</v>
      </c>
    </row>
    <row r="4" spans="1:10" x14ac:dyDescent="0.2">
      <c r="A4" s="1">
        <v>1999</v>
      </c>
      <c r="B4" s="1" t="s">
        <v>18</v>
      </c>
      <c r="C4" s="4">
        <v>0</v>
      </c>
    </row>
    <row r="5" spans="1:10" x14ac:dyDescent="0.2">
      <c r="A5" s="1">
        <v>1999</v>
      </c>
      <c r="B5" s="1" t="s">
        <v>19</v>
      </c>
      <c r="C5" s="4">
        <v>0</v>
      </c>
    </row>
    <row r="6" spans="1:10" x14ac:dyDescent="0.2">
      <c r="A6" s="1">
        <v>1999</v>
      </c>
      <c r="B6" s="1" t="s">
        <v>20</v>
      </c>
      <c r="C6" s="4">
        <v>9663</v>
      </c>
    </row>
    <row r="7" spans="1:10" x14ac:dyDescent="0.2">
      <c r="A7" s="1">
        <v>1999</v>
      </c>
      <c r="B7" s="1" t="s">
        <v>21</v>
      </c>
      <c r="C7" s="4">
        <v>1191543</v>
      </c>
    </row>
    <row r="8" spans="1:10" x14ac:dyDescent="0.2">
      <c r="A8" s="1">
        <v>2011</v>
      </c>
      <c r="B8" s="1" t="s">
        <v>4</v>
      </c>
      <c r="C8" s="4">
        <v>412381208.41300005</v>
      </c>
    </row>
    <row r="9" spans="1:10" x14ac:dyDescent="0.2">
      <c r="A9" s="1">
        <v>2011</v>
      </c>
      <c r="B9" s="1" t="s">
        <v>17</v>
      </c>
      <c r="C9" s="4">
        <v>42165925355.58902</v>
      </c>
    </row>
    <row r="10" spans="1:10" x14ac:dyDescent="0.2">
      <c r="A10" s="1">
        <v>2011</v>
      </c>
      <c r="B10" s="1" t="s">
        <v>18</v>
      </c>
      <c r="C10" s="4">
        <v>0</v>
      </c>
    </row>
    <row r="11" spans="1:10" x14ac:dyDescent="0.2">
      <c r="A11" s="1">
        <v>2011</v>
      </c>
      <c r="B11" s="1" t="s">
        <v>19</v>
      </c>
      <c r="C11" s="4">
        <v>0</v>
      </c>
    </row>
    <row r="12" spans="1:10" x14ac:dyDescent="0.2">
      <c r="A12" s="1">
        <v>2011</v>
      </c>
      <c r="B12" s="1" t="s">
        <v>20</v>
      </c>
      <c r="C12" s="4">
        <v>164761.07500000001</v>
      </c>
    </row>
    <row r="13" spans="1:10" x14ac:dyDescent="0.2">
      <c r="A13" s="1">
        <v>2011</v>
      </c>
      <c r="B13" s="1" t="s">
        <v>21</v>
      </c>
      <c r="C13" s="4">
        <v>6510555.8869999992</v>
      </c>
      <c r="H13" s="1"/>
      <c r="I13" s="1"/>
      <c r="J13" s="1"/>
    </row>
    <row r="14" spans="1:10" x14ac:dyDescent="0.2">
      <c r="A14" s="1">
        <v>2012</v>
      </c>
      <c r="B14" s="1" t="s">
        <v>4</v>
      </c>
      <c r="C14" s="4">
        <v>348480880.87500006</v>
      </c>
      <c r="H14" s="1"/>
      <c r="I14" s="1"/>
      <c r="J14" s="1"/>
    </row>
    <row r="15" spans="1:10" x14ac:dyDescent="0.2">
      <c r="A15" s="1">
        <v>2012</v>
      </c>
      <c r="B15" s="1" t="s">
        <v>17</v>
      </c>
      <c r="C15" s="4">
        <v>40508845053.324982</v>
      </c>
      <c r="H15" s="1"/>
      <c r="I15" s="1"/>
      <c r="J15" s="1"/>
    </row>
    <row r="16" spans="1:10" x14ac:dyDescent="0.2">
      <c r="A16" s="1">
        <v>2012</v>
      </c>
      <c r="B16" s="1" t="s">
        <v>18</v>
      </c>
      <c r="C16" s="4">
        <v>0</v>
      </c>
      <c r="H16" s="1"/>
      <c r="I16" s="1"/>
      <c r="J16" s="1"/>
    </row>
    <row r="17" spans="1:10" x14ac:dyDescent="0.2">
      <c r="A17" s="1">
        <v>2012</v>
      </c>
      <c r="B17" s="1" t="s">
        <v>19</v>
      </c>
      <c r="C17" s="4">
        <v>0</v>
      </c>
      <c r="H17" s="1"/>
      <c r="I17" s="1"/>
      <c r="J17" s="1"/>
    </row>
    <row r="18" spans="1:10" x14ac:dyDescent="0.2">
      <c r="A18" s="1">
        <v>2012</v>
      </c>
      <c r="B18" s="1" t="s">
        <v>20</v>
      </c>
      <c r="C18" s="4">
        <v>206968.18100000001</v>
      </c>
      <c r="H18" s="1"/>
      <c r="I18" s="1"/>
      <c r="J18" s="1"/>
    </row>
    <row r="19" spans="1:10" x14ac:dyDescent="0.2">
      <c r="A19" s="1">
        <v>2012</v>
      </c>
      <c r="B19" s="1" t="s">
        <v>21</v>
      </c>
      <c r="C19" s="4">
        <v>5846268.7640000004</v>
      </c>
      <c r="H19" s="1"/>
      <c r="I19" s="1"/>
      <c r="J19" s="1"/>
    </row>
    <row r="20" spans="1:10" x14ac:dyDescent="0.2">
      <c r="A20" s="1">
        <v>2019</v>
      </c>
      <c r="B20" s="1" t="s">
        <v>4</v>
      </c>
      <c r="C20" s="4">
        <v>127976760.11299999</v>
      </c>
    </row>
    <row r="21" spans="1:10" x14ac:dyDescent="0.2">
      <c r="A21" s="1">
        <v>2019</v>
      </c>
      <c r="B21" s="1" t="s">
        <v>17</v>
      </c>
      <c r="C21" s="4">
        <v>47285504035.513977</v>
      </c>
    </row>
    <row r="22" spans="1:10" x14ac:dyDescent="0.2">
      <c r="A22" s="1">
        <v>2019</v>
      </c>
      <c r="B22" s="1" t="s">
        <v>18</v>
      </c>
      <c r="C22" s="4">
        <v>0</v>
      </c>
    </row>
    <row r="23" spans="1:10" x14ac:dyDescent="0.2">
      <c r="A23" s="1">
        <v>2019</v>
      </c>
      <c r="B23" s="1" t="s">
        <v>19</v>
      </c>
      <c r="C23" s="4">
        <v>0</v>
      </c>
    </row>
    <row r="24" spans="1:10" x14ac:dyDescent="0.2">
      <c r="A24" s="1">
        <v>2019</v>
      </c>
      <c r="B24" s="1" t="s">
        <v>20</v>
      </c>
      <c r="C24" s="4">
        <v>20430.035</v>
      </c>
    </row>
    <row r="25" spans="1:10" x14ac:dyDescent="0.2">
      <c r="A25" s="1">
        <v>2019</v>
      </c>
      <c r="B25" s="1" t="s">
        <v>21</v>
      </c>
      <c r="C25" s="4">
        <v>2634948.3060000003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637F-261C-ED4F-8193-0E324F78C684}">
  <dimension ref="A1:C25"/>
  <sheetViews>
    <sheetView workbookViewId="0">
      <selection activeCell="H22" sqref="H22"/>
    </sheetView>
  </sheetViews>
  <sheetFormatPr baseColWidth="10" defaultRowHeight="16" x14ac:dyDescent="0.2"/>
  <sheetData>
    <row r="1" spans="1:3" x14ac:dyDescent="0.2">
      <c r="A1" s="1" t="s">
        <v>1</v>
      </c>
      <c r="B1" t="s">
        <v>2</v>
      </c>
      <c r="C1" t="s">
        <v>22</v>
      </c>
    </row>
    <row r="2" spans="1:3" x14ac:dyDescent="0.2">
      <c r="A2" s="1">
        <v>1999</v>
      </c>
      <c r="B2" s="1" t="s">
        <v>4</v>
      </c>
      <c r="C2">
        <f>SUM(employment!D2:D13)</f>
        <v>226.1</v>
      </c>
    </row>
    <row r="3" spans="1:3" x14ac:dyDescent="0.2">
      <c r="A3" s="1">
        <v>1999</v>
      </c>
      <c r="B3" s="1" t="s">
        <v>17</v>
      </c>
      <c r="C3">
        <f>SUM(employment!D50:D61)</f>
        <v>1144.3999999999999</v>
      </c>
    </row>
    <row r="4" spans="1:3" x14ac:dyDescent="0.2">
      <c r="A4" s="1">
        <v>1999</v>
      </c>
      <c r="B4" s="1" t="s">
        <v>18</v>
      </c>
      <c r="C4">
        <f>SUM(employment!D98:D109)</f>
        <v>460.49999999999994</v>
      </c>
    </row>
    <row r="5" spans="1:3" x14ac:dyDescent="0.2">
      <c r="A5" s="1">
        <v>1999</v>
      </c>
      <c r="B5" s="1" t="s">
        <v>19</v>
      </c>
      <c r="C5">
        <f>SUM(employment!D146:D157)</f>
        <v>1826.5000000000002</v>
      </c>
    </row>
    <row r="6" spans="1:3" x14ac:dyDescent="0.2">
      <c r="A6" s="1">
        <v>1999</v>
      </c>
      <c r="B6" s="1" t="s">
        <v>20</v>
      </c>
      <c r="C6">
        <f>SUM(employment!D194:D205)</f>
        <v>1132.8999999999999</v>
      </c>
    </row>
    <row r="7" spans="1:3" x14ac:dyDescent="0.2">
      <c r="A7" s="1">
        <v>1999</v>
      </c>
      <c r="B7" s="1" t="s">
        <v>21</v>
      </c>
      <c r="C7">
        <f>SUM(employment!D242:D253)</f>
        <v>2382.6</v>
      </c>
    </row>
    <row r="8" spans="1:3" x14ac:dyDescent="0.2">
      <c r="A8" s="1">
        <v>2011</v>
      </c>
      <c r="B8" s="1" t="s">
        <v>4</v>
      </c>
      <c r="C8">
        <f>SUM(employment!D14:D25)</f>
        <v>194.1</v>
      </c>
    </row>
    <row r="9" spans="1:3" x14ac:dyDescent="0.2">
      <c r="A9" s="1">
        <v>2011</v>
      </c>
      <c r="B9" s="1" t="s">
        <v>17</v>
      </c>
      <c r="C9">
        <f>SUM(employment!D62:D73)</f>
        <v>828</v>
      </c>
    </row>
    <row r="10" spans="1:3" x14ac:dyDescent="0.2">
      <c r="A10" s="1">
        <v>2011</v>
      </c>
      <c r="B10" s="1" t="s">
        <v>18</v>
      </c>
      <c r="C10">
        <f>SUM(employment!D110:D121)</f>
        <v>430.49999999999994</v>
      </c>
    </row>
    <row r="11" spans="1:3" x14ac:dyDescent="0.2">
      <c r="A11" s="1">
        <v>2011</v>
      </c>
      <c r="B11" s="1" t="s">
        <v>19</v>
      </c>
      <c r="C11">
        <f>SUM(employment!D158:D169)</f>
        <v>2063.2000000000003</v>
      </c>
    </row>
    <row r="12" spans="1:3" x14ac:dyDescent="0.2">
      <c r="A12" s="1">
        <v>2011</v>
      </c>
      <c r="B12" s="1" t="s">
        <v>20</v>
      </c>
      <c r="C12">
        <f>SUM(employment!D206:D217)</f>
        <v>1026</v>
      </c>
    </row>
    <row r="13" spans="1:3" x14ac:dyDescent="0.2">
      <c r="A13" s="1">
        <v>2011</v>
      </c>
      <c r="B13" s="1" t="s">
        <v>21</v>
      </c>
      <c r="C13">
        <f>SUM(employment!D254:D265)</f>
        <v>2744.2999999999993</v>
      </c>
    </row>
    <row r="14" spans="1:3" x14ac:dyDescent="0.2">
      <c r="A14" s="1">
        <v>2012</v>
      </c>
      <c r="B14" s="1" t="s">
        <v>4</v>
      </c>
      <c r="C14">
        <f>SUM(employment!D26:D37)</f>
        <v>192.4</v>
      </c>
    </row>
    <row r="15" spans="1:3" x14ac:dyDescent="0.2">
      <c r="A15" s="1">
        <v>2012</v>
      </c>
      <c r="B15" s="1" t="s">
        <v>17</v>
      </c>
      <c r="C15">
        <f>SUM(employment!D74:D85)</f>
        <v>844.1</v>
      </c>
    </row>
    <row r="16" spans="1:3" x14ac:dyDescent="0.2">
      <c r="A16" s="1">
        <v>2012</v>
      </c>
      <c r="B16" s="1" t="s">
        <v>18</v>
      </c>
      <c r="C16">
        <f>SUM(employment!D122:D133)</f>
        <v>434</v>
      </c>
    </row>
    <row r="17" spans="1:3" x14ac:dyDescent="0.2">
      <c r="A17" s="1">
        <v>2012</v>
      </c>
      <c r="B17" s="1" t="s">
        <v>19</v>
      </c>
      <c r="C17">
        <f>SUM(employment!D170:D181)</f>
        <v>2101.6999999999998</v>
      </c>
    </row>
    <row r="18" spans="1:3" x14ac:dyDescent="0.2">
      <c r="A18" s="1">
        <v>2012</v>
      </c>
      <c r="B18" s="1" t="s">
        <v>20</v>
      </c>
      <c r="C18">
        <f>SUM(employment!D218:D229)</f>
        <v>1057.8999999999999</v>
      </c>
    </row>
    <row r="19" spans="1:3" x14ac:dyDescent="0.2">
      <c r="A19" s="1">
        <v>2012</v>
      </c>
      <c r="B19" s="1" t="s">
        <v>21</v>
      </c>
      <c r="C19">
        <f>SUM(employment!D266:D277)</f>
        <v>2738.6</v>
      </c>
    </row>
    <row r="20" spans="1:3" x14ac:dyDescent="0.2">
      <c r="A20" s="1">
        <v>2019</v>
      </c>
      <c r="B20" s="1" t="s">
        <v>4</v>
      </c>
      <c r="C20">
        <f>SUM(employment!D38:D49)</f>
        <v>154.4</v>
      </c>
    </row>
    <row r="21" spans="1:3" x14ac:dyDescent="0.2">
      <c r="A21" s="1">
        <v>2019</v>
      </c>
      <c r="B21" s="1" t="s">
        <v>17</v>
      </c>
      <c r="C21">
        <f>SUM(employment!D86:D97)</f>
        <v>866.50000000000011</v>
      </c>
    </row>
    <row r="22" spans="1:3" x14ac:dyDescent="0.2">
      <c r="A22" s="1">
        <v>2019</v>
      </c>
      <c r="B22" s="1" t="s">
        <v>18</v>
      </c>
      <c r="C22">
        <f>SUM(employment!D134:D145)</f>
        <v>402.3</v>
      </c>
    </row>
    <row r="23" spans="1:3" x14ac:dyDescent="0.2">
      <c r="A23" s="1">
        <v>2019</v>
      </c>
      <c r="B23" s="1" t="s">
        <v>19</v>
      </c>
      <c r="C23">
        <f>SUM(employment!D182:D193)</f>
        <v>2268.4000000000005</v>
      </c>
    </row>
    <row r="24" spans="1:3" x14ac:dyDescent="0.2">
      <c r="A24" s="1">
        <v>2019</v>
      </c>
      <c r="B24" s="1" t="s">
        <v>20</v>
      </c>
      <c r="C24">
        <f>SUM(employment!D230:D241)</f>
        <v>1381.5</v>
      </c>
    </row>
    <row r="25" spans="1:3" x14ac:dyDescent="0.2">
      <c r="A25" s="1">
        <v>2019</v>
      </c>
      <c r="B25" s="1" t="s">
        <v>21</v>
      </c>
      <c r="C25">
        <f>SUM(employment!D278:D289)</f>
        <v>2748.4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C88B-591E-F84B-B1D5-B31DA0806B0A}">
  <dimension ref="A1:C13"/>
  <sheetViews>
    <sheetView workbookViewId="0">
      <selection activeCell="G22" sqref="G22"/>
    </sheetView>
  </sheetViews>
  <sheetFormatPr baseColWidth="10" defaultRowHeight="16" x14ac:dyDescent="0.2"/>
  <cols>
    <col min="3" max="3" width="14.6640625" style="1" bestFit="1" customWidth="1"/>
  </cols>
  <sheetData>
    <row r="1" spans="1:3" x14ac:dyDescent="0.2">
      <c r="A1" t="s">
        <v>23</v>
      </c>
      <c r="B1" t="s">
        <v>2</v>
      </c>
      <c r="C1" s="1" t="s">
        <v>26</v>
      </c>
    </row>
    <row r="2" spans="1:3" x14ac:dyDescent="0.2">
      <c r="A2" t="s">
        <v>24</v>
      </c>
      <c r="B2" t="s">
        <v>4</v>
      </c>
      <c r="C2" s="2">
        <f>import!C8-import!C2</f>
        <v>335246737.41300005</v>
      </c>
    </row>
    <row r="3" spans="1:3" x14ac:dyDescent="0.2">
      <c r="A3" t="s">
        <v>24</v>
      </c>
      <c r="B3" t="s">
        <v>17</v>
      </c>
      <c r="C3" s="2">
        <f>import!C9-import!C3</f>
        <v>38482497488.58902</v>
      </c>
    </row>
    <row r="4" spans="1:3" x14ac:dyDescent="0.2">
      <c r="A4" t="s">
        <v>24</v>
      </c>
      <c r="B4" t="s">
        <v>18</v>
      </c>
      <c r="C4" s="2">
        <f>import!C10-import!C4</f>
        <v>0</v>
      </c>
    </row>
    <row r="5" spans="1:3" x14ac:dyDescent="0.2">
      <c r="A5" t="s">
        <v>24</v>
      </c>
      <c r="B5" t="s">
        <v>19</v>
      </c>
      <c r="C5" s="2">
        <f>import!C11-import!C5</f>
        <v>0</v>
      </c>
    </row>
    <row r="6" spans="1:3" x14ac:dyDescent="0.2">
      <c r="A6" t="s">
        <v>24</v>
      </c>
      <c r="B6" t="s">
        <v>20</v>
      </c>
      <c r="C6" s="2">
        <f>import!C12-import!C6</f>
        <v>155098.07500000001</v>
      </c>
    </row>
    <row r="7" spans="1:3" x14ac:dyDescent="0.2">
      <c r="A7" t="s">
        <v>24</v>
      </c>
      <c r="B7" t="s">
        <v>21</v>
      </c>
      <c r="C7" s="2">
        <f>import!C13-import!C7</f>
        <v>5319012.8869999992</v>
      </c>
    </row>
    <row r="8" spans="1:3" x14ac:dyDescent="0.2">
      <c r="A8" t="s">
        <v>25</v>
      </c>
      <c r="B8" t="s">
        <v>4</v>
      </c>
      <c r="C8" s="2">
        <f>import!C20-import!C14</f>
        <v>-220504120.76200008</v>
      </c>
    </row>
    <row r="9" spans="1:3" x14ac:dyDescent="0.2">
      <c r="A9" t="s">
        <v>25</v>
      </c>
      <c r="B9" t="s">
        <v>17</v>
      </c>
      <c r="C9" s="2">
        <f>import!C21-import!C15</f>
        <v>6776658982.1889954</v>
      </c>
    </row>
    <row r="10" spans="1:3" x14ac:dyDescent="0.2">
      <c r="A10" t="s">
        <v>25</v>
      </c>
      <c r="B10" t="s">
        <v>18</v>
      </c>
      <c r="C10" s="2">
        <f>import!C22-import!C16</f>
        <v>0</v>
      </c>
    </row>
    <row r="11" spans="1:3" x14ac:dyDescent="0.2">
      <c r="A11" t="s">
        <v>25</v>
      </c>
      <c r="B11" t="s">
        <v>19</v>
      </c>
      <c r="C11" s="2">
        <f>import!C23-import!C17</f>
        <v>0</v>
      </c>
    </row>
    <row r="12" spans="1:3" x14ac:dyDescent="0.2">
      <c r="A12" t="s">
        <v>25</v>
      </c>
      <c r="B12" t="s">
        <v>20</v>
      </c>
      <c r="C12" s="2">
        <f>import!C24-import!C18</f>
        <v>-186538.14600000001</v>
      </c>
    </row>
    <row r="13" spans="1:3" x14ac:dyDescent="0.2">
      <c r="A13" t="s">
        <v>25</v>
      </c>
      <c r="B13" t="s">
        <v>21</v>
      </c>
      <c r="C13" s="2">
        <f>import!C25-import!C19</f>
        <v>-3211320.4580000001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A029-09E8-EF4B-A044-64D9AA140CD4}">
  <dimension ref="A1:E13"/>
  <sheetViews>
    <sheetView workbookViewId="0">
      <selection activeCell="K33" sqref="K33"/>
    </sheetView>
  </sheetViews>
  <sheetFormatPr baseColWidth="10" defaultRowHeight="16" x14ac:dyDescent="0.2"/>
  <cols>
    <col min="3" max="3" width="11" style="2" bestFit="1" customWidth="1"/>
    <col min="4" max="4" width="15.33203125" style="2" bestFit="1" customWidth="1"/>
    <col min="5" max="5" width="10.83203125" style="1"/>
  </cols>
  <sheetData>
    <row r="1" spans="1:5" x14ac:dyDescent="0.2">
      <c r="A1" s="1" t="s">
        <v>23</v>
      </c>
      <c r="B1" t="s">
        <v>2</v>
      </c>
      <c r="C1" s="2" t="s">
        <v>27</v>
      </c>
      <c r="D1" s="2" t="s">
        <v>26</v>
      </c>
      <c r="E1" s="1" t="s">
        <v>28</v>
      </c>
    </row>
    <row r="2" spans="1:5" x14ac:dyDescent="0.2">
      <c r="A2" s="1" t="s">
        <v>24</v>
      </c>
      <c r="B2" s="1" t="s">
        <v>4</v>
      </c>
      <c r="C2" s="2">
        <f>L_i!C2</f>
        <v>226.1</v>
      </c>
      <c r="D2" s="2">
        <f>delta_M!C2</f>
        <v>335246737.41300005</v>
      </c>
      <c r="E2" s="1">
        <f>D2/C2</f>
        <v>1482736.5652941179</v>
      </c>
    </row>
    <row r="3" spans="1:5" x14ac:dyDescent="0.2">
      <c r="A3" s="1" t="s">
        <v>24</v>
      </c>
      <c r="B3" s="1" t="s">
        <v>17</v>
      </c>
      <c r="C3" s="2">
        <f>L_i!C3</f>
        <v>1144.3999999999999</v>
      </c>
      <c r="D3" s="2">
        <f>delta_M!C3</f>
        <v>38482497488.58902</v>
      </c>
      <c r="E3" s="1">
        <f t="shared" ref="E3:E13" si="0">D3/C3</f>
        <v>33626789.137180202</v>
      </c>
    </row>
    <row r="4" spans="1:5" x14ac:dyDescent="0.2">
      <c r="A4" s="1" t="s">
        <v>24</v>
      </c>
      <c r="B4" s="1" t="s">
        <v>18</v>
      </c>
      <c r="C4" s="2">
        <f>L_i!C4</f>
        <v>460.49999999999994</v>
      </c>
      <c r="D4" s="2">
        <f>delta_M!C4</f>
        <v>0</v>
      </c>
      <c r="E4" s="1">
        <f t="shared" si="0"/>
        <v>0</v>
      </c>
    </row>
    <row r="5" spans="1:5" x14ac:dyDescent="0.2">
      <c r="A5" s="1" t="s">
        <v>24</v>
      </c>
      <c r="B5" s="1" t="s">
        <v>19</v>
      </c>
      <c r="C5" s="2">
        <f>L_i!C5</f>
        <v>1826.5000000000002</v>
      </c>
      <c r="D5" s="2">
        <f>delta_M!C5</f>
        <v>0</v>
      </c>
      <c r="E5" s="1">
        <f t="shared" si="0"/>
        <v>0</v>
      </c>
    </row>
    <row r="6" spans="1:5" x14ac:dyDescent="0.2">
      <c r="A6" s="1" t="s">
        <v>24</v>
      </c>
      <c r="B6" s="1" t="s">
        <v>20</v>
      </c>
      <c r="C6" s="2">
        <f>L_i!C6</f>
        <v>1132.8999999999999</v>
      </c>
      <c r="D6" s="2">
        <f>delta_M!C6</f>
        <v>155098.07500000001</v>
      </c>
      <c r="E6" s="1">
        <f t="shared" si="0"/>
        <v>136.90358813664051</v>
      </c>
    </row>
    <row r="7" spans="1:5" x14ac:dyDescent="0.2">
      <c r="A7" s="1" t="s">
        <v>24</v>
      </c>
      <c r="B7" s="1" t="s">
        <v>21</v>
      </c>
      <c r="C7" s="2">
        <f>L_i!C7</f>
        <v>2382.6</v>
      </c>
      <c r="D7" s="2">
        <f>delta_M!C7</f>
        <v>5319012.8869999992</v>
      </c>
      <c r="E7" s="1">
        <f t="shared" si="0"/>
        <v>2232.4405636699403</v>
      </c>
    </row>
    <row r="8" spans="1:5" x14ac:dyDescent="0.2">
      <c r="A8" s="1" t="s">
        <v>25</v>
      </c>
      <c r="B8" s="1" t="s">
        <v>4</v>
      </c>
      <c r="C8" s="2">
        <f>L_i!C14</f>
        <v>192.4</v>
      </c>
      <c r="D8" s="2">
        <f>delta_M!C8</f>
        <v>-220504120.76200008</v>
      </c>
      <c r="E8" s="1">
        <f t="shared" si="0"/>
        <v>-1146071.3137318091</v>
      </c>
    </row>
    <row r="9" spans="1:5" x14ac:dyDescent="0.2">
      <c r="A9" s="1" t="s">
        <v>25</v>
      </c>
      <c r="B9" s="1" t="s">
        <v>17</v>
      </c>
      <c r="C9" s="2">
        <f>L_i!C15</f>
        <v>844.1</v>
      </c>
      <c r="D9" s="2">
        <f>delta_M!C9</f>
        <v>6776658982.1889954</v>
      </c>
      <c r="E9" s="1">
        <f t="shared" si="0"/>
        <v>8028265.5872396575</v>
      </c>
    </row>
    <row r="10" spans="1:5" x14ac:dyDescent="0.2">
      <c r="A10" s="1" t="s">
        <v>25</v>
      </c>
      <c r="B10" s="1" t="s">
        <v>18</v>
      </c>
      <c r="C10" s="2">
        <f>L_i!C16</f>
        <v>434</v>
      </c>
      <c r="D10" s="2">
        <f>delta_M!C10</f>
        <v>0</v>
      </c>
      <c r="E10" s="1">
        <f t="shared" si="0"/>
        <v>0</v>
      </c>
    </row>
    <row r="11" spans="1:5" x14ac:dyDescent="0.2">
      <c r="A11" s="1" t="s">
        <v>25</v>
      </c>
      <c r="B11" s="1" t="s">
        <v>19</v>
      </c>
      <c r="C11" s="2">
        <f>L_i!C17</f>
        <v>2101.6999999999998</v>
      </c>
      <c r="D11" s="2">
        <f>delta_M!C11</f>
        <v>0</v>
      </c>
      <c r="E11" s="1">
        <f t="shared" si="0"/>
        <v>0</v>
      </c>
    </row>
    <row r="12" spans="1:5" x14ac:dyDescent="0.2">
      <c r="A12" s="1" t="s">
        <v>25</v>
      </c>
      <c r="B12" s="1" t="s">
        <v>20</v>
      </c>
      <c r="C12" s="2">
        <f>L_i!C18</f>
        <v>1057.8999999999999</v>
      </c>
      <c r="D12" s="2">
        <f>delta_M!C12</f>
        <v>-186538.14600000001</v>
      </c>
      <c r="E12" s="1">
        <f t="shared" si="0"/>
        <v>-176.32871348898766</v>
      </c>
    </row>
    <row r="13" spans="1:5" x14ac:dyDescent="0.2">
      <c r="A13" s="1" t="s">
        <v>25</v>
      </c>
      <c r="B13" s="1" t="s">
        <v>21</v>
      </c>
      <c r="C13" s="2">
        <f>L_i!C19</f>
        <v>2738.6</v>
      </c>
      <c r="D13" s="2">
        <f>delta_M!C13</f>
        <v>-3211320.4580000001</v>
      </c>
      <c r="E13" s="1">
        <f t="shared" si="0"/>
        <v>-1172.6139114876214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EA6C-2753-DB4E-A022-6CA252B5734E}">
  <dimension ref="A1:S14"/>
  <sheetViews>
    <sheetView workbookViewId="0">
      <selection activeCell="J29" sqref="J29"/>
    </sheetView>
  </sheetViews>
  <sheetFormatPr baseColWidth="10" defaultRowHeight="16" x14ac:dyDescent="0.2"/>
  <cols>
    <col min="1" max="1" width="22.33203125" bestFit="1" customWidth="1"/>
    <col min="12" max="12" width="22.33203125" bestFit="1" customWidth="1"/>
  </cols>
  <sheetData>
    <row r="1" spans="1:19" x14ac:dyDescent="0.2">
      <c r="A1" s="6">
        <v>1999</v>
      </c>
      <c r="B1" s="6"/>
      <c r="C1" s="6"/>
      <c r="D1" s="6"/>
      <c r="E1" s="6"/>
      <c r="F1" s="6"/>
      <c r="G1" s="6"/>
      <c r="H1" s="6"/>
      <c r="L1" s="6">
        <v>2012</v>
      </c>
      <c r="M1" s="6"/>
      <c r="N1" s="6"/>
      <c r="O1" s="6"/>
      <c r="P1" s="6"/>
      <c r="Q1" s="6"/>
      <c r="R1" s="6"/>
      <c r="S1" s="6"/>
    </row>
    <row r="2" spans="1:19" x14ac:dyDescent="0.2">
      <c r="B2" t="s">
        <v>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29</v>
      </c>
      <c r="M2" t="s">
        <v>4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30</v>
      </c>
    </row>
    <row r="3" spans="1:19" x14ac:dyDescent="0.2">
      <c r="A3" t="s">
        <v>5</v>
      </c>
      <c r="B3">
        <f>employment!D2</f>
        <v>5.6</v>
      </c>
      <c r="C3">
        <f>employment!D50</f>
        <v>46.6</v>
      </c>
      <c r="D3">
        <f>employment!D98</f>
        <v>13.5</v>
      </c>
      <c r="E3">
        <f>employment!D146</f>
        <v>52.2</v>
      </c>
      <c r="F3">
        <f>employment!D194</f>
        <v>34.700000000000003</v>
      </c>
      <c r="G3">
        <f>employment!D242</f>
        <v>85.8</v>
      </c>
      <c r="H3">
        <f>SUM(B3:G3)</f>
        <v>238.40000000000003</v>
      </c>
      <c r="L3" t="s">
        <v>5</v>
      </c>
      <c r="M3">
        <f>employment!D26</f>
        <v>7.9</v>
      </c>
      <c r="N3">
        <f>employment!D74</f>
        <v>33</v>
      </c>
      <c r="O3">
        <f>employment!D122</f>
        <v>11.5</v>
      </c>
      <c r="P3">
        <f>employment!D170</f>
        <v>60.400000000000006</v>
      </c>
      <c r="Q3">
        <f>employment!D218</f>
        <v>30.799999999999997</v>
      </c>
      <c r="R3">
        <f>employment!D266</f>
        <v>106.9</v>
      </c>
      <c r="S3">
        <f>SUM(M3:R3)</f>
        <v>250.50000000000003</v>
      </c>
    </row>
    <row r="4" spans="1:19" x14ac:dyDescent="0.2">
      <c r="A4" t="s">
        <v>6</v>
      </c>
      <c r="B4">
        <f>employment!D3</f>
        <v>10.6</v>
      </c>
      <c r="C4">
        <f>employment!D51</f>
        <v>56.3</v>
      </c>
      <c r="D4">
        <f>employment!D99</f>
        <v>19.600000000000001</v>
      </c>
      <c r="E4">
        <f>employment!D147</f>
        <v>64.2</v>
      </c>
      <c r="F4">
        <f>employment!D195</f>
        <v>31.1</v>
      </c>
      <c r="G4">
        <f>employment!D243</f>
        <v>93.4</v>
      </c>
      <c r="H4">
        <f t="shared" ref="H4:H14" si="0">SUM(B4:G4)</f>
        <v>275.2</v>
      </c>
      <c r="L4" t="s">
        <v>6</v>
      </c>
      <c r="M4">
        <f>employment!D27</f>
        <v>12</v>
      </c>
      <c r="N4">
        <f>employment!D75</f>
        <v>33</v>
      </c>
      <c r="O4">
        <f>employment!D123</f>
        <v>21.2</v>
      </c>
      <c r="P4">
        <f>employment!D171</f>
        <v>73.8</v>
      </c>
      <c r="Q4">
        <f>employment!D219</f>
        <v>33.1</v>
      </c>
      <c r="R4">
        <f>employment!D267</f>
        <v>102.6</v>
      </c>
      <c r="S4">
        <f t="shared" ref="S4:S14" si="1">SUM(M4:R4)</f>
        <v>275.7</v>
      </c>
    </row>
    <row r="5" spans="1:19" x14ac:dyDescent="0.2">
      <c r="A5" t="s">
        <v>7</v>
      </c>
      <c r="B5">
        <f>employment!D4</f>
        <v>12</v>
      </c>
      <c r="C5">
        <f>employment!D52</f>
        <v>37.700000000000003</v>
      </c>
      <c r="D5">
        <f>employment!D100</f>
        <v>13.1</v>
      </c>
      <c r="E5">
        <f>employment!D148</f>
        <v>33.4</v>
      </c>
      <c r="F5">
        <f>employment!D196</f>
        <v>18.600000000000001</v>
      </c>
      <c r="G5">
        <f>employment!D244</f>
        <v>79.2</v>
      </c>
      <c r="H5">
        <f t="shared" si="0"/>
        <v>194</v>
      </c>
      <c r="L5" t="s">
        <v>7</v>
      </c>
      <c r="M5">
        <f>employment!D28</f>
        <v>7.7</v>
      </c>
      <c r="N5">
        <f>employment!D76</f>
        <v>27.9</v>
      </c>
      <c r="O5">
        <f>employment!D124</f>
        <v>13.9</v>
      </c>
      <c r="P5">
        <f>employment!D172</f>
        <v>54.599999999999994</v>
      </c>
      <c r="Q5">
        <f>employment!D220</f>
        <v>24.1</v>
      </c>
      <c r="R5">
        <f>employment!D268</f>
        <v>79.5</v>
      </c>
      <c r="S5">
        <f t="shared" si="1"/>
        <v>207.7</v>
      </c>
    </row>
    <row r="6" spans="1:19" x14ac:dyDescent="0.2">
      <c r="A6" t="s">
        <v>8</v>
      </c>
      <c r="B6">
        <f>employment!D5</f>
        <v>19.5</v>
      </c>
      <c r="C6">
        <f>employment!D53</f>
        <v>106.7</v>
      </c>
      <c r="D6">
        <f>employment!D101</f>
        <v>37.799999999999997</v>
      </c>
      <c r="E6">
        <f>employment!D149</f>
        <v>111.7</v>
      </c>
      <c r="F6">
        <f>employment!D197</f>
        <v>54.6</v>
      </c>
      <c r="G6">
        <f>employment!D245</f>
        <v>147.19999999999999</v>
      </c>
      <c r="H6">
        <f t="shared" si="0"/>
        <v>477.5</v>
      </c>
      <c r="L6" t="s">
        <v>8</v>
      </c>
      <c r="M6">
        <f>employment!D29</f>
        <v>16.899999999999999</v>
      </c>
      <c r="N6">
        <f>employment!D77</f>
        <v>74.2</v>
      </c>
      <c r="O6">
        <f>employment!D125</f>
        <v>32.799999999999997</v>
      </c>
      <c r="P6">
        <f>employment!D173</f>
        <v>128.19999999999999</v>
      </c>
      <c r="Q6">
        <f>employment!D221</f>
        <v>53.099999999999994</v>
      </c>
      <c r="R6">
        <f>employment!D269</f>
        <v>188.5</v>
      </c>
      <c r="S6">
        <f t="shared" si="1"/>
        <v>493.69999999999993</v>
      </c>
    </row>
    <row r="7" spans="1:19" x14ac:dyDescent="0.2">
      <c r="A7" t="s">
        <v>9</v>
      </c>
      <c r="B7">
        <f>employment!D6</f>
        <v>30.1</v>
      </c>
      <c r="C7">
        <f>employment!D54</f>
        <v>139.1</v>
      </c>
      <c r="D7">
        <f>employment!D102</f>
        <v>58.6</v>
      </c>
      <c r="E7">
        <f>employment!D150</f>
        <v>215.1</v>
      </c>
      <c r="F7">
        <f>employment!D198</f>
        <v>121.5</v>
      </c>
      <c r="G7">
        <f>employment!D246</f>
        <v>298.2</v>
      </c>
      <c r="H7">
        <f t="shared" si="0"/>
        <v>862.59999999999991</v>
      </c>
      <c r="L7" t="s">
        <v>9</v>
      </c>
      <c r="M7">
        <f>employment!D30</f>
        <v>25</v>
      </c>
      <c r="N7">
        <f>employment!D78</f>
        <v>103.8</v>
      </c>
      <c r="O7">
        <f>employment!D126</f>
        <v>56.1</v>
      </c>
      <c r="P7">
        <f>employment!D174</f>
        <v>242.5</v>
      </c>
      <c r="Q7">
        <f>employment!D222</f>
        <v>120.80000000000001</v>
      </c>
      <c r="R7">
        <f>employment!D270</f>
        <v>334.09999999999997</v>
      </c>
      <c r="S7">
        <f t="shared" si="1"/>
        <v>882.3</v>
      </c>
    </row>
    <row r="8" spans="1:19" x14ac:dyDescent="0.2">
      <c r="A8" t="s">
        <v>10</v>
      </c>
      <c r="B8">
        <f>employment!D7</f>
        <v>4.5999999999999996</v>
      </c>
      <c r="C8">
        <f>employment!D55</f>
        <v>22.3</v>
      </c>
      <c r="D8">
        <f>employment!D103</f>
        <v>6.2</v>
      </c>
      <c r="E8">
        <f>employment!D151</f>
        <v>32.799999999999997</v>
      </c>
      <c r="F8">
        <f>employment!D199</f>
        <v>29.7</v>
      </c>
      <c r="G8">
        <f>employment!D247</f>
        <v>48.1</v>
      </c>
      <c r="H8">
        <f t="shared" si="0"/>
        <v>143.70000000000002</v>
      </c>
      <c r="L8" t="s">
        <v>10</v>
      </c>
      <c r="M8">
        <f>employment!D31</f>
        <v>5.3</v>
      </c>
      <c r="N8">
        <f>employment!D79</f>
        <v>17.7</v>
      </c>
      <c r="O8">
        <f>employment!D127</f>
        <v>10</v>
      </c>
      <c r="P8">
        <f>employment!D175</f>
        <v>58.699999999999996</v>
      </c>
      <c r="Q8">
        <f>employment!D223</f>
        <v>25.299999999999997</v>
      </c>
      <c r="R8">
        <f>employment!D271</f>
        <v>60.3</v>
      </c>
      <c r="S8">
        <f t="shared" si="1"/>
        <v>177.29999999999998</v>
      </c>
    </row>
    <row r="9" spans="1:19" x14ac:dyDescent="0.2">
      <c r="A9" t="s">
        <v>11</v>
      </c>
      <c r="B9">
        <f>employment!D8</f>
        <v>6.1</v>
      </c>
      <c r="C9">
        <f>employment!D56</f>
        <v>56.7</v>
      </c>
      <c r="D9">
        <f>employment!D104</f>
        <v>31</v>
      </c>
      <c r="E9">
        <f>employment!D152</f>
        <v>139.30000000000001</v>
      </c>
      <c r="F9">
        <f>employment!D200</f>
        <v>108.6</v>
      </c>
      <c r="G9">
        <f>employment!D248</f>
        <v>188.2</v>
      </c>
      <c r="H9">
        <f t="shared" si="0"/>
        <v>529.90000000000009</v>
      </c>
      <c r="L9" t="s">
        <v>11</v>
      </c>
      <c r="M9">
        <f>employment!D32</f>
        <v>7.3</v>
      </c>
      <c r="N9">
        <f>employment!D80</f>
        <v>42.8</v>
      </c>
      <c r="O9">
        <f>employment!D128</f>
        <v>28.9</v>
      </c>
      <c r="P9">
        <f>employment!D176</f>
        <v>172.4</v>
      </c>
      <c r="Q9">
        <f>employment!D224</f>
        <v>96.5</v>
      </c>
      <c r="R9">
        <f>employment!D272</f>
        <v>222</v>
      </c>
      <c r="S9">
        <f t="shared" si="1"/>
        <v>569.9</v>
      </c>
    </row>
    <row r="10" spans="1:19" x14ac:dyDescent="0.2">
      <c r="A10" t="s">
        <v>12</v>
      </c>
      <c r="B10">
        <f>employment!D9</f>
        <v>28.1</v>
      </c>
      <c r="C10">
        <f>employment!D57</f>
        <v>123.3</v>
      </c>
      <c r="D10">
        <f>employment!D105</f>
        <v>59.5</v>
      </c>
      <c r="E10">
        <f>employment!D153</f>
        <v>337.6</v>
      </c>
      <c r="F10">
        <f>employment!D201</f>
        <v>216.6</v>
      </c>
      <c r="G10">
        <f>employment!D249</f>
        <v>401.4</v>
      </c>
      <c r="H10">
        <f t="shared" si="0"/>
        <v>1166.5</v>
      </c>
      <c r="L10" t="s">
        <v>12</v>
      </c>
      <c r="M10">
        <f>employment!D33</f>
        <v>19.399999999999999</v>
      </c>
      <c r="N10">
        <f>employment!D81</f>
        <v>101.4</v>
      </c>
      <c r="O10">
        <f>employment!D129</f>
        <v>59.9</v>
      </c>
      <c r="P10">
        <f>employment!D177</f>
        <v>378.4</v>
      </c>
      <c r="Q10">
        <f>employment!D225</f>
        <v>213.6</v>
      </c>
      <c r="R10">
        <f>employment!D273</f>
        <v>446.2</v>
      </c>
      <c r="S10">
        <f t="shared" si="1"/>
        <v>1218.9000000000001</v>
      </c>
    </row>
    <row r="11" spans="1:19" x14ac:dyDescent="0.2">
      <c r="A11" t="s">
        <v>13</v>
      </c>
      <c r="B11">
        <f>employment!D10</f>
        <v>41.9</v>
      </c>
      <c r="C11">
        <f>employment!D58</f>
        <v>168.9</v>
      </c>
      <c r="D11">
        <f>employment!D106</f>
        <v>96.5</v>
      </c>
      <c r="E11">
        <f>employment!D154</f>
        <v>391.1</v>
      </c>
      <c r="F11">
        <f>employment!D202</f>
        <v>284.5</v>
      </c>
      <c r="G11">
        <f>employment!D250</f>
        <v>547</v>
      </c>
      <c r="H11">
        <f t="shared" si="0"/>
        <v>1529.9</v>
      </c>
      <c r="L11" t="s">
        <v>13</v>
      </c>
      <c r="M11">
        <f>employment!D34</f>
        <v>36.299999999999997</v>
      </c>
      <c r="N11">
        <f>employment!D82</f>
        <v>142.1</v>
      </c>
      <c r="O11">
        <f>employment!D130</f>
        <v>88.7</v>
      </c>
      <c r="P11">
        <f>employment!D178</f>
        <v>428.5</v>
      </c>
      <c r="Q11">
        <f>employment!D226</f>
        <v>247.60000000000002</v>
      </c>
      <c r="R11">
        <f>employment!D274</f>
        <v>598.1</v>
      </c>
      <c r="S11">
        <f t="shared" si="1"/>
        <v>1541.3</v>
      </c>
    </row>
    <row r="12" spans="1:19" x14ac:dyDescent="0.2">
      <c r="A12" t="s">
        <v>14</v>
      </c>
      <c r="B12">
        <f>employment!D11</f>
        <v>5.8</v>
      </c>
      <c r="C12">
        <f>employment!D59</f>
        <v>34.9</v>
      </c>
      <c r="D12">
        <f>employment!D107</f>
        <v>9.1999999999999993</v>
      </c>
      <c r="E12">
        <f>employment!D155</f>
        <v>43.5</v>
      </c>
      <c r="F12">
        <f>employment!D203</f>
        <v>19.3</v>
      </c>
      <c r="G12">
        <f>employment!D251</f>
        <v>43.2</v>
      </c>
      <c r="H12">
        <f t="shared" si="0"/>
        <v>155.89999999999998</v>
      </c>
      <c r="L12" t="s">
        <v>14</v>
      </c>
      <c r="M12">
        <f>employment!D35</f>
        <v>5.5</v>
      </c>
      <c r="N12">
        <f>employment!D83</f>
        <v>27.9</v>
      </c>
      <c r="O12">
        <f>employment!D131</f>
        <v>11.6</v>
      </c>
      <c r="P12">
        <f>employment!D179</f>
        <v>48.6</v>
      </c>
      <c r="Q12">
        <f>employment!D227</f>
        <v>14.5</v>
      </c>
      <c r="R12">
        <f>employment!D275</f>
        <v>56.9</v>
      </c>
      <c r="S12">
        <f t="shared" si="1"/>
        <v>165</v>
      </c>
    </row>
    <row r="13" spans="1:19" x14ac:dyDescent="0.2">
      <c r="A13" t="s">
        <v>15</v>
      </c>
      <c r="B13">
        <f>employment!D12</f>
        <v>41.2</v>
      </c>
      <c r="C13">
        <f>employment!D60</f>
        <v>231.7</v>
      </c>
      <c r="D13">
        <f>employment!D108</f>
        <v>86.3</v>
      </c>
      <c r="E13">
        <f>employment!D156</f>
        <v>289.7</v>
      </c>
      <c r="F13">
        <f>employment!D204</f>
        <v>147.69999999999999</v>
      </c>
      <c r="G13">
        <f>employment!D252</f>
        <v>299.7</v>
      </c>
      <c r="H13">
        <f t="shared" si="0"/>
        <v>1096.3</v>
      </c>
      <c r="L13" t="s">
        <v>15</v>
      </c>
      <c r="M13">
        <f>employment!D36</f>
        <v>34</v>
      </c>
      <c r="N13">
        <f>employment!D84</f>
        <v>167.5</v>
      </c>
      <c r="O13">
        <f>employment!D132</f>
        <v>74.7</v>
      </c>
      <c r="P13">
        <f>employment!D180</f>
        <v>317.40000000000003</v>
      </c>
      <c r="Q13">
        <f>employment!D228</f>
        <v>143.9</v>
      </c>
      <c r="R13">
        <f>employment!D276</f>
        <v>367</v>
      </c>
      <c r="S13">
        <f t="shared" si="1"/>
        <v>1104.5</v>
      </c>
    </row>
    <row r="14" spans="1:19" x14ac:dyDescent="0.2">
      <c r="A14" t="s">
        <v>16</v>
      </c>
      <c r="B14">
        <f>employment!D13</f>
        <v>20.6</v>
      </c>
      <c r="C14">
        <f>employment!D61</f>
        <v>120.2</v>
      </c>
      <c r="D14">
        <f>employment!D109</f>
        <v>29.2</v>
      </c>
      <c r="E14">
        <f>employment!D157</f>
        <v>115.9</v>
      </c>
      <c r="F14">
        <f>employment!D205</f>
        <v>66</v>
      </c>
      <c r="G14">
        <f>employment!D253</f>
        <v>151.19999999999999</v>
      </c>
      <c r="H14">
        <f t="shared" si="0"/>
        <v>503.09999999999997</v>
      </c>
      <c r="L14" t="s">
        <v>16</v>
      </c>
      <c r="M14">
        <f>employment!D37</f>
        <v>15.1</v>
      </c>
      <c r="N14">
        <f>employment!D85</f>
        <v>72.8</v>
      </c>
      <c r="O14">
        <f>employment!D133</f>
        <v>24.7</v>
      </c>
      <c r="P14">
        <f>employment!D181</f>
        <v>138.20000000000002</v>
      </c>
      <c r="Q14">
        <f>employment!D229</f>
        <v>54.599999999999994</v>
      </c>
      <c r="R14">
        <f>employment!D277</f>
        <v>176.5</v>
      </c>
      <c r="S14">
        <f t="shared" si="1"/>
        <v>481.9</v>
      </c>
    </row>
  </sheetData>
  <mergeCells count="2">
    <mergeCell ref="A1:H1"/>
    <mergeCell ref="L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D0DF-BE9C-EC45-8B91-08B73C21E620}">
  <dimension ref="A1:P14"/>
  <sheetViews>
    <sheetView workbookViewId="0">
      <selection activeCell="N27" sqref="N27"/>
    </sheetView>
  </sheetViews>
  <sheetFormatPr baseColWidth="10" defaultRowHeight="16" x14ac:dyDescent="0.2"/>
  <sheetData>
    <row r="1" spans="1:16" x14ac:dyDescent="0.2">
      <c r="A1" s="6">
        <v>1999</v>
      </c>
      <c r="B1" s="6"/>
      <c r="C1" s="6"/>
      <c r="D1" s="6"/>
      <c r="E1" s="6"/>
      <c r="F1" s="6"/>
      <c r="G1" s="6"/>
      <c r="J1" s="6">
        <v>2012</v>
      </c>
      <c r="K1" s="6"/>
      <c r="L1" s="6"/>
      <c r="M1" s="6"/>
      <c r="N1" s="6"/>
      <c r="O1" s="6"/>
      <c r="P1" s="6"/>
    </row>
    <row r="2" spans="1:16" x14ac:dyDescent="0.2">
      <c r="B2" t="s">
        <v>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K2" t="s">
        <v>4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2">
      <c r="A3" t="s">
        <v>5</v>
      </c>
      <c r="B3">
        <f>L_r!B3/L_r!$H3</f>
        <v>2.3489932885906034E-2</v>
      </c>
      <c r="C3">
        <f>L_r!C3/L_r!$H3</f>
        <v>0.1954697986577181</v>
      </c>
      <c r="D3">
        <f>L_r!D3/L_r!$H3</f>
        <v>5.6627516778523485E-2</v>
      </c>
      <c r="E3">
        <f>L_r!E3/L_r!$H3</f>
        <v>0.21895973154362414</v>
      </c>
      <c r="F3">
        <f>L_r!F3/L_r!$H3</f>
        <v>0.14555369127516776</v>
      </c>
      <c r="G3">
        <f>L_r!G3/L_r!$H3</f>
        <v>0.35989932885906034</v>
      </c>
      <c r="J3" t="s">
        <v>5</v>
      </c>
      <c r="K3">
        <f>L_r!M3/L_r!$S3</f>
        <v>3.1536926147704591E-2</v>
      </c>
      <c r="L3">
        <f>L_r!N3/L_r!$S3</f>
        <v>0.13173652694610777</v>
      </c>
      <c r="M3">
        <f>L_r!O3/L_r!$S3</f>
        <v>4.5908183632734523E-2</v>
      </c>
      <c r="N3">
        <f>L_r!P3/L_r!$S3</f>
        <v>0.24111776447105787</v>
      </c>
      <c r="O3">
        <f>L_r!Q3/L_r!$S3</f>
        <v>0.12295409181636724</v>
      </c>
      <c r="P3">
        <f>L_r!R3/L_r!$S3</f>
        <v>0.4267465069860279</v>
      </c>
    </row>
    <row r="4" spans="1:16" x14ac:dyDescent="0.2">
      <c r="A4" t="s">
        <v>6</v>
      </c>
      <c r="B4">
        <f>L_r!B4/L_r!$H4</f>
        <v>3.8517441860465115E-2</v>
      </c>
      <c r="C4">
        <f>L_r!C4/L_r!$H4</f>
        <v>0.20457848837209303</v>
      </c>
      <c r="D4">
        <f>L_r!D4/L_r!$H4</f>
        <v>7.1220930232558141E-2</v>
      </c>
      <c r="E4">
        <f>L_r!E4/L_r!$H4</f>
        <v>0.23328488372093026</v>
      </c>
      <c r="F4">
        <f>L_r!F4/L_r!$H4</f>
        <v>0.11300872093023256</v>
      </c>
      <c r="G4">
        <f>L_r!G4/L_r!$H4</f>
        <v>0.33938953488372098</v>
      </c>
      <c r="J4" t="s">
        <v>6</v>
      </c>
      <c r="K4">
        <f>L_r!M4/L_r!$S4</f>
        <v>4.3525571273122961E-2</v>
      </c>
      <c r="L4">
        <f>L_r!N4/L_r!$S4</f>
        <v>0.11969532100108815</v>
      </c>
      <c r="M4">
        <f>L_r!O4/L_r!$S4</f>
        <v>7.6895175915850558E-2</v>
      </c>
      <c r="N4">
        <f>L_r!P4/L_r!$S4</f>
        <v>0.26768226332970618</v>
      </c>
      <c r="O4">
        <f>L_r!Q4/L_r!$S4</f>
        <v>0.12005803409503084</v>
      </c>
      <c r="P4">
        <f>L_r!R4/L_r!$S4</f>
        <v>0.37214363438520132</v>
      </c>
    </row>
    <row r="5" spans="1:16" x14ac:dyDescent="0.2">
      <c r="A5" t="s">
        <v>7</v>
      </c>
      <c r="B5">
        <f>L_r!B5/L_r!$H5</f>
        <v>6.1855670103092786E-2</v>
      </c>
      <c r="C5">
        <f>L_r!C5/L_r!$H5</f>
        <v>0.1943298969072165</v>
      </c>
      <c r="D5">
        <f>L_r!D5/L_r!$H5</f>
        <v>6.7525773195876285E-2</v>
      </c>
      <c r="E5">
        <f>L_r!E5/L_r!$H5</f>
        <v>0.17216494845360825</v>
      </c>
      <c r="F5">
        <f>L_r!F5/L_r!$H5</f>
        <v>9.5876288659793821E-2</v>
      </c>
      <c r="G5">
        <f>L_r!G5/L_r!$H5</f>
        <v>0.40824742268041236</v>
      </c>
      <c r="J5" t="s">
        <v>7</v>
      </c>
      <c r="K5">
        <f>L_r!M5/L_r!$S5</f>
        <v>3.7072701011073669E-2</v>
      </c>
      <c r="L5">
        <f>L_r!N5/L_r!$S5</f>
        <v>0.13432835820895522</v>
      </c>
      <c r="M5">
        <f>L_r!O5/L_r!$S5</f>
        <v>6.6923447279730389E-2</v>
      </c>
      <c r="N5">
        <f>L_r!P5/L_r!$S5</f>
        <v>0.26287915262397687</v>
      </c>
      <c r="O5">
        <f>L_r!Q5/L_r!$S5</f>
        <v>0.11603273952816563</v>
      </c>
      <c r="P5">
        <f>L_r!R5/L_r!$S5</f>
        <v>0.38276360134809823</v>
      </c>
    </row>
    <row r="6" spans="1:16" x14ac:dyDescent="0.2">
      <c r="A6" t="s">
        <v>8</v>
      </c>
      <c r="B6">
        <f>L_r!B6/L_r!$H6</f>
        <v>4.0837696335078534E-2</v>
      </c>
      <c r="C6">
        <f>L_r!C6/L_r!$H6</f>
        <v>0.22345549738219897</v>
      </c>
      <c r="D6">
        <f>L_r!D6/L_r!$H6</f>
        <v>7.9162303664921455E-2</v>
      </c>
      <c r="E6">
        <f>L_r!E6/L_r!$H6</f>
        <v>0.23392670157068063</v>
      </c>
      <c r="F6">
        <f>L_r!F6/L_r!$H6</f>
        <v>0.11434554973821989</v>
      </c>
      <c r="G6">
        <f>L_r!G6/L_r!$H6</f>
        <v>0.30827225130890051</v>
      </c>
      <c r="J6" t="s">
        <v>8</v>
      </c>
      <c r="K6">
        <f>L_r!M6/L_r!$S6</f>
        <v>3.4231314563500106E-2</v>
      </c>
      <c r="L6">
        <f>L_r!N6/L_r!$S6</f>
        <v>0.15029370062791172</v>
      </c>
      <c r="M6">
        <f>L_r!O6/L_r!$S6</f>
        <v>6.6437107555195468E-2</v>
      </c>
      <c r="N6">
        <f>L_r!P6/L_r!$S6</f>
        <v>0.25967186550536764</v>
      </c>
      <c r="O6">
        <f>L_r!Q6/L_r!$S6</f>
        <v>0.10755519546283168</v>
      </c>
      <c r="P6">
        <f>L_r!R6/L_r!$S6</f>
        <v>0.38181081628519348</v>
      </c>
    </row>
    <row r="7" spans="1:16" x14ac:dyDescent="0.2">
      <c r="A7" t="s">
        <v>9</v>
      </c>
      <c r="B7">
        <f>L_r!B7/L_r!$H7</f>
        <v>3.4894504984929291E-2</v>
      </c>
      <c r="C7">
        <f>L_r!C7/L_r!$H7</f>
        <v>0.16125666589380944</v>
      </c>
      <c r="D7">
        <f>L_r!D7/L_r!$H7</f>
        <v>6.7934152562021802E-2</v>
      </c>
      <c r="E7">
        <f>L_r!E7/L_r!$H7</f>
        <v>0.24936239276605612</v>
      </c>
      <c r="F7">
        <f>L_r!F7/L_r!$H7</f>
        <v>0.14085323440760494</v>
      </c>
      <c r="G7">
        <f>L_r!G7/L_r!$H7</f>
        <v>0.34569904938557849</v>
      </c>
      <c r="J7" t="s">
        <v>9</v>
      </c>
      <c r="K7">
        <f>L_r!M7/L_r!$S7</f>
        <v>2.8335033435339455E-2</v>
      </c>
      <c r="L7">
        <f>L_r!N7/L_r!$S7</f>
        <v>0.11764705882352941</v>
      </c>
      <c r="M7">
        <f>L_r!O7/L_r!$S7</f>
        <v>6.3583815028901744E-2</v>
      </c>
      <c r="N7">
        <f>L_r!P7/L_r!$S7</f>
        <v>0.2748498243227927</v>
      </c>
      <c r="O7">
        <f>L_r!Q7/L_r!$S7</f>
        <v>0.13691488155956025</v>
      </c>
      <c r="P7">
        <f>L_r!R7/L_r!$S7</f>
        <v>0.37866938682987644</v>
      </c>
    </row>
    <row r="8" spans="1:16" x14ac:dyDescent="0.2">
      <c r="A8" t="s">
        <v>10</v>
      </c>
      <c r="B8">
        <f>L_r!B8/L_r!$H8</f>
        <v>3.2011134307585239E-2</v>
      </c>
      <c r="C8">
        <f>L_r!C8/L_r!$H8</f>
        <v>0.15518441196938065</v>
      </c>
      <c r="D8">
        <f>L_r!D8/L_r!$H8</f>
        <v>4.3145441892832287E-2</v>
      </c>
      <c r="E8">
        <f>L_r!E8/L_r!$H8</f>
        <v>0.22825330549756431</v>
      </c>
      <c r="F8">
        <f>L_r!F8/L_r!$H8</f>
        <v>0.20668058455114818</v>
      </c>
      <c r="G8">
        <f>L_r!G8/L_r!$H8</f>
        <v>0.33472512178148917</v>
      </c>
      <c r="J8" t="s">
        <v>10</v>
      </c>
      <c r="K8">
        <f>L_r!M8/L_r!$S8</f>
        <v>2.9892836999435984E-2</v>
      </c>
      <c r="L8">
        <f>L_r!N8/L_r!$S8</f>
        <v>9.9830795262267347E-2</v>
      </c>
      <c r="M8">
        <f>L_r!O8/L_r!$S8</f>
        <v>5.6401579244218847E-2</v>
      </c>
      <c r="N8">
        <f>L_r!P8/L_r!$S8</f>
        <v>0.33107727016356459</v>
      </c>
      <c r="O8">
        <f>L_r!Q8/L_r!$S8</f>
        <v>0.14269599548787365</v>
      </c>
      <c r="P8">
        <f>L_r!R8/L_r!$S8</f>
        <v>0.34010152284263961</v>
      </c>
    </row>
    <row r="9" spans="1:16" x14ac:dyDescent="0.2">
      <c r="A9" t="s">
        <v>11</v>
      </c>
      <c r="B9">
        <f>L_r!B9/L_r!$H9</f>
        <v>1.1511605963389316E-2</v>
      </c>
      <c r="C9">
        <f>L_r!C9/L_r!$H9</f>
        <v>0.10700132100396299</v>
      </c>
      <c r="D9">
        <f>L_r!D9/L_r!$H9</f>
        <v>5.850160407624079E-2</v>
      </c>
      <c r="E9">
        <f>L_r!E9/L_r!$H9</f>
        <v>0.2628797886393659</v>
      </c>
      <c r="F9">
        <f>L_r!F9/L_r!$H9</f>
        <v>0.20494432911870158</v>
      </c>
      <c r="G9">
        <f>L_r!G9/L_r!$H9</f>
        <v>0.35516135119833925</v>
      </c>
      <c r="J9" t="s">
        <v>11</v>
      </c>
      <c r="K9">
        <f>L_r!M9/L_r!$S9</f>
        <v>1.2809264783295315E-2</v>
      </c>
      <c r="L9">
        <f>L_r!N9/L_r!$S9</f>
        <v>7.5100894893841016E-2</v>
      </c>
      <c r="M9">
        <f>L_r!O9/L_r!$S9</f>
        <v>5.0710650991401998E-2</v>
      </c>
      <c r="N9">
        <f>L_r!P9/L_r!$S9</f>
        <v>0.30250921214248117</v>
      </c>
      <c r="O9">
        <f>L_r!Q9/L_r!$S9</f>
        <v>0.1693279522723285</v>
      </c>
      <c r="P9">
        <f>L_r!R9/L_r!$S9</f>
        <v>0.38954202491665207</v>
      </c>
    </row>
    <row r="10" spans="1:16" x14ac:dyDescent="0.2">
      <c r="A10" t="s">
        <v>12</v>
      </c>
      <c r="B10">
        <f>L_r!B10/L_r!$H10</f>
        <v>2.4089155593656236E-2</v>
      </c>
      <c r="C10">
        <f>L_r!C10/L_r!$H10</f>
        <v>0.10570081440205743</v>
      </c>
      <c r="D10">
        <f>L_r!D10/L_r!$H10</f>
        <v>5.100728675525075E-2</v>
      </c>
      <c r="E10">
        <f>L_r!E10/L_r!$H10</f>
        <v>0.28941277325332193</v>
      </c>
      <c r="F10">
        <f>L_r!F10/L_r!$H10</f>
        <v>0.18568366909558509</v>
      </c>
      <c r="G10">
        <f>L_r!G10/L_r!$H10</f>
        <v>0.34410630090012856</v>
      </c>
      <c r="J10" t="s">
        <v>12</v>
      </c>
      <c r="K10">
        <f>L_r!M10/L_r!$S10</f>
        <v>1.5915989826893098E-2</v>
      </c>
      <c r="L10">
        <f>L_r!N10/L_r!$S10</f>
        <v>8.3189761260152595E-2</v>
      </c>
      <c r="M10">
        <f>L_r!O10/L_r!$S10</f>
        <v>4.9142669620149307E-2</v>
      </c>
      <c r="N10">
        <f>L_r!P10/L_r!$S10</f>
        <v>0.3104438428090901</v>
      </c>
      <c r="O10">
        <f>L_r!Q10/L_r!$S10</f>
        <v>0.17523997046517351</v>
      </c>
      <c r="P10">
        <f>L_r!R10/L_r!$S10</f>
        <v>0.3660677660185413</v>
      </c>
    </row>
    <row r="11" spans="1:16" x14ac:dyDescent="0.2">
      <c r="A11" t="s">
        <v>13</v>
      </c>
      <c r="B11">
        <f>L_r!B11/L_r!$H11</f>
        <v>2.7387410941891625E-2</v>
      </c>
      <c r="C11">
        <f>L_r!C11/L_r!$H11</f>
        <v>0.11039937250800706</v>
      </c>
      <c r="D11">
        <f>L_r!D11/L_r!$H11</f>
        <v>6.3076018040394796E-2</v>
      </c>
      <c r="E11">
        <f>L_r!E11/L_r!$H11</f>
        <v>0.25563762337407675</v>
      </c>
      <c r="F11">
        <f>L_r!F11/L_r!$H11</f>
        <v>0.1859598666579515</v>
      </c>
      <c r="G11">
        <f>L_r!G11/L_r!$H11</f>
        <v>0.35753970847767824</v>
      </c>
      <c r="J11" t="s">
        <v>13</v>
      </c>
      <c r="K11">
        <f>L_r!M11/L_r!$S11</f>
        <v>2.3551547395056119E-2</v>
      </c>
      <c r="L11">
        <f>L_r!N11/L_r!$S11</f>
        <v>9.2194900408745867E-2</v>
      </c>
      <c r="M11">
        <f>L_r!O11/L_r!$S11</f>
        <v>5.754882242263025E-2</v>
      </c>
      <c r="N11">
        <f>L_r!P11/L_r!$S11</f>
        <v>0.2780120677350289</v>
      </c>
      <c r="O11">
        <f>L_r!Q11/L_r!$S11</f>
        <v>0.16064361253487316</v>
      </c>
      <c r="P11">
        <f>L_r!R11/L_r!$S11</f>
        <v>0.38804904950366576</v>
      </c>
    </row>
    <row r="12" spans="1:16" x14ac:dyDescent="0.2">
      <c r="A12" t="s">
        <v>14</v>
      </c>
      <c r="B12">
        <f>L_r!B12/L_r!$H12</f>
        <v>3.7203335471456066E-2</v>
      </c>
      <c r="C12">
        <f>L_r!C12/L_r!$H12</f>
        <v>0.22386144964720978</v>
      </c>
      <c r="D12">
        <f>L_r!D12/L_r!$H12</f>
        <v>5.9012187299550996E-2</v>
      </c>
      <c r="E12">
        <f>L_r!E12/L_r!$H12</f>
        <v>0.2790250160359205</v>
      </c>
      <c r="F12">
        <f>L_r!F12/L_r!$H12</f>
        <v>0.12379730596536244</v>
      </c>
      <c r="G12">
        <f>L_r!G12/L_r!$H12</f>
        <v>0.27710070558050037</v>
      </c>
      <c r="J12" t="s">
        <v>14</v>
      </c>
      <c r="K12">
        <f>L_r!M12/L_r!$S12</f>
        <v>3.3333333333333333E-2</v>
      </c>
      <c r="L12">
        <f>L_r!N12/L_r!$S12</f>
        <v>0.16909090909090907</v>
      </c>
      <c r="M12">
        <f>L_r!O12/L_r!$S12</f>
        <v>7.0303030303030298E-2</v>
      </c>
      <c r="N12">
        <f>L_r!P12/L_r!$S12</f>
        <v>0.29454545454545455</v>
      </c>
      <c r="O12">
        <f>L_r!Q12/L_r!$S12</f>
        <v>8.7878787878787876E-2</v>
      </c>
      <c r="P12">
        <f>L_r!R12/L_r!$S12</f>
        <v>0.34484848484848485</v>
      </c>
    </row>
    <row r="13" spans="1:16" x14ac:dyDescent="0.2">
      <c r="A13" t="s">
        <v>15</v>
      </c>
      <c r="B13">
        <f>L_r!B13/L_r!$H13</f>
        <v>3.7580954118398256E-2</v>
      </c>
      <c r="C13">
        <f>L_r!C13/L_r!$H13</f>
        <v>0.21134725896196296</v>
      </c>
      <c r="D13">
        <f>L_r!D13/L_r!$H13</f>
        <v>7.8719328650916714E-2</v>
      </c>
      <c r="E13">
        <f>L_r!E13/L_r!$H13</f>
        <v>0.26425248563349446</v>
      </c>
      <c r="F13">
        <f>L_r!F13/L_r!$H13</f>
        <v>0.13472589619629663</v>
      </c>
      <c r="G13">
        <f>L_r!G13/L_r!$H13</f>
        <v>0.27337407643893097</v>
      </c>
      <c r="J13" t="s">
        <v>15</v>
      </c>
      <c r="K13">
        <f>L_r!M13/L_r!$S13</f>
        <v>3.0783159800814849E-2</v>
      </c>
      <c r="L13">
        <f>L_r!N13/L_r!$S13</f>
        <v>0.1516523313716614</v>
      </c>
      <c r="M13">
        <f>L_r!O13/L_r!$S13</f>
        <v>6.7632412856496155E-2</v>
      </c>
      <c r="N13">
        <f>L_r!P13/L_r!$S13</f>
        <v>0.28736985061113629</v>
      </c>
      <c r="O13">
        <f>L_r!Q13/L_r!$S13</f>
        <v>0.13028519692168403</v>
      </c>
      <c r="P13">
        <f>L_r!R13/L_r!$S13</f>
        <v>0.33227704843820732</v>
      </c>
    </row>
    <row r="14" spans="1:16" x14ac:dyDescent="0.2">
      <c r="A14" t="s">
        <v>16</v>
      </c>
      <c r="B14">
        <f>L_r!B14/L_r!$H14</f>
        <v>4.0946133969389786E-2</v>
      </c>
      <c r="C14">
        <f>L_r!C14/L_r!$H14</f>
        <v>0.23891870403498314</v>
      </c>
      <c r="D14">
        <f>L_r!D14/L_r!$H14</f>
        <v>5.8040151063406882E-2</v>
      </c>
      <c r="E14">
        <f>L_r!E14/L_r!$H14</f>
        <v>0.23037169548797459</v>
      </c>
      <c r="F14">
        <f>L_r!F14/L_r!$H14</f>
        <v>0.13118664281454981</v>
      </c>
      <c r="G14">
        <f>L_r!G14/L_r!$H14</f>
        <v>0.30053667262969586</v>
      </c>
      <c r="J14" t="s">
        <v>16</v>
      </c>
      <c r="K14">
        <f>L_r!M14/L_r!$S14</f>
        <v>3.1334301722349037E-2</v>
      </c>
      <c r="L14">
        <f>L_r!N14/L_r!$S14</f>
        <v>0.15106868644947086</v>
      </c>
      <c r="M14">
        <f>L_r!O14/L_r!$S14</f>
        <v>5.1255447188213323E-2</v>
      </c>
      <c r="N14">
        <f>L_r!P14/L_r!$S14</f>
        <v>0.28678148993567137</v>
      </c>
      <c r="O14">
        <f>L_r!Q14/L_r!$S14</f>
        <v>0.11330151483710313</v>
      </c>
      <c r="P14">
        <f>L_r!R14/L_r!$S14</f>
        <v>0.36625855986719236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9EED-D806-E549-842E-59B66016AA7B}">
  <dimension ref="A1:R14"/>
  <sheetViews>
    <sheetView workbookViewId="0">
      <selection activeCell="H3" sqref="H3"/>
    </sheetView>
  </sheetViews>
  <sheetFormatPr baseColWidth="10" defaultRowHeight="16" x14ac:dyDescent="0.2"/>
  <cols>
    <col min="1" max="1" width="22.33203125" bestFit="1" customWidth="1"/>
    <col min="11" max="11" width="22.33203125" bestFit="1" customWidth="1"/>
  </cols>
  <sheetData>
    <row r="1" spans="1:18" x14ac:dyDescent="0.2">
      <c r="A1" s="6" t="s">
        <v>31</v>
      </c>
      <c r="B1" s="6"/>
      <c r="C1" s="6"/>
      <c r="D1" s="6"/>
      <c r="E1" s="6"/>
      <c r="F1" s="6"/>
      <c r="G1" s="6"/>
      <c r="H1" s="6"/>
      <c r="K1" s="6" t="s">
        <v>32</v>
      </c>
      <c r="L1" s="6"/>
      <c r="M1" s="6"/>
      <c r="N1" s="6"/>
      <c r="O1" s="6"/>
      <c r="P1" s="6"/>
      <c r="Q1" s="6"/>
      <c r="R1" s="6"/>
    </row>
    <row r="2" spans="1:18" x14ac:dyDescent="0.2">
      <c r="B2" s="1" t="s">
        <v>4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35</v>
      </c>
      <c r="L2" t="s">
        <v>4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36</v>
      </c>
    </row>
    <row r="3" spans="1:18" x14ac:dyDescent="0.2">
      <c r="A3" t="s">
        <v>5</v>
      </c>
      <c r="B3">
        <f>s_ri!B3*shock_i!$E$2</f>
        <v>34829.382406237659</v>
      </c>
      <c r="C3">
        <f>s_ri!C3*shock_i!$E$3</f>
        <v>6573021.7021501567</v>
      </c>
      <c r="D3">
        <f>s_ri!D3*shock_i!$E$4</f>
        <v>0</v>
      </c>
      <c r="E3">
        <f>s_ri!E3*shock_i!$E$5</f>
        <v>0</v>
      </c>
      <c r="F3">
        <f>s_ri!F3*shock_i!$E$6</f>
        <v>19.926822602103293</v>
      </c>
      <c r="G3">
        <f>s_ri!G3*shock_i!$E$7</f>
        <v>803.45386058255383</v>
      </c>
      <c r="H3">
        <f>SUM(B3:G3)/1000</f>
        <v>6608.6744652395791</v>
      </c>
      <c r="K3" t="s">
        <v>5</v>
      </c>
      <c r="L3">
        <f>s_ri!K3*shock_i!$E$8</f>
        <v>-36143.566381162847</v>
      </c>
      <c r="M3">
        <f>s_ri!L3*shock_i!$E$9</f>
        <v>1057615.8258639069</v>
      </c>
      <c r="N3">
        <f>s_ri!M3*shock_i!$E$10</f>
        <v>0</v>
      </c>
      <c r="O3">
        <f>s_ri!N3*shock_i!$E$11</f>
        <v>0</v>
      </c>
      <c r="P3">
        <f>s_ri!O3*shock_i!$E$12</f>
        <v>-21.680336828186903</v>
      </c>
      <c r="Q3">
        <f>s_ri!P3*shock_i!$E$13</f>
        <v>-500.40889077056573</v>
      </c>
      <c r="R3">
        <f>SUM(L3:Q3)/1000</f>
        <v>1020.9501702551453</v>
      </c>
    </row>
    <row r="4" spans="1:18" x14ac:dyDescent="0.2">
      <c r="A4" t="s">
        <v>6</v>
      </c>
      <c r="B4">
        <f>s_ri!B4*shock_i!$E$2</f>
        <v>57111.219448101925</v>
      </c>
      <c r="C4">
        <f>s_ri!C4*shock_i!$E$3</f>
        <v>6879317.6904914444</v>
      </c>
      <c r="D4">
        <f>s_ri!D4*shock_i!$E$4</f>
        <v>0</v>
      </c>
      <c r="E4">
        <f>s_ri!E4*shock_i!$E$5</f>
        <v>0</v>
      </c>
      <c r="F4">
        <f>s_ri!F4*shock_i!$E$6</f>
        <v>15.471299386081105</v>
      </c>
      <c r="G4">
        <f>s_ri!G4*shock_i!$E$7</f>
        <v>757.66696455949295</v>
      </c>
      <c r="H4">
        <f t="shared" ref="H4:H14" si="0">SUM(B4:G4)/1000</f>
        <v>6937.2020482034914</v>
      </c>
      <c r="K4" t="s">
        <v>6</v>
      </c>
      <c r="L4">
        <f>s_ri!K4*shock_i!$E$8</f>
        <v>-49883.408649915524</v>
      </c>
      <c r="M4">
        <f>s_ri!L4*shock_i!$E$9</f>
        <v>960945.82654664025</v>
      </c>
      <c r="N4">
        <f>s_ri!M4*shock_i!$E$10</f>
        <v>0</v>
      </c>
      <c r="O4">
        <f>s_ri!N4*shock_i!$E$11</f>
        <v>0</v>
      </c>
      <c r="P4">
        <f>s_ri!O4*shock_i!$E$12</f>
        <v>-21.169678695993806</v>
      </c>
      <c r="Q4">
        <f>s_ri!P4*shock_i!$E$13</f>
        <v>-436.38080275165021</v>
      </c>
      <c r="R4">
        <f t="shared" ref="R4:R14" si="1">SUM(L4:Q4)/1000</f>
        <v>910.60486741527723</v>
      </c>
    </row>
    <row r="5" spans="1:18" x14ac:dyDescent="0.2">
      <c r="A5" t="s">
        <v>7</v>
      </c>
      <c r="B5">
        <f>s_ri!B5*shock_i!$E$2</f>
        <v>91715.663832625854</v>
      </c>
      <c r="C5">
        <f>s_ri!C5*shock_i!$E$3</f>
        <v>6534690.4663489358</v>
      </c>
      <c r="D5">
        <f>s_ri!D5*shock_i!$E$4</f>
        <v>0</v>
      </c>
      <c r="E5">
        <f>s_ri!E5*shock_i!$E$5</f>
        <v>0</v>
      </c>
      <c r="F5">
        <f>s_ri!F5*shock_i!$E$6</f>
        <v>13.125807934750069</v>
      </c>
      <c r="G5">
        <f>s_ri!G5*shock_i!$E$7</f>
        <v>911.38810640546012</v>
      </c>
      <c r="H5">
        <f t="shared" si="0"/>
        <v>6627.3306440959022</v>
      </c>
      <c r="K5" t="s">
        <v>7</v>
      </c>
      <c r="L5">
        <f>s_ri!K5*shock_i!$E$8</f>
        <v>-42487.959151347772</v>
      </c>
      <c r="M5">
        <f>s_ri!L5*shock_i!$E$9</f>
        <v>1078423.7355993569</v>
      </c>
      <c r="N5">
        <f>s_ri!M5*shock_i!$E$10</f>
        <v>0</v>
      </c>
      <c r="O5">
        <f>s_ri!N5*shock_i!$E$11</f>
        <v>0</v>
      </c>
      <c r="P5">
        <f>s_ri!O5*shock_i!$E$12</f>
        <v>-20.459903683604249</v>
      </c>
      <c r="Q5">
        <f>s_ri!P5*shock_i!$E$13</f>
        <v>-448.83392375188208</v>
      </c>
      <c r="R5">
        <f t="shared" si="1"/>
        <v>1035.4664826205737</v>
      </c>
    </row>
    <row r="6" spans="1:18" x14ac:dyDescent="0.2">
      <c r="A6" t="s">
        <v>8</v>
      </c>
      <c r="B6">
        <f>s_ri!B6*shock_i!$E$2</f>
        <v>60551.54559839853</v>
      </c>
      <c r="C6">
        <f>s_ri!C6*shock_i!$E$3</f>
        <v>7514090.8920149272</v>
      </c>
      <c r="D6">
        <f>s_ri!D6*shock_i!$E$4</f>
        <v>0</v>
      </c>
      <c r="E6">
        <f>s_ri!E6*shock_i!$E$5</f>
        <v>0</v>
      </c>
      <c r="F6">
        <f>s_ri!F6*shock_i!$E$6</f>
        <v>15.654316046618998</v>
      </c>
      <c r="G6">
        <f>s_ri!G6*shock_i!$E$7</f>
        <v>688.19947847584331</v>
      </c>
      <c r="H6">
        <f t="shared" si="0"/>
        <v>7575.3462914078491</v>
      </c>
      <c r="K6" t="s">
        <v>8</v>
      </c>
      <c r="L6">
        <f>s_ri!K6*shock_i!$E$8</f>
        <v>-39231.527652557379</v>
      </c>
      <c r="M6">
        <f>s_ri!L6*shock_i!$E$9</f>
        <v>1206597.7447299629</v>
      </c>
      <c r="N6">
        <f>s_ri!M6*shock_i!$E$10</f>
        <v>0</v>
      </c>
      <c r="O6">
        <f>s_ri!N6*shock_i!$E$11</f>
        <v>0</v>
      </c>
      <c r="P6">
        <f>s_ri!O6*shock_i!$E$12</f>
        <v>-18.965069245017713</v>
      </c>
      <c r="Q6">
        <f>s_ri!P6*shock_i!$E$13</f>
        <v>-447.71667473246237</v>
      </c>
      <c r="R6">
        <f t="shared" si="1"/>
        <v>1166.8995353334278</v>
      </c>
    </row>
    <row r="7" spans="1:18" x14ac:dyDescent="0.2">
      <c r="A7" t="s">
        <v>9</v>
      </c>
      <c r="B7">
        <f>s_ri!B7*shock_i!$E$2</f>
        <v>51739.358468992534</v>
      </c>
      <c r="C7">
        <f>s_ri!C7*shock_i!$E$3</f>
        <v>5422543.9009758485</v>
      </c>
      <c r="D7">
        <f>s_ri!D7*shock_i!$E$4</f>
        <v>0</v>
      </c>
      <c r="E7">
        <f>s_ri!E7*shock_i!$E$5</f>
        <v>0</v>
      </c>
      <c r="F7">
        <f>s_ri!F7*shock_i!$E$6</f>
        <v>19.283313191052429</v>
      </c>
      <c r="G7">
        <f>s_ri!G7*shock_i!$E$7</f>
        <v>771.75258067050333</v>
      </c>
      <c r="H7">
        <f t="shared" si="0"/>
        <v>5475.0742953387035</v>
      </c>
      <c r="K7" t="s">
        <v>9</v>
      </c>
      <c r="L7">
        <f>s_ri!K7*shock_i!$E$8</f>
        <v>-32473.968993874227</v>
      </c>
      <c r="M7">
        <f>s_ri!L7*shock_i!$E$9</f>
        <v>944501.8337929009</v>
      </c>
      <c r="N7">
        <f>s_ri!M7*shock_i!$E$10</f>
        <v>0</v>
      </c>
      <c r="O7">
        <f>s_ri!N7*shock_i!$E$11</f>
        <v>0</v>
      </c>
      <c r="P7">
        <f>s_ri!O7*shock_i!$E$12</f>
        <v>-24.142024922894379</v>
      </c>
      <c r="Q7">
        <f>s_ri!P7*shock_i!$E$13</f>
        <v>-444.03299085120062</v>
      </c>
      <c r="R7">
        <f t="shared" si="1"/>
        <v>911.55968978325257</v>
      </c>
    </row>
    <row r="8" spans="1:18" x14ac:dyDescent="0.2">
      <c r="A8" t="s">
        <v>10</v>
      </c>
      <c r="B8">
        <f>s_ri!B8*shock_i!$E$2</f>
        <v>47464.07933439764</v>
      </c>
      <c r="C8">
        <f>s_ri!C8*shock_i!$E$3</f>
        <v>5218353.4986716667</v>
      </c>
      <c r="D8">
        <f>s_ri!D8*shock_i!$E$4</f>
        <v>0</v>
      </c>
      <c r="E8">
        <f>s_ri!E8*shock_i!$E$5</f>
        <v>0</v>
      </c>
      <c r="F8">
        <f>s_ri!F8*shock_i!$E$6</f>
        <v>28.295313623230495</v>
      </c>
      <c r="G8">
        <f>s_ri!G8*shock_i!$E$7</f>
        <v>747.25393954435708</v>
      </c>
      <c r="H8">
        <f t="shared" si="0"/>
        <v>5266.5931272592325</v>
      </c>
      <c r="K8" t="s">
        <v>10</v>
      </c>
      <c r="L8">
        <f>s_ri!K8*shock_i!$E$8</f>
        <v>-34259.32297111443</v>
      </c>
      <c r="M8">
        <f>s_ri!L8*shock_i!$E$9</f>
        <v>801468.13815082877</v>
      </c>
      <c r="N8">
        <f>s_ri!M8*shock_i!$E$10</f>
        <v>0</v>
      </c>
      <c r="O8">
        <f>s_ri!N8*shock_i!$E$11</f>
        <v>0</v>
      </c>
      <c r="P8">
        <f>s_ri!O8*shock_i!$E$12</f>
        <v>-25.16140130440715</v>
      </c>
      <c r="Q8">
        <f>s_ri!P8*shock_i!$E$13</f>
        <v>-398.80777700340428</v>
      </c>
      <c r="R8">
        <f t="shared" si="1"/>
        <v>766.78484600140655</v>
      </c>
    </row>
    <row r="9" spans="1:18" x14ac:dyDescent="0.2">
      <c r="A9" t="s">
        <v>11</v>
      </c>
      <c r="B9">
        <f>s_ri!B9*shock_i!$E$2</f>
        <v>17068.679087175158</v>
      </c>
      <c r="C9">
        <f>s_ri!C9*shock_i!$E$3</f>
        <v>3598110.8587999945</v>
      </c>
      <c r="D9">
        <f>s_ri!D9*shock_i!$E$4</f>
        <v>0</v>
      </c>
      <c r="E9">
        <f>s_ri!E9*shock_i!$E$5</f>
        <v>0</v>
      </c>
      <c r="F9">
        <f>s_ri!F9*shock_i!$E$6</f>
        <v>28.057614024606821</v>
      </c>
      <c r="G9">
        <f>s_ri!G9*shock_i!$E$7</f>
        <v>792.87660706299812</v>
      </c>
      <c r="H9">
        <f t="shared" si="0"/>
        <v>3616.0004721082573</v>
      </c>
      <c r="K9" t="s">
        <v>11</v>
      </c>
      <c r="L9">
        <f>s_ri!K9*shock_i!$E$8</f>
        <v>-14680.330918129859</v>
      </c>
      <c r="M9">
        <f>s_ri!L9*shock_i!$E$9</f>
        <v>602929.93004712637</v>
      </c>
      <c r="N9">
        <f>s_ri!M9*shock_i!$E$10</f>
        <v>0</v>
      </c>
      <c r="O9">
        <f>s_ri!N9*shock_i!$E$11</f>
        <v>0</v>
      </c>
      <c r="P9">
        <f>s_ri!O9*shock_i!$E$12</f>
        <v>-29.857379981904387</v>
      </c>
      <c r="Q9">
        <f>s_ri!P9*shock_i!$E$13</f>
        <v>-456.78239752632385</v>
      </c>
      <c r="R9">
        <f t="shared" si="1"/>
        <v>587.76295935148823</v>
      </c>
    </row>
    <row r="10" spans="1:18" x14ac:dyDescent="0.2">
      <c r="A10" t="s">
        <v>12</v>
      </c>
      <c r="B10">
        <f>s_ri!B10*shock_i!$E$2</f>
        <v>35717.871825773436</v>
      </c>
      <c r="C10">
        <f>s_ri!C10*shock_i!$E$3</f>
        <v>3554378.9975262056</v>
      </c>
      <c r="D10">
        <f>s_ri!D10*shock_i!$E$4</f>
        <v>0</v>
      </c>
      <c r="E10">
        <f>s_ri!E10*shock_i!$E$5</f>
        <v>0</v>
      </c>
      <c r="F10">
        <f>s_ri!F10*shock_i!$E$6</f>
        <v>25.420760557562225</v>
      </c>
      <c r="G10">
        <f>s_ri!G10*shock_i!$E$7</f>
        <v>768.19686434386108</v>
      </c>
      <c r="H10">
        <f t="shared" si="0"/>
        <v>3590.8904869768803</v>
      </c>
      <c r="K10" t="s">
        <v>12</v>
      </c>
      <c r="L10">
        <f>s_ri!K10*shock_i!$E$8</f>
        <v>-18240.859370249484</v>
      </c>
      <c r="M10">
        <f>s_ri!L10*shock_i!$E$9</f>
        <v>667869.49753556587</v>
      </c>
      <c r="N10">
        <f>s_ri!M10*shock_i!$E$10</f>
        <v>0</v>
      </c>
      <c r="O10">
        <f>s_ri!N10*shock_i!$E$11</f>
        <v>0</v>
      </c>
      <c r="P10">
        <f>s_ri!O10*shock_i!$E$12</f>
        <v>-30.899838543972237</v>
      </c>
      <c r="Q10">
        <f>s_ri!P10*shock_i!$E$13</f>
        <v>-429.25615498053708</v>
      </c>
      <c r="R10">
        <f t="shared" si="1"/>
        <v>649.16848217179199</v>
      </c>
    </row>
    <row r="11" spans="1:18" x14ac:dyDescent="0.2">
      <c r="A11" t="s">
        <v>13</v>
      </c>
      <c r="B11">
        <f>s_ri!B11*shock_i!$E$2</f>
        <v>40608.315632278929</v>
      </c>
      <c r="C11">
        <f>s_ri!C11*shock_i!$E$3</f>
        <v>3712376.4202037626</v>
      </c>
      <c r="D11">
        <f>s_ri!D11*shock_i!$E$4</f>
        <v>0</v>
      </c>
      <c r="E11">
        <f>s_ri!E11*shock_i!$E$5</f>
        <v>0</v>
      </c>
      <c r="F11">
        <f>s_ri!F11*shock_i!$E$6</f>
        <v>25.458572994884779</v>
      </c>
      <c r="G11">
        <f>s_ri!G11*shock_i!$E$7</f>
        <v>798.18614832829417</v>
      </c>
      <c r="H11">
        <f t="shared" si="0"/>
        <v>3753.8083805573647</v>
      </c>
      <c r="K11" t="s">
        <v>13</v>
      </c>
      <c r="L11">
        <f>s_ri!K11*shock_i!$E$8</f>
        <v>-26991.752863468933</v>
      </c>
      <c r="M11">
        <f>s_ri!L11*shock_i!$E$9</f>
        <v>740165.14627052192</v>
      </c>
      <c r="N11">
        <f>s_ri!M11*shock_i!$E$10</f>
        <v>0</v>
      </c>
      <c r="O11">
        <f>s_ri!N11*shock_i!$E$11</f>
        <v>0</v>
      </c>
      <c r="P11">
        <f>s_ri!O11*shock_i!$E$12</f>
        <v>-28.326081528497596</v>
      </c>
      <c r="Q11">
        <f>s_ri!P11*shock_i!$E$13</f>
        <v>-455.03171378754712</v>
      </c>
      <c r="R11">
        <f t="shared" si="1"/>
        <v>712.6900356117369</v>
      </c>
    </row>
    <row r="12" spans="1:18" x14ac:dyDescent="0.2">
      <c r="A12" t="s">
        <v>14</v>
      </c>
      <c r="B12">
        <f>s_ri!B12*shock_i!$E$2</f>
        <v>55162.745854431589</v>
      </c>
      <c r="C12">
        <f>s_ri!C12*shock_i!$E$3</f>
        <v>7527741.7632302064</v>
      </c>
      <c r="D12">
        <f>s_ri!D12*shock_i!$E$4</f>
        <v>0</v>
      </c>
      <c r="E12">
        <f>s_ri!E12*shock_i!$E$5</f>
        <v>0</v>
      </c>
      <c r="F12">
        <f>s_ri!F12*shock_i!$E$6</f>
        <v>16.948295388307649</v>
      </c>
      <c r="G12">
        <f>s_ri!G12*shock_i!$E$7</f>
        <v>618.61085535947041</v>
      </c>
      <c r="H12">
        <f t="shared" si="0"/>
        <v>7583.5400682353866</v>
      </c>
      <c r="K12" t="s">
        <v>14</v>
      </c>
      <c r="L12">
        <f>s_ri!K12*shock_i!$E$8</f>
        <v>-38202.377124393635</v>
      </c>
      <c r="M12">
        <f>s_ri!L12*shock_i!$E$9</f>
        <v>1357506.7265696146</v>
      </c>
      <c r="N12">
        <f>s_ri!M12*shock_i!$E$10</f>
        <v>0</v>
      </c>
      <c r="O12">
        <f>s_ri!N12*shock_i!$E$11</f>
        <v>0</v>
      </c>
      <c r="P12">
        <f>s_ri!O12*shock_i!$E$12</f>
        <v>-15.495553609638309</v>
      </c>
      <c r="Q12">
        <f>s_ri!P12*shock_i!$E$13</f>
        <v>-404.37413068876157</v>
      </c>
      <c r="R12">
        <f t="shared" si="1"/>
        <v>1318.8844797609224</v>
      </c>
    </row>
    <row r="13" spans="1:18" x14ac:dyDescent="0.2">
      <c r="A13" t="s">
        <v>15</v>
      </c>
      <c r="B13">
        <f>s_ri!B13*shock_i!$E$2</f>
        <v>55722.654829989668</v>
      </c>
      <c r="C13">
        <f>s_ri!C13*shock_i!$E$3</f>
        <v>7106929.7118349476</v>
      </c>
      <c r="D13">
        <f>s_ri!D13*shock_i!$E$4</f>
        <v>0</v>
      </c>
      <c r="E13">
        <f>s_ri!E13*shock_i!$E$5</f>
        <v>0</v>
      </c>
      <c r="F13">
        <f>s_ri!F13*shock_i!$E$6</f>
        <v>18.444458604197575</v>
      </c>
      <c r="G13">
        <f>s_ri!G13*shock_i!$E$7</f>
        <v>610.29137729807644</v>
      </c>
      <c r="H13">
        <f t="shared" si="0"/>
        <v>7163.2811025008405</v>
      </c>
      <c r="K13" t="s">
        <v>15</v>
      </c>
      <c r="L13">
        <f>s_ri!K13*shock_i!$E$8</f>
        <v>-35279.696393736092</v>
      </c>
      <c r="M13">
        <f>s_ri!L13*shock_i!$E$9</f>
        <v>1217505.1931757743</v>
      </c>
      <c r="N13">
        <f>s_ri!M13*shock_i!$E$10</f>
        <v>0</v>
      </c>
      <c r="O13">
        <f>s_ri!N13*shock_i!$E$11</f>
        <v>0</v>
      </c>
      <c r="P13">
        <f>s_ri!O13*shock_i!$E$12</f>
        <v>-22.973021159859961</v>
      </c>
      <c r="Q13">
        <f>s_ri!P13*shock_i!$E$13</f>
        <v>-389.63268946668813</v>
      </c>
      <c r="R13">
        <f t="shared" si="1"/>
        <v>1181.8128910714115</v>
      </c>
    </row>
    <row r="14" spans="1:18" x14ac:dyDescent="0.2">
      <c r="A14" t="s">
        <v>16</v>
      </c>
      <c r="B14">
        <f>s_ri!B14*shock_i!$E$2</f>
        <v>60712.330043845817</v>
      </c>
      <c r="C14">
        <f>s_ri!C14*shock_i!$E$3</f>
        <v>8034068.8815127425</v>
      </c>
      <c r="D14">
        <f>s_ri!D14*shock_i!$E$4</f>
        <v>0</v>
      </c>
      <c r="E14">
        <f>s_ri!E14*shock_i!$E$5</f>
        <v>0</v>
      </c>
      <c r="F14">
        <f>s_ri!F14*shock_i!$E$6</f>
        <v>17.959922116911695</v>
      </c>
      <c r="G14">
        <f>s_ri!G14*shock_i!$E$7</f>
        <v>670.93025884892654</v>
      </c>
      <c r="H14">
        <f t="shared" si="0"/>
        <v>8095.4701017375546</v>
      </c>
      <c r="K14" t="s">
        <v>16</v>
      </c>
      <c r="L14">
        <f>s_ri!K14*shock_i!$E$8</f>
        <v>-35911.34433980145</v>
      </c>
      <c r="M14">
        <f>s_ri!L14*shock_i!$E$9</f>
        <v>1212819.5367317849</v>
      </c>
      <c r="N14">
        <f>s_ri!M14*shock_i!$E$10</f>
        <v>0</v>
      </c>
      <c r="O14">
        <f>s_ri!N14*shock_i!$E$11</f>
        <v>0</v>
      </c>
      <c r="P14">
        <f>s_ri!O14*shock_i!$E$12</f>
        <v>-19.978310347579843</v>
      </c>
      <c r="Q14">
        <f>s_ri!P14*shock_i!$E$13</f>
        <v>-429.47988250169158</v>
      </c>
      <c r="R14">
        <f t="shared" si="1"/>
        <v>1176.4587341991341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E25C-232B-2041-8B31-32CCBD2619CD}">
  <dimension ref="A1:W40"/>
  <sheetViews>
    <sheetView workbookViewId="0">
      <selection sqref="A1:XFD1048576"/>
    </sheetView>
  </sheetViews>
  <sheetFormatPr baseColWidth="10" defaultRowHeight="16" x14ac:dyDescent="0.2"/>
  <cols>
    <col min="3" max="3" width="17.5" style="4" bestFit="1" customWidth="1"/>
    <col min="5" max="6" width="10.83203125" style="1"/>
    <col min="7" max="7" width="15.6640625" style="4" bestFit="1" customWidth="1"/>
    <col min="8" max="10" width="10.83203125" style="1"/>
    <col min="11" max="11" width="17.83203125" style="4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</cols>
  <sheetData>
    <row r="1" spans="1:23" x14ac:dyDescent="0.2">
      <c r="A1" s="6" t="s">
        <v>37</v>
      </c>
      <c r="B1" s="6"/>
      <c r="C1" s="6"/>
      <c r="E1" s="6" t="s">
        <v>38</v>
      </c>
      <c r="F1" s="6"/>
      <c r="G1" s="6"/>
      <c r="H1" s="3"/>
      <c r="I1" s="6" t="s">
        <v>39</v>
      </c>
      <c r="J1" s="6"/>
      <c r="K1" s="6"/>
      <c r="L1" s="3"/>
      <c r="M1" s="6" t="s">
        <v>40</v>
      </c>
      <c r="N1" s="6"/>
      <c r="O1" s="6"/>
      <c r="P1" s="3"/>
      <c r="Q1" s="6" t="s">
        <v>41</v>
      </c>
      <c r="R1" s="6"/>
      <c r="S1" s="6"/>
      <c r="T1" s="3"/>
      <c r="U1" s="6" t="s">
        <v>42</v>
      </c>
      <c r="V1" s="6"/>
      <c r="W1" s="6"/>
    </row>
    <row r="2" spans="1:23" x14ac:dyDescent="0.2">
      <c r="A2" t="s">
        <v>1</v>
      </c>
      <c r="B2" t="s">
        <v>2</v>
      </c>
      <c r="C2" s="4" t="s">
        <v>3</v>
      </c>
      <c r="E2" s="1" t="s">
        <v>1</v>
      </c>
      <c r="F2" s="1" t="s">
        <v>2</v>
      </c>
      <c r="G2" s="4" t="s">
        <v>3</v>
      </c>
      <c r="I2" s="1" t="s">
        <v>1</v>
      </c>
      <c r="J2" s="1" t="s">
        <v>2</v>
      </c>
      <c r="K2" s="4" t="s">
        <v>3</v>
      </c>
      <c r="M2" s="1" t="s">
        <v>1</v>
      </c>
      <c r="N2" s="1" t="s">
        <v>2</v>
      </c>
      <c r="O2" s="2" t="s">
        <v>3</v>
      </c>
      <c r="Q2" s="1" t="s">
        <v>1</v>
      </c>
      <c r="R2" s="1" t="s">
        <v>2</v>
      </c>
      <c r="S2" s="1" t="s">
        <v>3</v>
      </c>
      <c r="U2" s="1" t="s">
        <v>1</v>
      </c>
      <c r="V2" s="1" t="s">
        <v>2</v>
      </c>
      <c r="W2" s="2" t="s">
        <v>3</v>
      </c>
    </row>
    <row r="3" spans="1:23" x14ac:dyDescent="0.2">
      <c r="A3">
        <v>1999</v>
      </c>
      <c r="B3" t="s">
        <v>4</v>
      </c>
      <c r="C3" s="4">
        <v>31366299</v>
      </c>
      <c r="E3" s="1">
        <v>1999</v>
      </c>
      <c r="F3" s="1" t="s">
        <v>4</v>
      </c>
      <c r="G3" s="4">
        <v>1907415</v>
      </c>
      <c r="I3" s="1">
        <v>1999</v>
      </c>
      <c r="J3" s="1" t="s">
        <v>4</v>
      </c>
      <c r="K3" s="4">
        <v>1643501884</v>
      </c>
      <c r="M3" s="1">
        <v>1999</v>
      </c>
      <c r="N3" s="1" t="s">
        <v>4</v>
      </c>
      <c r="O3" s="4">
        <v>1125099</v>
      </c>
      <c r="Q3" s="1">
        <v>1999</v>
      </c>
      <c r="R3" s="1" t="s">
        <v>4</v>
      </c>
      <c r="S3" s="4">
        <v>8132064</v>
      </c>
      <c r="U3" s="1">
        <v>1999</v>
      </c>
      <c r="V3" s="1" t="s">
        <v>4</v>
      </c>
      <c r="W3" s="4">
        <v>1414721</v>
      </c>
    </row>
    <row r="4" spans="1:23" x14ac:dyDescent="0.2">
      <c r="A4">
        <v>1999</v>
      </c>
      <c r="B4" t="s">
        <v>17</v>
      </c>
      <c r="C4" s="4">
        <v>4170822649</v>
      </c>
      <c r="E4" s="1">
        <v>1999</v>
      </c>
      <c r="F4" s="1" t="s">
        <v>17</v>
      </c>
      <c r="G4" s="4">
        <v>723830435</v>
      </c>
      <c r="I4" s="1">
        <v>1999</v>
      </c>
      <c r="J4" s="1" t="s">
        <v>17</v>
      </c>
      <c r="K4" s="4">
        <v>40528188750</v>
      </c>
      <c r="M4" s="1">
        <v>1999</v>
      </c>
      <c r="N4" s="1" t="s">
        <v>17</v>
      </c>
      <c r="O4" s="4">
        <v>920711827</v>
      </c>
      <c r="Q4" s="1">
        <v>1999</v>
      </c>
      <c r="R4" s="1" t="s">
        <v>17</v>
      </c>
      <c r="S4" s="4">
        <v>745304253</v>
      </c>
      <c r="U4" s="1">
        <v>1999</v>
      </c>
      <c r="V4" s="1" t="s">
        <v>17</v>
      </c>
      <c r="W4" s="4">
        <v>757645750</v>
      </c>
    </row>
    <row r="5" spans="1:23" x14ac:dyDescent="0.2">
      <c r="A5">
        <v>1999</v>
      </c>
      <c r="B5" t="s">
        <v>18</v>
      </c>
      <c r="C5" s="4">
        <v>0</v>
      </c>
      <c r="E5" s="1">
        <v>1999</v>
      </c>
      <c r="F5" s="1" t="s">
        <v>18</v>
      </c>
      <c r="G5" s="4">
        <v>0</v>
      </c>
      <c r="I5" s="1">
        <v>1999</v>
      </c>
      <c r="J5" s="1" t="s">
        <v>18</v>
      </c>
      <c r="K5" s="4">
        <v>0</v>
      </c>
      <c r="M5" s="1">
        <v>1999</v>
      </c>
      <c r="N5" s="1" t="s">
        <v>18</v>
      </c>
      <c r="O5" s="4">
        <v>0</v>
      </c>
      <c r="Q5" s="1">
        <v>1999</v>
      </c>
      <c r="R5" s="1" t="s">
        <v>18</v>
      </c>
      <c r="S5" s="4">
        <v>0</v>
      </c>
      <c r="U5" s="1">
        <v>1999</v>
      </c>
      <c r="V5" s="1" t="s">
        <v>18</v>
      </c>
      <c r="W5" s="4">
        <v>0</v>
      </c>
    </row>
    <row r="6" spans="1:23" x14ac:dyDescent="0.2">
      <c r="A6">
        <v>1999</v>
      </c>
      <c r="B6" t="s">
        <v>19</v>
      </c>
      <c r="C6" s="4">
        <v>0</v>
      </c>
      <c r="E6" s="1">
        <v>1999</v>
      </c>
      <c r="F6" s="1" t="s">
        <v>19</v>
      </c>
      <c r="G6" s="4">
        <v>0</v>
      </c>
      <c r="I6" s="1">
        <v>1999</v>
      </c>
      <c r="J6" s="1" t="s">
        <v>19</v>
      </c>
      <c r="K6" s="4">
        <v>0</v>
      </c>
      <c r="M6" s="1">
        <v>1999</v>
      </c>
      <c r="N6" s="1" t="s">
        <v>19</v>
      </c>
      <c r="O6" s="4">
        <v>0</v>
      </c>
      <c r="Q6" s="1">
        <v>1999</v>
      </c>
      <c r="R6" s="1" t="s">
        <v>19</v>
      </c>
      <c r="S6" s="4">
        <v>0</v>
      </c>
      <c r="U6" s="1">
        <v>1999</v>
      </c>
      <c r="V6" s="1" t="s">
        <v>19</v>
      </c>
      <c r="W6" s="4">
        <v>0</v>
      </c>
    </row>
    <row r="7" spans="1:23" x14ac:dyDescent="0.2">
      <c r="A7">
        <v>1999</v>
      </c>
      <c r="B7" t="s">
        <v>20</v>
      </c>
      <c r="C7" s="4">
        <v>8063</v>
      </c>
      <c r="E7" s="1">
        <v>1999</v>
      </c>
      <c r="F7" s="1" t="s">
        <v>20</v>
      </c>
      <c r="G7" s="4">
        <v>0</v>
      </c>
      <c r="I7" s="1">
        <v>1999</v>
      </c>
      <c r="J7" s="1" t="s">
        <v>20</v>
      </c>
      <c r="K7" s="4">
        <v>399015</v>
      </c>
      <c r="M7" s="1">
        <v>1999</v>
      </c>
      <c r="N7" s="1" t="s">
        <v>20</v>
      </c>
      <c r="O7" s="4">
        <v>4382</v>
      </c>
      <c r="Q7" s="1">
        <v>1999</v>
      </c>
      <c r="R7" s="1" t="s">
        <v>20</v>
      </c>
      <c r="S7" s="4">
        <v>0</v>
      </c>
      <c r="U7" s="1">
        <v>1999</v>
      </c>
      <c r="V7" s="1" t="s">
        <v>20</v>
      </c>
      <c r="W7" s="4">
        <v>1451</v>
      </c>
    </row>
    <row r="8" spans="1:23" x14ac:dyDescent="0.2">
      <c r="A8">
        <v>1999</v>
      </c>
      <c r="B8" t="s">
        <v>21</v>
      </c>
      <c r="C8" s="4">
        <v>8515219</v>
      </c>
      <c r="E8" s="1">
        <v>1999</v>
      </c>
      <c r="F8" s="1" t="s">
        <v>21</v>
      </c>
      <c r="G8" s="4">
        <v>116194</v>
      </c>
      <c r="I8" s="1">
        <v>1999</v>
      </c>
      <c r="J8" s="1" t="s">
        <v>21</v>
      </c>
      <c r="K8" s="4">
        <v>26277368</v>
      </c>
      <c r="M8" s="1">
        <v>1999</v>
      </c>
      <c r="N8" s="1" t="s">
        <v>21</v>
      </c>
      <c r="O8" s="4">
        <v>195790</v>
      </c>
      <c r="Q8" s="1">
        <v>1999</v>
      </c>
      <c r="R8" s="1" t="s">
        <v>21</v>
      </c>
      <c r="S8" s="4">
        <v>422934</v>
      </c>
      <c r="U8" s="1">
        <v>1999</v>
      </c>
      <c r="V8" s="1" t="s">
        <v>21</v>
      </c>
      <c r="W8" s="4">
        <v>170444</v>
      </c>
    </row>
    <row r="9" spans="1:23" x14ac:dyDescent="0.2">
      <c r="A9">
        <v>2011</v>
      </c>
      <c r="B9" t="s">
        <v>4</v>
      </c>
      <c r="C9" s="4">
        <v>126210268</v>
      </c>
      <c r="E9" s="1">
        <v>2011</v>
      </c>
      <c r="F9" s="1" t="s">
        <v>4</v>
      </c>
      <c r="G9" s="4">
        <v>2661830</v>
      </c>
      <c r="I9" s="1">
        <v>2011</v>
      </c>
      <c r="J9" s="1" t="s">
        <v>4</v>
      </c>
      <c r="K9" s="4">
        <v>1871215480</v>
      </c>
      <c r="M9" s="1">
        <v>2011</v>
      </c>
      <c r="N9" s="1" t="s">
        <v>4</v>
      </c>
      <c r="O9" s="4">
        <v>14453257</v>
      </c>
      <c r="Q9" s="5">
        <v>2011</v>
      </c>
      <c r="R9" s="5" t="s">
        <v>4</v>
      </c>
      <c r="S9" s="4">
        <v>23104718.137999993</v>
      </c>
      <c r="U9" s="1">
        <v>2011</v>
      </c>
      <c r="V9" s="1" t="s">
        <v>4</v>
      </c>
      <c r="W9" s="4">
        <v>10454215</v>
      </c>
    </row>
    <row r="10" spans="1:23" x14ac:dyDescent="0.2">
      <c r="A10">
        <v>2011</v>
      </c>
      <c r="B10" t="s">
        <v>17</v>
      </c>
      <c r="C10" s="4">
        <v>42571628341</v>
      </c>
      <c r="E10" s="1">
        <v>2011</v>
      </c>
      <c r="F10" s="1" t="s">
        <v>17</v>
      </c>
      <c r="G10" s="4">
        <v>3030544423</v>
      </c>
      <c r="I10" s="1">
        <v>2011</v>
      </c>
      <c r="J10" s="1" t="s">
        <v>17</v>
      </c>
      <c r="K10" s="4">
        <v>178004922182</v>
      </c>
      <c r="M10" s="1">
        <v>2011</v>
      </c>
      <c r="N10" s="1" t="s">
        <v>17</v>
      </c>
      <c r="O10" s="4">
        <v>8239528662</v>
      </c>
      <c r="Q10" s="5">
        <v>2011</v>
      </c>
      <c r="R10" s="5" t="s">
        <v>17</v>
      </c>
      <c r="S10" s="4">
        <v>5835469332.3119993</v>
      </c>
      <c r="U10" s="1">
        <v>2011</v>
      </c>
      <c r="V10" s="1" t="s">
        <v>17</v>
      </c>
      <c r="W10" s="4">
        <v>6831335381</v>
      </c>
    </row>
    <row r="11" spans="1:23" x14ac:dyDescent="0.2">
      <c r="A11">
        <v>2011</v>
      </c>
      <c r="B11" t="s">
        <v>18</v>
      </c>
      <c r="C11" s="4">
        <v>0</v>
      </c>
      <c r="E11" s="1">
        <v>2011</v>
      </c>
      <c r="F11" s="1" t="s">
        <v>18</v>
      </c>
      <c r="G11" s="4">
        <v>0</v>
      </c>
      <c r="I11" s="1">
        <v>2011</v>
      </c>
      <c r="J11" s="1" t="s">
        <v>18</v>
      </c>
      <c r="K11" s="4">
        <v>0</v>
      </c>
      <c r="M11" s="1">
        <v>2011</v>
      </c>
      <c r="N11" s="1" t="s">
        <v>18</v>
      </c>
      <c r="O11" s="4">
        <v>0</v>
      </c>
      <c r="Q11" s="5">
        <v>2011</v>
      </c>
      <c r="R11" s="5" t="s">
        <v>18</v>
      </c>
      <c r="S11" s="4">
        <v>0</v>
      </c>
      <c r="U11" s="1">
        <v>2011</v>
      </c>
      <c r="V11" s="1" t="s">
        <v>18</v>
      </c>
      <c r="W11" s="4">
        <v>0</v>
      </c>
    </row>
    <row r="12" spans="1:23" x14ac:dyDescent="0.2">
      <c r="A12">
        <v>2011</v>
      </c>
      <c r="B12" t="s">
        <v>19</v>
      </c>
      <c r="C12" s="4">
        <v>0</v>
      </c>
      <c r="E12" s="1">
        <v>2011</v>
      </c>
      <c r="F12" s="1" t="s">
        <v>19</v>
      </c>
      <c r="G12" s="4">
        <v>0</v>
      </c>
      <c r="I12" s="1">
        <v>2011</v>
      </c>
      <c r="J12" s="1" t="s">
        <v>19</v>
      </c>
      <c r="K12" s="4">
        <v>0</v>
      </c>
      <c r="M12" s="1">
        <v>2011</v>
      </c>
      <c r="N12" s="1" t="s">
        <v>19</v>
      </c>
      <c r="O12" s="4">
        <v>0</v>
      </c>
      <c r="Q12" s="5">
        <v>2011</v>
      </c>
      <c r="R12" s="5" t="s">
        <v>19</v>
      </c>
      <c r="S12" s="4">
        <v>0</v>
      </c>
      <c r="U12" s="1">
        <v>2011</v>
      </c>
      <c r="V12" s="1" t="s">
        <v>19</v>
      </c>
      <c r="W12" s="4">
        <v>0</v>
      </c>
    </row>
    <row r="13" spans="1:23" x14ac:dyDescent="0.2">
      <c r="A13">
        <v>2011</v>
      </c>
      <c r="B13" t="s">
        <v>20</v>
      </c>
      <c r="C13" s="4">
        <v>12361</v>
      </c>
      <c r="E13" s="1">
        <v>2011</v>
      </c>
      <c r="F13" s="1" t="s">
        <v>20</v>
      </c>
      <c r="G13" s="4">
        <v>2351</v>
      </c>
      <c r="I13" s="1">
        <v>2011</v>
      </c>
      <c r="J13" s="1" t="s">
        <v>20</v>
      </c>
      <c r="K13" s="4">
        <v>761578</v>
      </c>
      <c r="M13" s="1">
        <v>2011</v>
      </c>
      <c r="N13" s="1" t="s">
        <v>20</v>
      </c>
      <c r="O13" s="4">
        <v>2049</v>
      </c>
      <c r="Q13" s="5">
        <v>2011</v>
      </c>
      <c r="R13" s="5" t="s">
        <v>20</v>
      </c>
      <c r="S13" s="4">
        <v>119105.481</v>
      </c>
      <c r="U13" s="1">
        <v>2011</v>
      </c>
      <c r="V13" s="1" t="s">
        <v>20</v>
      </c>
      <c r="W13" s="4">
        <v>1541</v>
      </c>
    </row>
    <row r="14" spans="1:23" x14ac:dyDescent="0.2">
      <c r="A14">
        <v>2011</v>
      </c>
      <c r="B14" t="s">
        <v>21</v>
      </c>
      <c r="C14" s="4">
        <v>8175074</v>
      </c>
      <c r="E14" s="1">
        <v>2011</v>
      </c>
      <c r="F14" s="1" t="s">
        <v>21</v>
      </c>
      <c r="G14" s="4">
        <v>175153</v>
      </c>
      <c r="I14" s="1">
        <v>2011</v>
      </c>
      <c r="J14" s="1" t="s">
        <v>21</v>
      </c>
      <c r="K14" s="4">
        <v>13813507</v>
      </c>
      <c r="M14" s="1">
        <v>2011</v>
      </c>
      <c r="N14" s="1" t="s">
        <v>21</v>
      </c>
      <c r="O14" s="4">
        <v>1991261</v>
      </c>
      <c r="Q14" s="5">
        <v>2011</v>
      </c>
      <c r="R14" s="5" t="s">
        <v>21</v>
      </c>
      <c r="S14" s="4">
        <v>840021.29500000004</v>
      </c>
      <c r="U14" s="1">
        <v>2011</v>
      </c>
      <c r="V14" s="1" t="s">
        <v>21</v>
      </c>
      <c r="W14" s="4">
        <v>1374256</v>
      </c>
    </row>
    <row r="15" spans="1:23" x14ac:dyDescent="0.2">
      <c r="A15">
        <v>2012</v>
      </c>
      <c r="B15" t="s">
        <v>4</v>
      </c>
      <c r="C15" s="4">
        <v>113128043</v>
      </c>
      <c r="E15" s="1">
        <v>2012</v>
      </c>
      <c r="F15" s="1" t="s">
        <v>4</v>
      </c>
      <c r="G15" s="4">
        <v>7005283</v>
      </c>
      <c r="I15" s="1">
        <v>2012</v>
      </c>
      <c r="J15" s="1" t="s">
        <v>4</v>
      </c>
      <c r="K15" s="4">
        <v>1945974614</v>
      </c>
      <c r="M15" s="1">
        <v>2012</v>
      </c>
      <c r="N15" s="1" t="s">
        <v>4</v>
      </c>
      <c r="O15" s="4">
        <v>13598740</v>
      </c>
      <c r="Q15" s="1">
        <v>2012</v>
      </c>
      <c r="R15" s="1" t="s">
        <v>4</v>
      </c>
      <c r="S15" s="4">
        <v>21088671.141000003</v>
      </c>
      <c r="U15" s="1">
        <v>2012</v>
      </c>
      <c r="V15" s="1" t="s">
        <v>4</v>
      </c>
      <c r="W15" s="4">
        <v>11961046.121999998</v>
      </c>
    </row>
    <row r="16" spans="1:23" x14ac:dyDescent="0.2">
      <c r="A16">
        <v>2012</v>
      </c>
      <c r="B16" t="s">
        <v>17</v>
      </c>
      <c r="C16" s="4">
        <v>44967001411</v>
      </c>
      <c r="E16" s="1">
        <v>2012</v>
      </c>
      <c r="F16" s="1" t="s">
        <v>17</v>
      </c>
      <c r="G16" s="4">
        <v>5857707478</v>
      </c>
      <c r="I16" s="1">
        <v>2012</v>
      </c>
      <c r="J16" s="1" t="s">
        <v>17</v>
      </c>
      <c r="K16" s="4">
        <v>183922027798</v>
      </c>
      <c r="M16" s="1">
        <v>2012</v>
      </c>
      <c r="N16" s="1" t="s">
        <v>17</v>
      </c>
      <c r="O16" s="4">
        <v>8057037744</v>
      </c>
      <c r="Q16" s="1">
        <v>2012</v>
      </c>
      <c r="R16" s="1" t="s">
        <v>17</v>
      </c>
      <c r="S16" s="4">
        <v>6182092763.4729986</v>
      </c>
      <c r="U16" s="1">
        <v>2012</v>
      </c>
      <c r="V16" s="1" t="s">
        <v>17</v>
      </c>
      <c r="W16" s="4">
        <v>8033880963.5719976</v>
      </c>
    </row>
    <row r="17" spans="1:23" x14ac:dyDescent="0.2">
      <c r="A17">
        <v>2012</v>
      </c>
      <c r="B17" t="s">
        <v>18</v>
      </c>
      <c r="C17" s="4">
        <v>0</v>
      </c>
      <c r="E17" s="1">
        <v>2012</v>
      </c>
      <c r="F17" s="1" t="s">
        <v>18</v>
      </c>
      <c r="G17" s="4">
        <v>0</v>
      </c>
      <c r="I17" s="1">
        <v>2012</v>
      </c>
      <c r="J17" s="1" t="s">
        <v>18</v>
      </c>
      <c r="K17" s="4">
        <v>0</v>
      </c>
      <c r="M17" s="1">
        <v>2012</v>
      </c>
      <c r="N17" s="1" t="s">
        <v>18</v>
      </c>
      <c r="O17" s="4">
        <v>0</v>
      </c>
      <c r="Q17" s="1">
        <v>2012</v>
      </c>
      <c r="R17" s="1" t="s">
        <v>18</v>
      </c>
      <c r="S17" s="4">
        <v>0</v>
      </c>
      <c r="U17" s="1">
        <v>2012</v>
      </c>
      <c r="V17" s="1" t="s">
        <v>18</v>
      </c>
      <c r="W17" s="4">
        <v>0</v>
      </c>
    </row>
    <row r="18" spans="1:23" x14ac:dyDescent="0.2">
      <c r="A18">
        <v>2012</v>
      </c>
      <c r="B18" t="s">
        <v>19</v>
      </c>
      <c r="C18" s="4">
        <v>0</v>
      </c>
      <c r="E18" s="1">
        <v>2012</v>
      </c>
      <c r="F18" s="1" t="s">
        <v>19</v>
      </c>
      <c r="G18" s="4">
        <v>0</v>
      </c>
      <c r="I18" s="1">
        <v>2012</v>
      </c>
      <c r="J18" s="1" t="s">
        <v>19</v>
      </c>
      <c r="K18" s="4">
        <v>0</v>
      </c>
      <c r="M18" s="1">
        <v>2012</v>
      </c>
      <c r="N18" s="1" t="s">
        <v>19</v>
      </c>
      <c r="O18" s="4">
        <v>0</v>
      </c>
      <c r="Q18" s="1">
        <v>2012</v>
      </c>
      <c r="R18" s="1" t="s">
        <v>19</v>
      </c>
      <c r="S18" s="4">
        <v>0</v>
      </c>
      <c r="U18" s="1">
        <v>2012</v>
      </c>
      <c r="V18" s="1" t="s">
        <v>19</v>
      </c>
      <c r="W18" s="4">
        <v>0</v>
      </c>
    </row>
    <row r="19" spans="1:23" x14ac:dyDescent="0.2">
      <c r="A19">
        <v>2012</v>
      </c>
      <c r="B19" t="s">
        <v>20</v>
      </c>
      <c r="C19" s="4">
        <v>22409</v>
      </c>
      <c r="E19" s="1">
        <v>2012</v>
      </c>
      <c r="F19" s="1" t="s">
        <v>20</v>
      </c>
      <c r="G19" s="4">
        <v>316</v>
      </c>
      <c r="I19" s="1">
        <v>2012</v>
      </c>
      <c r="J19" s="1" t="s">
        <v>20</v>
      </c>
      <c r="K19" s="4">
        <v>656483</v>
      </c>
      <c r="M19" s="1">
        <v>2012</v>
      </c>
      <c r="N19" s="1" t="s">
        <v>20</v>
      </c>
      <c r="O19" s="4">
        <v>37350</v>
      </c>
      <c r="Q19" s="1">
        <v>2012</v>
      </c>
      <c r="R19" s="1" t="s">
        <v>20</v>
      </c>
      <c r="S19" s="4">
        <v>113827.758</v>
      </c>
      <c r="U19" s="1">
        <v>2012</v>
      </c>
      <c r="V19" s="1" t="s">
        <v>20</v>
      </c>
      <c r="W19" s="4">
        <v>14028.040999999999</v>
      </c>
    </row>
    <row r="20" spans="1:23" x14ac:dyDescent="0.2">
      <c r="A20">
        <v>2012</v>
      </c>
      <c r="B20" t="s">
        <v>21</v>
      </c>
      <c r="C20" s="4">
        <v>5420936</v>
      </c>
      <c r="E20" s="1">
        <v>2012</v>
      </c>
      <c r="F20" s="1" t="s">
        <v>21</v>
      </c>
      <c r="G20" s="4">
        <v>177835</v>
      </c>
      <c r="I20" s="1">
        <v>2012</v>
      </c>
      <c r="J20" s="1" t="s">
        <v>21</v>
      </c>
      <c r="K20" s="4">
        <v>3975949</v>
      </c>
      <c r="M20" s="1">
        <v>2012</v>
      </c>
      <c r="N20" s="1" t="s">
        <v>21</v>
      </c>
      <c r="O20" s="4">
        <v>1176883</v>
      </c>
      <c r="Q20" s="1">
        <v>2012</v>
      </c>
      <c r="R20" s="1" t="s">
        <v>21</v>
      </c>
      <c r="S20" s="4">
        <v>1366947.399</v>
      </c>
      <c r="U20" s="1">
        <v>2012</v>
      </c>
      <c r="V20" s="1" t="s">
        <v>21</v>
      </c>
      <c r="W20" s="4">
        <v>1414026.5360000003</v>
      </c>
    </row>
    <row r="21" spans="1:23" x14ac:dyDescent="0.2">
      <c r="A21">
        <v>2019</v>
      </c>
      <c r="B21" t="s">
        <v>4</v>
      </c>
      <c r="C21" s="4">
        <v>146879473.11299998</v>
      </c>
      <c r="E21" s="1">
        <v>2019</v>
      </c>
      <c r="F21" s="1" t="s">
        <v>4</v>
      </c>
      <c r="G21" s="4">
        <v>7122216.3409999991</v>
      </c>
      <c r="I21" s="1">
        <v>2019</v>
      </c>
      <c r="J21" s="1" t="s">
        <v>4</v>
      </c>
      <c r="K21" s="4">
        <v>1680540049.9689999</v>
      </c>
      <c r="M21" s="1">
        <v>2019</v>
      </c>
      <c r="N21" s="1" t="s">
        <v>4</v>
      </c>
      <c r="O21" s="4">
        <v>17859836.295000002</v>
      </c>
      <c r="Q21" s="1">
        <v>2019</v>
      </c>
      <c r="R21" s="1" t="s">
        <v>4</v>
      </c>
      <c r="S21" s="4">
        <v>34921627.182999998</v>
      </c>
      <c r="U21" s="1">
        <v>2019</v>
      </c>
      <c r="V21" s="1" t="s">
        <v>4</v>
      </c>
      <c r="W21" s="4">
        <v>17012271.848999996</v>
      </c>
    </row>
    <row r="22" spans="1:23" x14ac:dyDescent="0.2">
      <c r="A22">
        <v>2019</v>
      </c>
      <c r="B22" t="s">
        <v>17</v>
      </c>
      <c r="C22" s="4">
        <v>56280182564.047981</v>
      </c>
      <c r="E22" s="1">
        <v>2019</v>
      </c>
      <c r="F22" s="1" t="s">
        <v>17</v>
      </c>
      <c r="G22" s="4">
        <v>5433849790.6580019</v>
      </c>
      <c r="I22" s="1">
        <v>2019</v>
      </c>
      <c r="J22" s="1" t="s">
        <v>17</v>
      </c>
      <c r="K22" s="4">
        <v>165747582056.78705</v>
      </c>
      <c r="M22" s="1">
        <v>2019</v>
      </c>
      <c r="N22" s="1" t="s">
        <v>17</v>
      </c>
      <c r="O22" s="4">
        <v>8725995409.3200016</v>
      </c>
      <c r="Q22" s="1">
        <v>2019</v>
      </c>
      <c r="R22" s="1" t="s">
        <v>17</v>
      </c>
      <c r="S22" s="4">
        <v>8420431621.164999</v>
      </c>
      <c r="U22" s="1">
        <v>2019</v>
      </c>
      <c r="V22" s="1" t="s">
        <v>17</v>
      </c>
      <c r="W22" s="4">
        <v>9641001984.8959999</v>
      </c>
    </row>
    <row r="23" spans="1:23" x14ac:dyDescent="0.2">
      <c r="A23">
        <v>2019</v>
      </c>
      <c r="B23" t="s">
        <v>18</v>
      </c>
      <c r="C23" s="4">
        <v>0</v>
      </c>
      <c r="E23" s="1">
        <v>2019</v>
      </c>
      <c r="F23" s="1" t="s">
        <v>18</v>
      </c>
      <c r="G23" s="4">
        <v>0</v>
      </c>
      <c r="I23" s="1">
        <v>2019</v>
      </c>
      <c r="J23" s="1" t="s">
        <v>18</v>
      </c>
      <c r="K23" s="4">
        <v>0</v>
      </c>
      <c r="M23" s="1">
        <v>2019</v>
      </c>
      <c r="N23" s="1" t="s">
        <v>18</v>
      </c>
      <c r="O23" s="4">
        <v>0</v>
      </c>
      <c r="Q23" s="1">
        <v>2019</v>
      </c>
      <c r="R23" s="1" t="s">
        <v>18</v>
      </c>
      <c r="S23" s="4">
        <v>0</v>
      </c>
      <c r="U23" s="1">
        <v>2019</v>
      </c>
      <c r="V23" s="1" t="s">
        <v>18</v>
      </c>
      <c r="W23" s="4">
        <v>0</v>
      </c>
    </row>
    <row r="24" spans="1:23" x14ac:dyDescent="0.2">
      <c r="A24">
        <v>2019</v>
      </c>
      <c r="B24" t="s">
        <v>19</v>
      </c>
      <c r="C24" s="4">
        <v>0</v>
      </c>
      <c r="E24" s="1">
        <v>2019</v>
      </c>
      <c r="F24" s="1" t="s">
        <v>19</v>
      </c>
      <c r="G24" s="4">
        <v>0</v>
      </c>
      <c r="I24" s="1">
        <v>2019</v>
      </c>
      <c r="J24" s="1" t="s">
        <v>19</v>
      </c>
      <c r="K24" s="4">
        <v>0</v>
      </c>
      <c r="M24" s="1">
        <v>2019</v>
      </c>
      <c r="N24" s="1" t="s">
        <v>19</v>
      </c>
      <c r="O24" s="4">
        <v>0</v>
      </c>
      <c r="Q24" s="1">
        <v>2019</v>
      </c>
      <c r="R24" s="1" t="s">
        <v>19</v>
      </c>
      <c r="S24" s="4">
        <v>0</v>
      </c>
      <c r="U24" s="1">
        <v>2019</v>
      </c>
      <c r="V24" s="1" t="s">
        <v>19</v>
      </c>
      <c r="W24" s="4">
        <v>0</v>
      </c>
    </row>
    <row r="25" spans="1:23" x14ac:dyDescent="0.2">
      <c r="A25">
        <v>2019</v>
      </c>
      <c r="B25" t="s">
        <v>20</v>
      </c>
      <c r="C25" s="4">
        <v>5542.5050000000001</v>
      </c>
      <c r="E25" s="1">
        <v>2019</v>
      </c>
      <c r="F25" s="1" t="s">
        <v>20</v>
      </c>
      <c r="G25" s="4">
        <v>6290.4489999999996</v>
      </c>
      <c r="I25" s="1">
        <v>2019</v>
      </c>
      <c r="J25" s="1" t="s">
        <v>20</v>
      </c>
      <c r="K25" s="4">
        <v>1009973.366</v>
      </c>
      <c r="M25" s="1">
        <v>2019</v>
      </c>
      <c r="N25" s="1" t="s">
        <v>20</v>
      </c>
      <c r="O25" s="4">
        <v>3806.4409999999998</v>
      </c>
      <c r="Q25" s="1">
        <v>2019</v>
      </c>
      <c r="R25" s="1" t="s">
        <v>20</v>
      </c>
      <c r="S25" s="4">
        <v>32304.987000000001</v>
      </c>
      <c r="U25" s="1">
        <v>2019</v>
      </c>
      <c r="V25" s="1" t="s">
        <v>20</v>
      </c>
      <c r="W25" s="4">
        <v>15859.005000000001</v>
      </c>
    </row>
    <row r="26" spans="1:23" x14ac:dyDescent="0.2">
      <c r="A26">
        <v>2019</v>
      </c>
      <c r="B26" t="s">
        <v>21</v>
      </c>
      <c r="C26" s="4">
        <v>16244423.196999999</v>
      </c>
      <c r="E26" s="1">
        <v>2019</v>
      </c>
      <c r="F26" s="1" t="s">
        <v>21</v>
      </c>
      <c r="G26" s="4">
        <v>127890.11600000001</v>
      </c>
      <c r="I26" s="1">
        <v>2019</v>
      </c>
      <c r="J26" s="1" t="s">
        <v>21</v>
      </c>
      <c r="K26" s="4">
        <v>7844738.0829999996</v>
      </c>
      <c r="M26" s="1">
        <v>2019</v>
      </c>
      <c r="N26" s="1" t="s">
        <v>21</v>
      </c>
      <c r="O26" s="4">
        <v>346564.788</v>
      </c>
      <c r="Q26" s="1">
        <v>2019</v>
      </c>
      <c r="R26" s="1" t="s">
        <v>21</v>
      </c>
      <c r="S26" s="4">
        <v>953593.05099999998</v>
      </c>
      <c r="U26" s="1">
        <v>2019</v>
      </c>
      <c r="V26" s="1" t="s">
        <v>21</v>
      </c>
      <c r="W26" s="4">
        <v>791047.17099999986</v>
      </c>
    </row>
    <row r="28" spans="1:23" x14ac:dyDescent="0.2">
      <c r="A28" s="1" t="s">
        <v>23</v>
      </c>
      <c r="B28" s="1" t="s">
        <v>2</v>
      </c>
      <c r="C28" s="4" t="s">
        <v>26</v>
      </c>
      <c r="E28" s="1" t="s">
        <v>23</v>
      </c>
      <c r="F28" s="1" t="s">
        <v>2</v>
      </c>
      <c r="G28" s="4" t="s">
        <v>26</v>
      </c>
      <c r="I28" s="1" t="s">
        <v>23</v>
      </c>
      <c r="J28" s="1" t="s">
        <v>2</v>
      </c>
      <c r="K28" s="4" t="s">
        <v>26</v>
      </c>
      <c r="M28" s="1" t="s">
        <v>23</v>
      </c>
      <c r="N28" s="1" t="s">
        <v>2</v>
      </c>
      <c r="O28" s="4" t="s">
        <v>26</v>
      </c>
      <c r="Q28" s="1" t="s">
        <v>23</v>
      </c>
      <c r="R28" s="1" t="s">
        <v>2</v>
      </c>
      <c r="S28" s="4" t="s">
        <v>26</v>
      </c>
      <c r="U28" s="1" t="s">
        <v>23</v>
      </c>
      <c r="V28" s="1" t="s">
        <v>2</v>
      </c>
      <c r="W28" s="4" t="s">
        <v>26</v>
      </c>
    </row>
    <row r="29" spans="1:23" x14ac:dyDescent="0.2">
      <c r="A29" s="1" t="s">
        <v>24</v>
      </c>
      <c r="B29" s="1" t="s">
        <v>4</v>
      </c>
      <c r="C29" s="4">
        <f>C9-C3</f>
        <v>94843969</v>
      </c>
      <c r="E29" s="1" t="s">
        <v>24</v>
      </c>
      <c r="F29" s="1" t="s">
        <v>4</v>
      </c>
      <c r="G29" s="4">
        <f>G9-G3</f>
        <v>754415</v>
      </c>
      <c r="I29" s="1" t="s">
        <v>24</v>
      </c>
      <c r="J29" s="1" t="s">
        <v>4</v>
      </c>
      <c r="K29" s="4">
        <f>K9-K3</f>
        <v>227713596</v>
      </c>
      <c r="M29" s="1" t="s">
        <v>24</v>
      </c>
      <c r="N29" s="1" t="s">
        <v>4</v>
      </c>
      <c r="O29" s="4">
        <f>O9-O3</f>
        <v>13328158</v>
      </c>
      <c r="Q29" s="1" t="s">
        <v>24</v>
      </c>
      <c r="R29" s="1" t="s">
        <v>4</v>
      </c>
      <c r="S29" s="4">
        <f>S9-S3</f>
        <v>14972654.137999993</v>
      </c>
      <c r="U29" s="1" t="s">
        <v>24</v>
      </c>
      <c r="V29" s="1" t="s">
        <v>4</v>
      </c>
      <c r="W29" s="4">
        <f>W9-W3</f>
        <v>9039494</v>
      </c>
    </row>
    <row r="30" spans="1:23" x14ac:dyDescent="0.2">
      <c r="A30" s="1" t="s">
        <v>24</v>
      </c>
      <c r="B30" s="1" t="s">
        <v>17</v>
      </c>
      <c r="C30" s="4">
        <f t="shared" ref="C30:C34" si="0">C10-C4</f>
        <v>38400805692</v>
      </c>
      <c r="E30" s="1" t="s">
        <v>24</v>
      </c>
      <c r="F30" s="1" t="s">
        <v>17</v>
      </c>
      <c r="G30" s="4">
        <f t="shared" ref="G30:G34" si="1">G10-G4</f>
        <v>2306713988</v>
      </c>
      <c r="I30" s="1" t="s">
        <v>24</v>
      </c>
      <c r="J30" s="1" t="s">
        <v>17</v>
      </c>
      <c r="K30" s="4">
        <f t="shared" ref="K30:K34" si="2">K10-K4</f>
        <v>137476733432</v>
      </c>
      <c r="M30" s="1" t="s">
        <v>24</v>
      </c>
      <c r="N30" s="1" t="s">
        <v>17</v>
      </c>
      <c r="O30" s="4">
        <f t="shared" ref="O30:O34" si="3">O10-O4</f>
        <v>7318816835</v>
      </c>
      <c r="Q30" s="1" t="s">
        <v>24</v>
      </c>
      <c r="R30" s="1" t="s">
        <v>17</v>
      </c>
      <c r="S30" s="4">
        <f t="shared" ref="S30:S34" si="4">S10-S4</f>
        <v>5090165079.3119993</v>
      </c>
      <c r="U30" s="1" t="s">
        <v>24</v>
      </c>
      <c r="V30" s="1" t="s">
        <v>17</v>
      </c>
      <c r="W30" s="4">
        <f t="shared" ref="W30:W34" si="5">W10-W4</f>
        <v>6073689631</v>
      </c>
    </row>
    <row r="31" spans="1:23" x14ac:dyDescent="0.2">
      <c r="A31" s="1" t="s">
        <v>24</v>
      </c>
      <c r="B31" s="1" t="s">
        <v>18</v>
      </c>
      <c r="C31" s="4">
        <f t="shared" si="0"/>
        <v>0</v>
      </c>
      <c r="E31" s="1" t="s">
        <v>24</v>
      </c>
      <c r="F31" s="1" t="s">
        <v>18</v>
      </c>
      <c r="G31" s="4">
        <f t="shared" si="1"/>
        <v>0</v>
      </c>
      <c r="I31" s="1" t="s">
        <v>24</v>
      </c>
      <c r="J31" s="1" t="s">
        <v>18</v>
      </c>
      <c r="K31" s="4">
        <f t="shared" si="2"/>
        <v>0</v>
      </c>
      <c r="M31" s="1" t="s">
        <v>24</v>
      </c>
      <c r="N31" s="1" t="s">
        <v>18</v>
      </c>
      <c r="O31" s="4">
        <f t="shared" si="3"/>
        <v>0</v>
      </c>
      <c r="Q31" s="1" t="s">
        <v>24</v>
      </c>
      <c r="R31" s="1" t="s">
        <v>18</v>
      </c>
      <c r="S31" s="4">
        <f t="shared" si="4"/>
        <v>0</v>
      </c>
      <c r="U31" s="1" t="s">
        <v>24</v>
      </c>
      <c r="V31" s="1" t="s">
        <v>18</v>
      </c>
      <c r="W31" s="4">
        <f t="shared" si="5"/>
        <v>0</v>
      </c>
    </row>
    <row r="32" spans="1:23" x14ac:dyDescent="0.2">
      <c r="A32" s="1" t="s">
        <v>24</v>
      </c>
      <c r="B32" s="1" t="s">
        <v>19</v>
      </c>
      <c r="C32" s="4">
        <f t="shared" si="0"/>
        <v>0</v>
      </c>
      <c r="E32" s="1" t="s">
        <v>24</v>
      </c>
      <c r="F32" s="1" t="s">
        <v>19</v>
      </c>
      <c r="G32" s="4">
        <f t="shared" si="1"/>
        <v>0</v>
      </c>
      <c r="I32" s="1" t="s">
        <v>24</v>
      </c>
      <c r="J32" s="1" t="s">
        <v>19</v>
      </c>
      <c r="K32" s="4">
        <f t="shared" si="2"/>
        <v>0</v>
      </c>
      <c r="M32" s="1" t="s">
        <v>24</v>
      </c>
      <c r="N32" s="1" t="s">
        <v>19</v>
      </c>
      <c r="O32" s="4">
        <f t="shared" si="3"/>
        <v>0</v>
      </c>
      <c r="Q32" s="1" t="s">
        <v>24</v>
      </c>
      <c r="R32" s="1" t="s">
        <v>19</v>
      </c>
      <c r="S32" s="4">
        <f t="shared" si="4"/>
        <v>0</v>
      </c>
      <c r="U32" s="1" t="s">
        <v>24</v>
      </c>
      <c r="V32" s="1" t="s">
        <v>19</v>
      </c>
      <c r="W32" s="4">
        <f t="shared" si="5"/>
        <v>0</v>
      </c>
    </row>
    <row r="33" spans="1:23" x14ac:dyDescent="0.2">
      <c r="A33" s="1" t="s">
        <v>24</v>
      </c>
      <c r="B33" s="1" t="s">
        <v>20</v>
      </c>
      <c r="C33" s="4">
        <f t="shared" si="0"/>
        <v>4298</v>
      </c>
      <c r="E33" s="1" t="s">
        <v>24</v>
      </c>
      <c r="F33" s="1" t="s">
        <v>20</v>
      </c>
      <c r="G33" s="4">
        <f t="shared" si="1"/>
        <v>2351</v>
      </c>
      <c r="I33" s="1" t="s">
        <v>24</v>
      </c>
      <c r="J33" s="1" t="s">
        <v>20</v>
      </c>
      <c r="K33" s="4">
        <f t="shared" si="2"/>
        <v>362563</v>
      </c>
      <c r="M33" s="1" t="s">
        <v>24</v>
      </c>
      <c r="N33" s="1" t="s">
        <v>20</v>
      </c>
      <c r="O33" s="4">
        <f t="shared" si="3"/>
        <v>-2333</v>
      </c>
      <c r="Q33" s="1" t="s">
        <v>24</v>
      </c>
      <c r="R33" s="1" t="s">
        <v>20</v>
      </c>
      <c r="S33" s="4">
        <f t="shared" si="4"/>
        <v>119105.481</v>
      </c>
      <c r="U33" s="1" t="s">
        <v>24</v>
      </c>
      <c r="V33" s="1" t="s">
        <v>20</v>
      </c>
      <c r="W33" s="4">
        <f t="shared" si="5"/>
        <v>90</v>
      </c>
    </row>
    <row r="34" spans="1:23" x14ac:dyDescent="0.2">
      <c r="A34" s="1" t="s">
        <v>24</v>
      </c>
      <c r="B34" s="1" t="s">
        <v>21</v>
      </c>
      <c r="C34" s="4">
        <f t="shared" si="0"/>
        <v>-340145</v>
      </c>
      <c r="E34" s="1" t="s">
        <v>24</v>
      </c>
      <c r="F34" s="1" t="s">
        <v>21</v>
      </c>
      <c r="G34" s="4">
        <f t="shared" si="1"/>
        <v>58959</v>
      </c>
      <c r="I34" s="1" t="s">
        <v>24</v>
      </c>
      <c r="J34" s="1" t="s">
        <v>21</v>
      </c>
      <c r="K34" s="4">
        <f t="shared" si="2"/>
        <v>-12463861</v>
      </c>
      <c r="M34" s="1" t="s">
        <v>24</v>
      </c>
      <c r="N34" s="1" t="s">
        <v>21</v>
      </c>
      <c r="O34" s="4">
        <f t="shared" si="3"/>
        <v>1795471</v>
      </c>
      <c r="Q34" s="1" t="s">
        <v>24</v>
      </c>
      <c r="R34" s="1" t="s">
        <v>21</v>
      </c>
      <c r="S34" s="4">
        <f t="shared" si="4"/>
        <v>417087.29500000004</v>
      </c>
      <c r="U34" s="1" t="s">
        <v>24</v>
      </c>
      <c r="V34" s="1" t="s">
        <v>21</v>
      </c>
      <c r="W34" s="4">
        <f t="shared" si="5"/>
        <v>1203812</v>
      </c>
    </row>
    <row r="35" spans="1:23" x14ac:dyDescent="0.2">
      <c r="A35" s="1" t="s">
        <v>25</v>
      </c>
      <c r="B35" s="1" t="s">
        <v>4</v>
      </c>
      <c r="C35" s="4">
        <f>C21-C15</f>
        <v>33751430.112999976</v>
      </c>
      <c r="E35" s="1" t="s">
        <v>25</v>
      </c>
      <c r="F35" s="1" t="s">
        <v>4</v>
      </c>
      <c r="G35" s="4">
        <f>G21-G15</f>
        <v>116933.34099999908</v>
      </c>
      <c r="I35" s="1" t="s">
        <v>25</v>
      </c>
      <c r="J35" s="1" t="s">
        <v>4</v>
      </c>
      <c r="K35" s="4">
        <f>K21-K15</f>
        <v>-265434564.03100014</v>
      </c>
      <c r="M35" s="1" t="s">
        <v>25</v>
      </c>
      <c r="N35" s="1" t="s">
        <v>4</v>
      </c>
      <c r="O35" s="4">
        <f>O21-O15</f>
        <v>4261096.2950000018</v>
      </c>
      <c r="Q35" s="1" t="s">
        <v>25</v>
      </c>
      <c r="R35" s="1" t="s">
        <v>4</v>
      </c>
      <c r="S35" s="4">
        <f>S21-S15</f>
        <v>13832956.041999996</v>
      </c>
      <c r="U35" s="1" t="s">
        <v>25</v>
      </c>
      <c r="V35" s="1" t="s">
        <v>4</v>
      </c>
      <c r="W35" s="4">
        <f>W21-W15</f>
        <v>5051225.7269999981</v>
      </c>
    </row>
    <row r="36" spans="1:23" x14ac:dyDescent="0.2">
      <c r="A36" s="1" t="s">
        <v>25</v>
      </c>
      <c r="B36" s="1" t="s">
        <v>17</v>
      </c>
      <c r="C36" s="4">
        <f t="shared" ref="C36:C40" si="6">C22-C16</f>
        <v>11313181153.047981</v>
      </c>
      <c r="E36" s="1" t="s">
        <v>25</v>
      </c>
      <c r="F36" s="1" t="s">
        <v>17</v>
      </c>
      <c r="G36" s="4">
        <f t="shared" ref="G36:G40" si="7">G22-G16</f>
        <v>-423857687.3419981</v>
      </c>
      <c r="I36" s="1" t="s">
        <v>25</v>
      </c>
      <c r="J36" s="1" t="s">
        <v>17</v>
      </c>
      <c r="K36" s="4">
        <f t="shared" ref="K36:K40" si="8">K22-K16</f>
        <v>-18174445741.212952</v>
      </c>
      <c r="M36" s="1" t="s">
        <v>25</v>
      </c>
      <c r="N36" s="1" t="s">
        <v>17</v>
      </c>
      <c r="O36" s="4">
        <f t="shared" ref="O36:O40" si="9">O22-O16</f>
        <v>668957665.3200016</v>
      </c>
      <c r="Q36" s="1" t="s">
        <v>25</v>
      </c>
      <c r="R36" s="1" t="s">
        <v>17</v>
      </c>
      <c r="S36" s="4">
        <f t="shared" ref="S36:S40" si="10">S22-S16</f>
        <v>2238338857.6920004</v>
      </c>
      <c r="U36" s="1" t="s">
        <v>25</v>
      </c>
      <c r="V36" s="1" t="s">
        <v>17</v>
      </c>
      <c r="W36" s="4">
        <f t="shared" ref="W36:W40" si="11">W22-W16</f>
        <v>1607121021.3240023</v>
      </c>
    </row>
    <row r="37" spans="1:23" x14ac:dyDescent="0.2">
      <c r="A37" s="1" t="s">
        <v>25</v>
      </c>
      <c r="B37" s="1" t="s">
        <v>18</v>
      </c>
      <c r="C37" s="4">
        <f t="shared" si="6"/>
        <v>0</v>
      </c>
      <c r="E37" s="1" t="s">
        <v>25</v>
      </c>
      <c r="F37" s="1" t="s">
        <v>18</v>
      </c>
      <c r="G37" s="4">
        <f t="shared" si="7"/>
        <v>0</v>
      </c>
      <c r="I37" s="1" t="s">
        <v>25</v>
      </c>
      <c r="J37" s="1" t="s">
        <v>18</v>
      </c>
      <c r="K37" s="4">
        <f t="shared" si="8"/>
        <v>0</v>
      </c>
      <c r="M37" s="1" t="s">
        <v>25</v>
      </c>
      <c r="N37" s="1" t="s">
        <v>18</v>
      </c>
      <c r="O37" s="4">
        <f t="shared" si="9"/>
        <v>0</v>
      </c>
      <c r="Q37" s="1" t="s">
        <v>25</v>
      </c>
      <c r="R37" s="1" t="s">
        <v>18</v>
      </c>
      <c r="S37" s="4">
        <f t="shared" si="10"/>
        <v>0</v>
      </c>
      <c r="U37" s="1" t="s">
        <v>25</v>
      </c>
      <c r="V37" s="1" t="s">
        <v>18</v>
      </c>
      <c r="W37" s="4">
        <f t="shared" si="11"/>
        <v>0</v>
      </c>
    </row>
    <row r="38" spans="1:23" x14ac:dyDescent="0.2">
      <c r="A38" s="1" t="s">
        <v>25</v>
      </c>
      <c r="B38" s="1" t="s">
        <v>19</v>
      </c>
      <c r="C38" s="4">
        <f t="shared" si="6"/>
        <v>0</v>
      </c>
      <c r="E38" s="1" t="s">
        <v>25</v>
      </c>
      <c r="F38" s="1" t="s">
        <v>19</v>
      </c>
      <c r="G38" s="4">
        <f t="shared" si="7"/>
        <v>0</v>
      </c>
      <c r="I38" s="1" t="s">
        <v>25</v>
      </c>
      <c r="J38" s="1" t="s">
        <v>19</v>
      </c>
      <c r="K38" s="4">
        <f t="shared" si="8"/>
        <v>0</v>
      </c>
      <c r="M38" s="1" t="s">
        <v>25</v>
      </c>
      <c r="N38" s="1" t="s">
        <v>19</v>
      </c>
      <c r="O38" s="4">
        <f t="shared" si="9"/>
        <v>0</v>
      </c>
      <c r="Q38" s="1" t="s">
        <v>25</v>
      </c>
      <c r="R38" s="1" t="s">
        <v>19</v>
      </c>
      <c r="S38" s="4">
        <f t="shared" si="10"/>
        <v>0</v>
      </c>
      <c r="U38" s="1" t="s">
        <v>25</v>
      </c>
      <c r="V38" s="1" t="s">
        <v>19</v>
      </c>
      <c r="W38" s="4">
        <f t="shared" si="11"/>
        <v>0</v>
      </c>
    </row>
    <row r="39" spans="1:23" x14ac:dyDescent="0.2">
      <c r="A39" s="1" t="s">
        <v>25</v>
      </c>
      <c r="B39" s="1" t="s">
        <v>20</v>
      </c>
      <c r="C39" s="4">
        <f t="shared" si="6"/>
        <v>-16866.494999999999</v>
      </c>
      <c r="E39" s="1" t="s">
        <v>25</v>
      </c>
      <c r="F39" s="1" t="s">
        <v>20</v>
      </c>
      <c r="G39" s="4">
        <f t="shared" si="7"/>
        <v>5974.4489999999996</v>
      </c>
      <c r="I39" s="1" t="s">
        <v>25</v>
      </c>
      <c r="J39" s="1" t="s">
        <v>20</v>
      </c>
      <c r="K39" s="4">
        <f t="shared" si="8"/>
        <v>353490.36600000004</v>
      </c>
      <c r="M39" s="1" t="s">
        <v>25</v>
      </c>
      <c r="N39" s="1" t="s">
        <v>20</v>
      </c>
      <c r="O39" s="4">
        <f t="shared" si="9"/>
        <v>-33543.559000000001</v>
      </c>
      <c r="Q39" s="1" t="s">
        <v>25</v>
      </c>
      <c r="R39" s="1" t="s">
        <v>20</v>
      </c>
      <c r="S39" s="4">
        <f t="shared" si="10"/>
        <v>-81522.771000000008</v>
      </c>
      <c r="U39" s="1" t="s">
        <v>25</v>
      </c>
      <c r="V39" s="1" t="s">
        <v>20</v>
      </c>
      <c r="W39" s="4">
        <f t="shared" si="11"/>
        <v>1830.9640000000018</v>
      </c>
    </row>
    <row r="40" spans="1:23" x14ac:dyDescent="0.2">
      <c r="A40" s="1" t="s">
        <v>25</v>
      </c>
      <c r="B40" s="1" t="s">
        <v>21</v>
      </c>
      <c r="C40" s="4">
        <f t="shared" si="6"/>
        <v>10823487.196999999</v>
      </c>
      <c r="E40" s="1" t="s">
        <v>25</v>
      </c>
      <c r="F40" s="1" t="s">
        <v>21</v>
      </c>
      <c r="G40" s="4">
        <f t="shared" si="7"/>
        <v>-49944.883999999991</v>
      </c>
      <c r="I40" s="1" t="s">
        <v>25</v>
      </c>
      <c r="J40" s="1" t="s">
        <v>21</v>
      </c>
      <c r="K40" s="4">
        <f t="shared" si="8"/>
        <v>3868789.0829999996</v>
      </c>
      <c r="M40" s="1" t="s">
        <v>25</v>
      </c>
      <c r="N40" s="1" t="s">
        <v>21</v>
      </c>
      <c r="O40" s="4">
        <f t="shared" si="9"/>
        <v>-830318.21200000006</v>
      </c>
      <c r="Q40" s="1" t="s">
        <v>25</v>
      </c>
      <c r="R40" s="1" t="s">
        <v>21</v>
      </c>
      <c r="S40" s="4">
        <f t="shared" si="10"/>
        <v>-413354.348</v>
      </c>
      <c r="U40" s="1" t="s">
        <v>25</v>
      </c>
      <c r="V40" s="1" t="s">
        <v>21</v>
      </c>
      <c r="W40" s="4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619D-8E8A-2B4F-9221-C848708C837E}">
  <dimension ref="A1:C13"/>
  <sheetViews>
    <sheetView workbookViewId="0">
      <selection activeCell="J14" sqref="J14"/>
    </sheetView>
  </sheetViews>
  <sheetFormatPr baseColWidth="10" defaultRowHeight="16" x14ac:dyDescent="0.2"/>
  <cols>
    <col min="3" max="3" width="17.83203125" bestFit="1" customWidth="1"/>
  </cols>
  <sheetData>
    <row r="1" spans="1:3" x14ac:dyDescent="0.2">
      <c r="A1" s="1" t="s">
        <v>23</v>
      </c>
      <c r="B1" s="1" t="s">
        <v>2</v>
      </c>
      <c r="C1" s="4" t="s">
        <v>43</v>
      </c>
    </row>
    <row r="2" spans="1:3" x14ac:dyDescent="0.2">
      <c r="A2" s="1" t="s">
        <v>24</v>
      </c>
      <c r="B2" s="1" t="s">
        <v>4</v>
      </c>
      <c r="C2" s="4">
        <f>'[1]import OC'!C29+'[1]import OC'!G29+'[1]import OC'!K29+'[1]import OC'!O29+'[1]import OC'!S29+'[1]import OC'!W29</f>
        <v>360652286.13800001</v>
      </c>
    </row>
    <row r="3" spans="1:3" x14ac:dyDescent="0.2">
      <c r="A3" s="1" t="s">
        <v>24</v>
      </c>
      <c r="B3" s="1" t="s">
        <v>17</v>
      </c>
      <c r="C3" s="4">
        <f>'[1]import OC'!C30+'[1]import OC'!G30+'[1]import OC'!K30+'[1]import OC'!O30+'[1]import OC'!S30+'[1]import OC'!W30</f>
        <v>196666924657.31201</v>
      </c>
    </row>
    <row r="4" spans="1:3" x14ac:dyDescent="0.2">
      <c r="A4" s="1" t="s">
        <v>24</v>
      </c>
      <c r="B4" s="1" t="s">
        <v>18</v>
      </c>
      <c r="C4" s="4">
        <f>'[1]import OC'!C31+'[1]import OC'!G31+'[1]import OC'!K31+'[1]import OC'!O31+'[1]import OC'!S31+'[1]import OC'!W31</f>
        <v>0</v>
      </c>
    </row>
    <row r="5" spans="1:3" x14ac:dyDescent="0.2">
      <c r="A5" s="1" t="s">
        <v>24</v>
      </c>
      <c r="B5" s="1" t="s">
        <v>19</v>
      </c>
      <c r="C5" s="4">
        <f>'[1]import OC'!C32+'[1]import OC'!G32+'[1]import OC'!K32+'[1]import OC'!O32+'[1]import OC'!S32+'[1]import OC'!W32</f>
        <v>0</v>
      </c>
    </row>
    <row r="6" spans="1:3" x14ac:dyDescent="0.2">
      <c r="A6" s="1" t="s">
        <v>24</v>
      </c>
      <c r="B6" s="1" t="s">
        <v>20</v>
      </c>
      <c r="C6" s="4">
        <f>'[1]import OC'!C33+'[1]import OC'!G33+'[1]import OC'!K33+'[1]import OC'!O33+'[1]import OC'!S33+'[1]import OC'!W33</f>
        <v>486074.48100000003</v>
      </c>
    </row>
    <row r="7" spans="1:3" x14ac:dyDescent="0.2">
      <c r="A7" s="1" t="s">
        <v>24</v>
      </c>
      <c r="B7" s="1" t="s">
        <v>21</v>
      </c>
      <c r="C7" s="4">
        <f>'[1]import OC'!C34+'[1]import OC'!G34+'[1]import OC'!K34+'[1]import OC'!O34+'[1]import OC'!S34+'[1]import OC'!W34</f>
        <v>-9328676.7050000001</v>
      </c>
    </row>
    <row r="8" spans="1:3" x14ac:dyDescent="0.2">
      <c r="A8" s="1" t="s">
        <v>25</v>
      </c>
      <c r="B8" s="1" t="s">
        <v>4</v>
      </c>
      <c r="C8" s="4">
        <f>'[1]import OC'!C35+'[1]import OC'!G35+'[1]import OC'!K35+'[1]import OC'!O35+'[1]import OC'!S35+'[1]import OC'!W35</f>
        <v>-208420922.51300019</v>
      </c>
    </row>
    <row r="9" spans="1:3" x14ac:dyDescent="0.2">
      <c r="A9" s="1" t="s">
        <v>25</v>
      </c>
      <c r="B9" s="1" t="s">
        <v>17</v>
      </c>
      <c r="C9" s="4">
        <f>'[1]import OC'!C36+'[1]import OC'!G36+'[1]import OC'!K36+'[1]import OC'!O36+'[1]import OC'!S36+'[1]import OC'!W36</f>
        <v>-2770704731.1709652</v>
      </c>
    </row>
    <row r="10" spans="1:3" x14ac:dyDescent="0.2">
      <c r="A10" s="1" t="s">
        <v>25</v>
      </c>
      <c r="B10" s="1" t="s">
        <v>18</v>
      </c>
      <c r="C10" s="4">
        <f>'[1]import OC'!C37+'[1]import OC'!G37+'[1]import OC'!K37+'[1]import OC'!O37+'[1]import OC'!S37+'[1]import OC'!W37</f>
        <v>0</v>
      </c>
    </row>
    <row r="11" spans="1:3" x14ac:dyDescent="0.2">
      <c r="A11" s="1" t="s">
        <v>25</v>
      </c>
      <c r="B11" s="1" t="s">
        <v>19</v>
      </c>
      <c r="C11" s="4">
        <f>'[1]import OC'!C38+'[1]import OC'!G38+'[1]import OC'!K38+'[1]import OC'!O38+'[1]import OC'!S38+'[1]import OC'!W38</f>
        <v>0</v>
      </c>
    </row>
    <row r="12" spans="1:3" x14ac:dyDescent="0.2">
      <c r="A12" s="1" t="s">
        <v>25</v>
      </c>
      <c r="B12" s="1" t="s">
        <v>20</v>
      </c>
      <c r="C12" s="4">
        <f>'[1]import OC'!C39+'[1]import OC'!G39+'[1]import OC'!K39+'[1]import OC'!O39+'[1]import OC'!S39+'[1]import OC'!W39</f>
        <v>229362.95400000006</v>
      </c>
    </row>
    <row r="13" spans="1:3" x14ac:dyDescent="0.2">
      <c r="A13" s="1" t="s">
        <v>25</v>
      </c>
      <c r="B13" s="1" t="s">
        <v>21</v>
      </c>
      <c r="C13" s="4">
        <f>'[1]import OC'!C40+'[1]import OC'!G40+'[1]import OC'!K40+'[1]import OC'!O40+'[1]import OC'!S40+'[1]import OC'!W40</f>
        <v>12775679.470999999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53D4-1298-B74A-97E0-9EA94B16BEEB}">
  <dimension ref="A1:E13"/>
  <sheetViews>
    <sheetView workbookViewId="0">
      <selection activeCell="G7" sqref="G7"/>
    </sheetView>
  </sheetViews>
  <sheetFormatPr baseColWidth="10" defaultRowHeight="16" x14ac:dyDescent="0.2"/>
  <cols>
    <col min="4" max="4" width="17.83203125" bestFit="1" customWidth="1"/>
    <col min="5" max="5" width="14.33203125" bestFit="1" customWidth="1"/>
  </cols>
  <sheetData>
    <row r="1" spans="1:5" x14ac:dyDescent="0.2">
      <c r="A1" s="1" t="s">
        <v>23</v>
      </c>
      <c r="B1" t="s">
        <v>2</v>
      </c>
      <c r="C1" s="1" t="s">
        <v>27</v>
      </c>
      <c r="D1" t="s">
        <v>43</v>
      </c>
      <c r="E1" t="s">
        <v>44</v>
      </c>
    </row>
    <row r="2" spans="1:5" x14ac:dyDescent="0.2">
      <c r="A2" s="1" t="s">
        <v>24</v>
      </c>
      <c r="B2" s="1" t="s">
        <v>4</v>
      </c>
      <c r="C2" s="2">
        <f>L_i!C2</f>
        <v>226.1</v>
      </c>
      <c r="D2" s="4">
        <f>[1]delta_M_OC!C2</f>
        <v>360652286.13800001</v>
      </c>
      <c r="E2" s="4">
        <f>D2/C2</f>
        <v>1595100.7790269793</v>
      </c>
    </row>
    <row r="3" spans="1:5" x14ac:dyDescent="0.2">
      <c r="A3" s="1" t="s">
        <v>24</v>
      </c>
      <c r="B3" s="1" t="s">
        <v>17</v>
      </c>
      <c r="C3" s="2">
        <f>L_i!C3</f>
        <v>1144.3999999999999</v>
      </c>
      <c r="D3" s="4">
        <f>[1]delta_M_OC!C3</f>
        <v>196666924657.31201</v>
      </c>
      <c r="E3" s="4">
        <f t="shared" ref="E3:E13" si="0">D3/C3</f>
        <v>171851559.46986371</v>
      </c>
    </row>
    <row r="4" spans="1:5" x14ac:dyDescent="0.2">
      <c r="A4" s="1" t="s">
        <v>24</v>
      </c>
      <c r="B4" s="1" t="s">
        <v>18</v>
      </c>
      <c r="C4" s="2">
        <f>L_i!C4</f>
        <v>460.49999999999994</v>
      </c>
      <c r="D4" s="4">
        <f>[1]delta_M_OC!C4</f>
        <v>0</v>
      </c>
      <c r="E4" s="4">
        <f t="shared" si="0"/>
        <v>0</v>
      </c>
    </row>
    <row r="5" spans="1:5" x14ac:dyDescent="0.2">
      <c r="A5" s="1" t="s">
        <v>24</v>
      </c>
      <c r="B5" s="1" t="s">
        <v>19</v>
      </c>
      <c r="C5" s="2">
        <f>L_i!C5</f>
        <v>1826.5000000000002</v>
      </c>
      <c r="D5" s="4">
        <f>[1]delta_M_OC!C5</f>
        <v>0</v>
      </c>
      <c r="E5" s="4">
        <f t="shared" si="0"/>
        <v>0</v>
      </c>
    </row>
    <row r="6" spans="1:5" x14ac:dyDescent="0.2">
      <c r="A6" s="1" t="s">
        <v>24</v>
      </c>
      <c r="B6" s="1" t="s">
        <v>20</v>
      </c>
      <c r="C6" s="2">
        <f>L_i!C6</f>
        <v>1132.8999999999999</v>
      </c>
      <c r="D6" s="4">
        <f>[1]delta_M_OC!C6</f>
        <v>486074.48100000003</v>
      </c>
      <c r="E6" s="4">
        <f t="shared" si="0"/>
        <v>429.05329773148566</v>
      </c>
    </row>
    <row r="7" spans="1:5" x14ac:dyDescent="0.2">
      <c r="A7" s="1" t="s">
        <v>24</v>
      </c>
      <c r="B7" s="1" t="s">
        <v>21</v>
      </c>
      <c r="C7" s="2">
        <f>L_i!C7</f>
        <v>2382.6</v>
      </c>
      <c r="D7" s="4">
        <f>[1]delta_M_OC!C7</f>
        <v>-9328676.7050000001</v>
      </c>
      <c r="E7" s="4">
        <f t="shared" si="0"/>
        <v>-3915.3348044153449</v>
      </c>
    </row>
    <row r="8" spans="1:5" x14ac:dyDescent="0.2">
      <c r="A8" s="1" t="s">
        <v>25</v>
      </c>
      <c r="B8" s="1" t="s">
        <v>4</v>
      </c>
      <c r="C8" s="2">
        <f>L_i!C14</f>
        <v>192.4</v>
      </c>
      <c r="D8" s="4">
        <f>[1]delta_M_OC!C8</f>
        <v>-208420922.51300019</v>
      </c>
      <c r="E8" s="4">
        <f t="shared" si="0"/>
        <v>-1083268.8280301464</v>
      </c>
    </row>
    <row r="9" spans="1:5" x14ac:dyDescent="0.2">
      <c r="A9" s="1" t="s">
        <v>25</v>
      </c>
      <c r="B9" s="1" t="s">
        <v>17</v>
      </c>
      <c r="C9" s="2">
        <f>L_i!C15</f>
        <v>844.1</v>
      </c>
      <c r="D9" s="4">
        <f>[1]delta_M_OC!C9</f>
        <v>-2770704731.1709652</v>
      </c>
      <c r="E9" s="4">
        <f t="shared" si="0"/>
        <v>-3282436.5965773785</v>
      </c>
    </row>
    <row r="10" spans="1:5" x14ac:dyDescent="0.2">
      <c r="A10" s="1" t="s">
        <v>25</v>
      </c>
      <c r="B10" s="1" t="s">
        <v>18</v>
      </c>
      <c r="C10" s="2">
        <f>L_i!C16</f>
        <v>434</v>
      </c>
      <c r="D10" s="4">
        <f>[1]delta_M_OC!C10</f>
        <v>0</v>
      </c>
      <c r="E10" s="4">
        <f t="shared" si="0"/>
        <v>0</v>
      </c>
    </row>
    <row r="11" spans="1:5" x14ac:dyDescent="0.2">
      <c r="A11" s="1" t="s">
        <v>25</v>
      </c>
      <c r="B11" s="1" t="s">
        <v>19</v>
      </c>
      <c r="C11" s="2">
        <f>L_i!C17</f>
        <v>2101.6999999999998</v>
      </c>
      <c r="D11" s="4">
        <f>[1]delta_M_OC!C11</f>
        <v>0</v>
      </c>
      <c r="E11" s="4">
        <f t="shared" si="0"/>
        <v>0</v>
      </c>
    </row>
    <row r="12" spans="1:5" x14ac:dyDescent="0.2">
      <c r="A12" s="1" t="s">
        <v>25</v>
      </c>
      <c r="B12" s="1" t="s">
        <v>20</v>
      </c>
      <c r="C12" s="2">
        <f>L_i!C18</f>
        <v>1057.8999999999999</v>
      </c>
      <c r="D12" s="4">
        <f>[1]delta_M_OC!C12</f>
        <v>229362.95400000006</v>
      </c>
      <c r="E12" s="4">
        <f t="shared" si="0"/>
        <v>216.80967388221958</v>
      </c>
    </row>
    <row r="13" spans="1:5" x14ac:dyDescent="0.2">
      <c r="A13" s="1" t="s">
        <v>25</v>
      </c>
      <c r="B13" s="1" t="s">
        <v>21</v>
      </c>
      <c r="C13" s="2">
        <f>L_i!C19</f>
        <v>2738.6</v>
      </c>
      <c r="D13" s="4">
        <f>[1]delta_M_OC!C13</f>
        <v>12775679.470999999</v>
      </c>
      <c r="E13" s="4">
        <f t="shared" si="0"/>
        <v>4665.040338494121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04F8-C00D-5D4E-95A6-8B124EC5FD78}">
  <dimension ref="A1:R14"/>
  <sheetViews>
    <sheetView workbookViewId="0">
      <selection activeCell="G25" sqref="G25"/>
    </sheetView>
  </sheetViews>
  <sheetFormatPr baseColWidth="10" defaultRowHeight="16" x14ac:dyDescent="0.2"/>
  <cols>
    <col min="1" max="1" width="22.33203125" bestFit="1" customWidth="1"/>
    <col min="8" max="8" width="18.33203125" bestFit="1" customWidth="1"/>
    <col min="11" max="11" width="22.33203125" bestFit="1" customWidth="1"/>
  </cols>
  <sheetData>
    <row r="1" spans="1:18" x14ac:dyDescent="0.2">
      <c r="A1" s="6" t="s">
        <v>31</v>
      </c>
      <c r="B1" s="6"/>
      <c r="C1" s="6"/>
      <c r="D1" s="6"/>
      <c r="E1" s="6"/>
      <c r="F1" s="6"/>
      <c r="G1" s="6"/>
      <c r="H1" s="6"/>
      <c r="K1" s="6" t="s">
        <v>32</v>
      </c>
      <c r="L1" s="6"/>
      <c r="M1" s="6"/>
      <c r="N1" s="6"/>
      <c r="O1" s="6"/>
      <c r="P1" s="6"/>
      <c r="Q1" s="6"/>
      <c r="R1" s="6"/>
    </row>
    <row r="2" spans="1:18" x14ac:dyDescent="0.2">
      <c r="B2" s="1" t="s">
        <v>4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33</v>
      </c>
      <c r="L2" t="s">
        <v>4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34</v>
      </c>
    </row>
    <row r="3" spans="1:18" x14ac:dyDescent="0.2">
      <c r="A3" t="s">
        <v>5</v>
      </c>
      <c r="B3">
        <f>s_ri!B3*shock_OC!$E$2</f>
        <v>37468.81024560018</v>
      </c>
      <c r="C3">
        <f>s_ri!C3*shock_OC!$E$3</f>
        <v>33591789.728589125</v>
      </c>
      <c r="D3">
        <f>s_ri!D3*shock_OC!$E$4</f>
        <v>0</v>
      </c>
      <c r="E3">
        <f>s_ri!E3*shock_OC!$E$5</f>
        <v>0</v>
      </c>
      <c r="F3">
        <f>s_ri!F3*shock_OC!$E$6</f>
        <v>62.450291238601302</v>
      </c>
      <c r="G3">
        <f>s_ri!G3*shock_OC!$E$7</f>
        <v>-1409.1263683676029</v>
      </c>
      <c r="H3">
        <f>SUM(B3:G3)/1000</f>
        <v>33627.911862757603</v>
      </c>
      <c r="K3" t="s">
        <v>5</v>
      </c>
      <c r="L3">
        <f>shock_OC!$E$8*s_ri!K3</f>
        <v>-34162.969027697232</v>
      </c>
      <c r="M3">
        <f>shock_OC!$E$9*s_ri!L3</f>
        <v>-432416.79715390608</v>
      </c>
      <c r="N3">
        <f>shock_OC!$E$10*s_ri!M3</f>
        <v>0</v>
      </c>
      <c r="O3">
        <f>shock_OC!$E$11*s_ri!N3</f>
        <v>0</v>
      </c>
      <c r="P3">
        <f>shock_OC!$E$12*s_ri!O3</f>
        <v>26.657636549191064</v>
      </c>
      <c r="Q3">
        <f>shock_OC!$E$13*s_ri!P3</f>
        <v>1990.7896694012834</v>
      </c>
      <c r="R3">
        <f>SUM(L3:Q3)/1000</f>
        <v>-464.56231887565281</v>
      </c>
    </row>
    <row r="4" spans="1:18" x14ac:dyDescent="0.2">
      <c r="A4" t="s">
        <v>6</v>
      </c>
      <c r="B4">
        <f>s_ri!B4*shock_OC!$E$2</f>
        <v>61439.201517754293</v>
      </c>
      <c r="C4">
        <f>s_ri!C4*shock_OC!$E$3</f>
        <v>35157132.260731563</v>
      </c>
      <c r="D4">
        <f>s_ri!D4*shock_OC!$E$4</f>
        <v>0</v>
      </c>
      <c r="E4">
        <f>s_ri!E4*shock_OC!$E$5</f>
        <v>0</v>
      </c>
      <c r="F4">
        <f>s_ri!F4*shock_OC!$E$6</f>
        <v>48.486764387533448</v>
      </c>
      <c r="G4">
        <f>s_ri!G4*shock_OC!$E$7</f>
        <v>-1328.8236581845686</v>
      </c>
      <c r="H4">
        <f t="shared" ref="H4:H14" si="0">SUM(B4:G4)/1000</f>
        <v>35217.291125355521</v>
      </c>
      <c r="K4" t="s">
        <v>6</v>
      </c>
      <c r="L4">
        <f>shock_OC!$E$8*s_ri!K4</f>
        <v>-47149.894582378518</v>
      </c>
      <c r="M4">
        <f>shock_OC!$E$9*s_ri!L4</f>
        <v>-392892.30209304858</v>
      </c>
      <c r="N4">
        <f>shock_OC!$E$10*s_ri!M4</f>
        <v>0</v>
      </c>
      <c r="O4">
        <f>shock_OC!$E$11*s_ri!N4</f>
        <v>0</v>
      </c>
      <c r="P4">
        <f>shock_OC!$E$12*s_ri!O4</f>
        <v>26.029743219084036</v>
      </c>
      <c r="Q4">
        <f>shock_OC!$E$13*s_ri!P4</f>
        <v>1736.0650661207719</v>
      </c>
      <c r="R4">
        <f t="shared" ref="R4:R14" si="1">SUM(L4:Q4)/1000</f>
        <v>-438.28010186608725</v>
      </c>
    </row>
    <row r="5" spans="1:18" x14ac:dyDescent="0.2">
      <c r="A5" t="s">
        <v>7</v>
      </c>
      <c r="B5">
        <f>s_ri!B5*shock_OC!$E$2</f>
        <v>98666.027568679143</v>
      </c>
      <c r="C5">
        <f>s_ri!C5*shock_OC!$E$3</f>
        <v>33395895.835122999</v>
      </c>
      <c r="D5">
        <f>s_ri!D5*shock_OC!$E$4</f>
        <v>0</v>
      </c>
      <c r="E5">
        <f>s_ri!E5*shock_OC!$E$5</f>
        <v>0</v>
      </c>
      <c r="F5">
        <f>s_ri!F5*shock_OC!$E$6</f>
        <v>41.136037823740381</v>
      </c>
      <c r="G5">
        <f>s_ri!G5*shock_OC!$E$7</f>
        <v>-1598.425342833481</v>
      </c>
      <c r="H5">
        <f t="shared" si="0"/>
        <v>33493.004573386672</v>
      </c>
      <c r="K5" t="s">
        <v>7</v>
      </c>
      <c r="L5">
        <f>shock_OC!$E$8*s_ri!K5</f>
        <v>-40159.7013761778</v>
      </c>
      <c r="M5">
        <f>shock_OC!$E$9*s_ri!L5</f>
        <v>-440924.31894322991</v>
      </c>
      <c r="N5">
        <f>shock_OC!$E$10*s_ri!M5</f>
        <v>0</v>
      </c>
      <c r="O5">
        <f>shock_OC!$E$11*s_ri!N5</f>
        <v>0</v>
      </c>
      <c r="P5">
        <f>shock_OC!$E$12*s_ri!O5</f>
        <v>25.157020416762119</v>
      </c>
      <c r="Q5">
        <f>shock_OC!$E$13*s_ri!P5</f>
        <v>1785.6076403961608</v>
      </c>
      <c r="R5">
        <f t="shared" si="1"/>
        <v>-479.27325565859479</v>
      </c>
    </row>
    <row r="6" spans="1:18" x14ac:dyDescent="0.2">
      <c r="A6" t="s">
        <v>8</v>
      </c>
      <c r="B6">
        <f>s_ri!B6*shock_OC!$E$2</f>
        <v>65140.24123775099</v>
      </c>
      <c r="C6">
        <f>s_ri!C6*shock_OC!$E$3</f>
        <v>38401175.697244942</v>
      </c>
      <c r="D6">
        <f>s_ri!D6*shock_OC!$E$4</f>
        <v>0</v>
      </c>
      <c r="E6">
        <f>s_ri!E6*shock_OC!$E$5</f>
        <v>0</v>
      </c>
      <c r="F6">
        <f>s_ri!F6*shock_OC!$E$6</f>
        <v>49.060335196102862</v>
      </c>
      <c r="G6">
        <f>s_ri!G6*shock_OC!$E$7</f>
        <v>-1206.9890747852121</v>
      </c>
      <c r="H6">
        <f t="shared" si="0"/>
        <v>38465.158009743107</v>
      </c>
      <c r="K6" t="s">
        <v>8</v>
      </c>
      <c r="L6">
        <f>shock_OC!$E$8*s_ri!K6</f>
        <v>-37081.716009134041</v>
      </c>
      <c r="M6">
        <f>shock_OC!$E$9*s_ri!L6</f>
        <v>-493329.54317610199</v>
      </c>
      <c r="N6">
        <f>shock_OC!$E$10*s_ri!M6</f>
        <v>0</v>
      </c>
      <c r="O6">
        <f>shock_OC!$E$11*s_ri!N6</f>
        <v>0</v>
      </c>
      <c r="P6">
        <f>shock_OC!$E$12*s_ri!O6</f>
        <v>23.319006852634921</v>
      </c>
      <c r="Q6">
        <f>shock_OC!$E$13*s_ri!P6</f>
        <v>1781.1628596437956</v>
      </c>
      <c r="R6">
        <f t="shared" si="1"/>
        <v>-528.60677731873955</v>
      </c>
    </row>
    <row r="7" spans="1:18" x14ac:dyDescent="0.2">
      <c r="A7" t="s">
        <v>9</v>
      </c>
      <c r="B7">
        <f>s_ri!B7*shock_OC!$E$2</f>
        <v>55660.252085221524</v>
      </c>
      <c r="C7">
        <f>s_ri!C7*shock_OC!$E$3</f>
        <v>27712209.508761935</v>
      </c>
      <c r="D7">
        <f>s_ri!D7*shock_OC!$E$4</f>
        <v>0</v>
      </c>
      <c r="E7">
        <f>s_ri!E7*shock_OC!$E$5</f>
        <v>0</v>
      </c>
      <c r="F7">
        <f>s_ri!F7*shock_OC!$E$6</f>
        <v>60.433544718728861</v>
      </c>
      <c r="G7">
        <f>s_ri!G7*shock_OC!$E$7</f>
        <v>-1353.5275199126547</v>
      </c>
      <c r="H7">
        <f t="shared" si="0"/>
        <v>27766.576666871963</v>
      </c>
      <c r="K7" t="s">
        <v>9</v>
      </c>
      <c r="L7">
        <f>shock_OC!$E$8*s_ri!K7</f>
        <v>-30694.458461695183</v>
      </c>
      <c r="M7">
        <f>shock_OC!$E$9*s_ri!L7</f>
        <v>-386169.01136204449</v>
      </c>
      <c r="N7">
        <f>shock_OC!$E$10*s_ri!M7</f>
        <v>0</v>
      </c>
      <c r="O7">
        <f>shock_OC!$E$11*s_ri!N7</f>
        <v>0</v>
      </c>
      <c r="P7">
        <f>shock_OC!$E$12*s_ri!O7</f>
        <v>29.684470820550978</v>
      </c>
      <c r="Q7">
        <f>shock_OC!$E$13*s_ri!P7</f>
        <v>1766.507964514208</v>
      </c>
      <c r="R7">
        <f t="shared" si="1"/>
        <v>-415.06727738840493</v>
      </c>
    </row>
    <row r="8" spans="1:18" x14ac:dyDescent="0.2">
      <c r="A8" t="s">
        <v>10</v>
      </c>
      <c r="B8">
        <f>s_ri!B8*shock_OC!$E$2</f>
        <v>51060.985271566482</v>
      </c>
      <c r="C8">
        <f>s_ri!C8*shock_OC!$E$3</f>
        <v>26668683.20235185</v>
      </c>
      <c r="D8">
        <f>s_ri!D8*shock_OC!$E$4</f>
        <v>0</v>
      </c>
      <c r="E8">
        <f>s_ri!E8*shock_OC!$E$5</f>
        <v>0</v>
      </c>
      <c r="F8">
        <f>s_ri!F8*shock_OC!$E$6</f>
        <v>88.676986378741276</v>
      </c>
      <c r="G8">
        <f>s_ri!G8*shock_OC!$E$7</f>
        <v>-1310.5609192232293</v>
      </c>
      <c r="H8">
        <f t="shared" si="0"/>
        <v>26718.52230369057</v>
      </c>
      <c r="K8" t="s">
        <v>10</v>
      </c>
      <c r="L8">
        <f>shock_OC!$E$8*s_ri!K8</f>
        <v>-32381.978502875219</v>
      </c>
      <c r="M8">
        <f>shock_OC!$E$9*s_ri!L8</f>
        <v>-327688.25583428988</v>
      </c>
      <c r="N8">
        <f>shock_OC!$E$10*s_ri!M8</f>
        <v>0</v>
      </c>
      <c r="O8">
        <f>shock_OC!$E$11*s_ri!N8</f>
        <v>0</v>
      </c>
      <c r="P8">
        <f>shock_OC!$E$12*s_ri!O8</f>
        <v>30.937872246024565</v>
      </c>
      <c r="Q8">
        <f>shock_OC!$E$13*s_ri!P8</f>
        <v>1586.5873232441936</v>
      </c>
      <c r="R8">
        <f t="shared" si="1"/>
        <v>-358.45270914167486</v>
      </c>
    </row>
    <row r="9" spans="1:18" x14ac:dyDescent="0.2">
      <c r="A9" t="s">
        <v>11</v>
      </c>
      <c r="B9">
        <f>s_ri!B9*shock_OC!$E$2</f>
        <v>18362.171640053919</v>
      </c>
      <c r="C9">
        <f>s_ri!C9*shock_OC!$E$3</f>
        <v>18388343.879866522</v>
      </c>
      <c r="D9">
        <f>s_ri!D9*shock_OC!$E$4</f>
        <v>0</v>
      </c>
      <c r="E9">
        <f>s_ri!E9*shock_OC!$E$5</f>
        <v>0</v>
      </c>
      <c r="F9">
        <f>s_ri!F9*shock_OC!$E$6</f>
        <v>87.932040259745861</v>
      </c>
      <c r="G9">
        <f>s_ri!G9*shock_OC!$E$7</f>
        <v>-1390.5755995300392</v>
      </c>
      <c r="H9">
        <f t="shared" si="0"/>
        <v>18405.403407947306</v>
      </c>
      <c r="K9" t="s">
        <v>11</v>
      </c>
      <c r="L9">
        <f>shock_OC!$E$8*s_ri!K9</f>
        <v>-13875.877249728142</v>
      </c>
      <c r="M9">
        <f>shock_OC!$E$9*s_ri!L9</f>
        <v>-246513.92583525492</v>
      </c>
      <c r="N9">
        <f>shock_OC!$E$10*s_ri!M9</f>
        <v>0</v>
      </c>
      <c r="O9">
        <f>shock_OC!$E$11*s_ri!N9</f>
        <v>0</v>
      </c>
      <c r="P9">
        <f>shock_OC!$E$12*s_ri!O9</f>
        <v>36.711938111307582</v>
      </c>
      <c r="Q9">
        <f>shock_OC!$E$13*s_ri!P9</f>
        <v>1817.229259774864</v>
      </c>
      <c r="R9">
        <f t="shared" si="1"/>
        <v>-258.53586188709687</v>
      </c>
    </row>
    <row r="10" spans="1:18" x14ac:dyDescent="0.2">
      <c r="A10" t="s">
        <v>12</v>
      </c>
      <c r="B10">
        <f>s_ri!B10*shock_OC!$E$2</f>
        <v>38424.630853543182</v>
      </c>
      <c r="C10">
        <f>s_ri!C10*shock_OC!$E$3</f>
        <v>18164849.7922282</v>
      </c>
      <c r="D10">
        <f>s_ri!D10*shock_OC!$E$4</f>
        <v>0</v>
      </c>
      <c r="E10">
        <f>s_ri!E10*shock_OC!$E$5</f>
        <v>0</v>
      </c>
      <c r="F10">
        <f>s_ri!F10*shock_OC!$E$6</f>
        <v>79.668190560342737</v>
      </c>
      <c r="G10">
        <f>s_ri!G10*shock_OC!$E$7</f>
        <v>-1347.2913763328927</v>
      </c>
      <c r="H10">
        <f t="shared" si="0"/>
        <v>18202.006799895971</v>
      </c>
      <c r="K10" t="s">
        <v>12</v>
      </c>
      <c r="L10">
        <f>shock_OC!$E$8*s_ri!K10</f>
        <v>-17241.295646718219</v>
      </c>
      <c r="M10">
        <f>shock_OC!$E$9*s_ri!L10</f>
        <v>-273065.11682085996</v>
      </c>
      <c r="N10">
        <f>shock_OC!$E$10*s_ri!M10</f>
        <v>0</v>
      </c>
      <c r="O10">
        <f>shock_OC!$E$11*s_ri!N10</f>
        <v>0</v>
      </c>
      <c r="P10">
        <f>shock_OC!$E$12*s_ri!O10</f>
        <v>37.99372084768406</v>
      </c>
      <c r="Q10">
        <f>shock_OC!$E$13*s_ri!P10</f>
        <v>1707.7208950989225</v>
      </c>
      <c r="R10">
        <f t="shared" si="1"/>
        <v>-288.56069785163157</v>
      </c>
    </row>
    <row r="11" spans="1:18" x14ac:dyDescent="0.2">
      <c r="A11" t="s">
        <v>13</v>
      </c>
      <c r="B11">
        <f>s_ri!B11*shock_OC!$E$2</f>
        <v>43685.680528943347</v>
      </c>
      <c r="C11">
        <f>s_ri!C11*shock_OC!$E$3</f>
        <v>18972304.329995412</v>
      </c>
      <c r="D11">
        <f>s_ri!D11*shock_OC!$E$4</f>
        <v>0</v>
      </c>
      <c r="E11">
        <f>s_ri!E11*shock_OC!$E$5</f>
        <v>0</v>
      </c>
      <c r="F11">
        <f>s_ri!F11*shock_OC!$E$6</f>
        <v>79.786694035301437</v>
      </c>
      <c r="G11">
        <f>s_ri!G11*shock_OC!$E$7</f>
        <v>-1399.8876645631699</v>
      </c>
      <c r="H11">
        <f t="shared" si="0"/>
        <v>19014.669909553824</v>
      </c>
      <c r="K11" t="s">
        <v>13</v>
      </c>
      <c r="L11">
        <f>shock_OC!$E$8*s_ri!K11</f>
        <v>-25512.65714493889</v>
      </c>
      <c r="M11">
        <f>shock_OC!$E$9*s_ri!L11</f>
        <v>-302623.91511947411</v>
      </c>
      <c r="N11">
        <f>shock_OC!$E$10*s_ri!M11</f>
        <v>0</v>
      </c>
      <c r="O11">
        <f>shock_OC!$E$11*s_ri!N11</f>
        <v>0</v>
      </c>
      <c r="P11">
        <f>shock_OC!$E$12*s_ri!O11</f>
        <v>34.82908924494749</v>
      </c>
      <c r="Q11">
        <f>shock_OC!$E$13*s_ri!P11</f>
        <v>1810.2644692489027</v>
      </c>
      <c r="R11">
        <f t="shared" si="1"/>
        <v>-326.29147870591919</v>
      </c>
    </row>
    <row r="12" spans="1:18" x14ac:dyDescent="0.2">
      <c r="A12" t="s">
        <v>14</v>
      </c>
      <c r="B12">
        <f>s_ri!B12*shock_OC!$E$2</f>
        <v>59343.069392921621</v>
      </c>
      <c r="C12">
        <f>s_ri!C12*shock_OC!$E$3</f>
        <v>38470939.227057375</v>
      </c>
      <c r="D12">
        <f>s_ri!D12*shock_OC!$E$4</f>
        <v>0</v>
      </c>
      <c r="E12">
        <f>s_ri!E12*shock_OC!$E$5</f>
        <v>0</v>
      </c>
      <c r="F12">
        <f>s_ri!F12*shock_OC!$E$6</f>
        <v>53.115642374712479</v>
      </c>
      <c r="G12">
        <f>s_ri!G12*shock_OC!$E$7</f>
        <v>-1084.9420368873825</v>
      </c>
      <c r="H12">
        <f t="shared" si="0"/>
        <v>38529.250470055784</v>
      </c>
      <c r="K12" t="s">
        <v>14</v>
      </c>
      <c r="L12">
        <f>shock_OC!$E$8*s_ri!K12</f>
        <v>-36108.960934338211</v>
      </c>
      <c r="M12">
        <f>shock_OC!$E$9*s_ri!L12</f>
        <v>-555030.18814853847</v>
      </c>
      <c r="N12">
        <f>shock_OC!$E$10*s_ri!M12</f>
        <v>0</v>
      </c>
      <c r="O12">
        <f>shock_OC!$E$11*s_ri!N12</f>
        <v>0</v>
      </c>
      <c r="P12">
        <f>shock_OC!$E$12*s_ri!O12</f>
        <v>19.052971341164749</v>
      </c>
      <c r="Q12">
        <f>shock_OC!$E$13*s_ri!P12</f>
        <v>1608.7320924867606</v>
      </c>
      <c r="R12">
        <f t="shared" si="1"/>
        <v>-589.51136401904864</v>
      </c>
    </row>
    <row r="13" spans="1:18" x14ac:dyDescent="0.2">
      <c r="A13" t="s">
        <v>15</v>
      </c>
      <c r="B13">
        <f>s_ri!B13*shock_OC!$E$2</f>
        <v>59945.409190834223</v>
      </c>
      <c r="C13">
        <f>s_ri!C13*shock_OC!$E$3</f>
        <v>36320356.042294465</v>
      </c>
      <c r="D13">
        <f>s_ri!D13*shock_OC!$E$4</f>
        <v>0</v>
      </c>
      <c r="E13">
        <f>s_ri!E13*shock_OC!$E$5</f>
        <v>0</v>
      </c>
      <c r="F13">
        <f>s_ri!F13*shock_OC!$E$6</f>
        <v>57.804590052850891</v>
      </c>
      <c r="G13">
        <f>s_ri!G13*shock_OC!$E$7</f>
        <v>-1070.3510361062474</v>
      </c>
      <c r="H13">
        <f t="shared" si="0"/>
        <v>36379.28890503924</v>
      </c>
      <c r="K13" t="s">
        <v>15</v>
      </c>
      <c r="L13">
        <f>shock_OC!$E$8*s_ri!K13</f>
        <v>-33346.437440493421</v>
      </c>
      <c r="M13">
        <f>shock_OC!$E$9*s_ri!L13</f>
        <v>-497789.16245062102</v>
      </c>
      <c r="N13">
        <f>shock_OC!$E$10*s_ri!M13</f>
        <v>0</v>
      </c>
      <c r="O13">
        <f>shock_OC!$E$11*s_ri!N13</f>
        <v>0</v>
      </c>
      <c r="P13">
        <f>shock_OC!$E$12*s_ri!O13</f>
        <v>28.247091056271074</v>
      </c>
      <c r="Q13">
        <f>shock_OC!$E$13*s_ri!P13</f>
        <v>1550.0858345200022</v>
      </c>
      <c r="R13">
        <f t="shared" si="1"/>
        <v>-529.55726696553802</v>
      </c>
    </row>
    <row r="14" spans="1:18" x14ac:dyDescent="0.2">
      <c r="A14" t="s">
        <v>16</v>
      </c>
      <c r="B14">
        <f>s_ri!B14*shock_OC!$E$2</f>
        <v>65313.21019271671</v>
      </c>
      <c r="C14">
        <f>s_ri!C14*shock_OC!$E$3</f>
        <v>41058551.874930672</v>
      </c>
      <c r="D14">
        <f>s_ri!D14*shock_OC!$E$4</f>
        <v>0</v>
      </c>
      <c r="E14">
        <f>s_ri!E14*shock_OC!$E$5</f>
        <v>0</v>
      </c>
      <c r="F14">
        <f>s_ri!F14*shock_OC!$E$6</f>
        <v>56.286061717905099</v>
      </c>
      <c r="G14">
        <f>s_ri!G14*shock_OC!$E$7</f>
        <v>-1176.7016943502288</v>
      </c>
      <c r="H14">
        <f t="shared" si="0"/>
        <v>41122.744669490763</v>
      </c>
      <c r="K14" t="s">
        <v>16</v>
      </c>
      <c r="L14">
        <f>shock_OC!$E$8*s_ri!K14</f>
        <v>-33943.472303912036</v>
      </c>
      <c r="M14">
        <f>shock_OC!$E$9*s_ri!L14</f>
        <v>-495873.38499861624</v>
      </c>
      <c r="N14">
        <f>shock_OC!$E$10*s_ri!M14</f>
        <v>0</v>
      </c>
      <c r="O14">
        <f>shock_OC!$E$11*s_ri!N14</f>
        <v>0</v>
      </c>
      <c r="P14">
        <f>shock_OC!$E$12*s_ri!O14</f>
        <v>24.564864482193794</v>
      </c>
      <c r="Q14">
        <f>shock_OC!$E$13*s_ri!P14</f>
        <v>1708.6109560992163</v>
      </c>
      <c r="R14">
        <f t="shared" si="1"/>
        <v>-528.08368148194688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IPW_i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2026-04-03T12:24:11Z</dcterms:created>
  <dcterms:modified xsi:type="dcterms:W3CDTF">2026-04-05T20:48:40Z</dcterms:modified>
</cp:coreProperties>
</file>