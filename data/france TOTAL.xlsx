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aleksikova/Downloads/france/"/>
    </mc:Choice>
  </mc:AlternateContent>
  <xr:revisionPtr revIDLastSave="0" documentId="8_{23D11E14-9F71-F849-9F93-3117656759E1}" xr6:coauthVersionLast="47" xr6:coauthVersionMax="47" xr10:uidLastSave="{00000000-0000-0000-0000-000000000000}"/>
  <bookViews>
    <workbookView xWindow="0" yWindow="740" windowWidth="29400" windowHeight="16640" activeTab="1" xr2:uid="{F694FFCE-E1B3-5A4B-9CA6-B99D1ECB22B8}"/>
  </bookViews>
  <sheets>
    <sheet name="employment" sheetId="1" r:id="rId1"/>
    <sheet name="import" sheetId="2" r:id="rId2"/>
    <sheet name="L_i" sheetId="3" r:id="rId3"/>
    <sheet name="delta_M" sheetId="4" r:id="rId4"/>
    <sheet name="shock_i" sheetId="5" r:id="rId5"/>
    <sheet name="L_r" sheetId="6" r:id="rId6"/>
    <sheet name="s_ri" sheetId="7" r:id="rId7"/>
    <sheet name="IPW_i" sheetId="8" r:id="rId8"/>
    <sheet name="import OC" sheetId="9" r:id="rId9"/>
    <sheet name="delta_M_OC" sheetId="10" r:id="rId10"/>
    <sheet name="shock_OC" sheetId="12" r:id="rId11"/>
    <sheet name="IPW_OC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1" l="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Q4" i="11"/>
  <c r="Q5" i="11"/>
  <c r="S5" i="11" s="1"/>
  <c r="Q6" i="11"/>
  <c r="Q7" i="11"/>
  <c r="Q8" i="11"/>
  <c r="Q9" i="11"/>
  <c r="Q10" i="11"/>
  <c r="Q11" i="11"/>
  <c r="Q12" i="11"/>
  <c r="Q13" i="11"/>
  <c r="S13" i="11" s="1"/>
  <c r="Q14" i="11"/>
  <c r="Q15" i="11"/>
  <c r="Q16" i="11"/>
  <c r="Q17" i="11"/>
  <c r="Q18" i="11"/>
  <c r="Q19" i="11"/>
  <c r="Q20" i="11"/>
  <c r="Q21" i="11"/>
  <c r="Q22" i="11"/>
  <c r="Q23" i="11"/>
  <c r="Q24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3" i="11"/>
  <c r="Q3" i="11"/>
  <c r="P3" i="11"/>
  <c r="O3" i="11"/>
  <c r="N3" i="11"/>
  <c r="M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3" i="11"/>
  <c r="F3" i="11"/>
  <c r="E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C3" i="11"/>
  <c r="B3" i="11"/>
  <c r="S22" i="11"/>
  <c r="S21" i="11"/>
  <c r="S20" i="11"/>
  <c r="S14" i="11"/>
  <c r="S12" i="11"/>
  <c r="S6" i="11"/>
  <c r="S4" i="11"/>
  <c r="S3" i="11"/>
  <c r="E3" i="12"/>
  <c r="E4" i="12"/>
  <c r="E5" i="12"/>
  <c r="E6" i="12"/>
  <c r="E7" i="12"/>
  <c r="E8" i="12"/>
  <c r="E9" i="12"/>
  <c r="E10" i="12"/>
  <c r="E11" i="12"/>
  <c r="E12" i="12"/>
  <c r="E13" i="12"/>
  <c r="E2" i="12"/>
  <c r="D3" i="12"/>
  <c r="D4" i="12"/>
  <c r="D5" i="12"/>
  <c r="D6" i="12"/>
  <c r="D7" i="12"/>
  <c r="D8" i="12"/>
  <c r="D9" i="12"/>
  <c r="D10" i="12"/>
  <c r="D11" i="12"/>
  <c r="D12" i="12"/>
  <c r="D13" i="12"/>
  <c r="D2" i="12"/>
  <c r="C13" i="12"/>
  <c r="C12" i="12"/>
  <c r="C11" i="12"/>
  <c r="C10" i="12"/>
  <c r="C9" i="12"/>
  <c r="C8" i="12"/>
  <c r="C7" i="12"/>
  <c r="C6" i="12"/>
  <c r="C5" i="12"/>
  <c r="C4" i="12"/>
  <c r="C3" i="12"/>
  <c r="C2" i="12"/>
  <c r="C4" i="10"/>
  <c r="C5" i="10"/>
  <c r="C6" i="10"/>
  <c r="C7" i="10"/>
  <c r="C8" i="10"/>
  <c r="C9" i="10"/>
  <c r="C10" i="10"/>
  <c r="C11" i="10"/>
  <c r="C12" i="10"/>
  <c r="C13" i="10"/>
  <c r="C3" i="10"/>
  <c r="C2" i="10"/>
  <c r="W40" i="9"/>
  <c r="W39" i="9"/>
  <c r="W38" i="9"/>
  <c r="W37" i="9"/>
  <c r="W36" i="9"/>
  <c r="W35" i="9"/>
  <c r="W34" i="9"/>
  <c r="W33" i="9"/>
  <c r="W32" i="9"/>
  <c r="W31" i="9"/>
  <c r="W30" i="9"/>
  <c r="W29" i="9"/>
  <c r="S40" i="9"/>
  <c r="S39" i="9"/>
  <c r="S38" i="9"/>
  <c r="S37" i="9"/>
  <c r="S36" i="9"/>
  <c r="S35" i="9"/>
  <c r="S34" i="9"/>
  <c r="S33" i="9"/>
  <c r="S32" i="9"/>
  <c r="S31" i="9"/>
  <c r="S30" i="9"/>
  <c r="S29" i="9"/>
  <c r="O40" i="9"/>
  <c r="O39" i="9"/>
  <c r="O38" i="9"/>
  <c r="O37" i="9"/>
  <c r="O36" i="9"/>
  <c r="O35" i="9"/>
  <c r="O34" i="9"/>
  <c r="O33" i="9"/>
  <c r="O32" i="9"/>
  <c r="O31" i="9"/>
  <c r="O30" i="9"/>
  <c r="O29" i="9"/>
  <c r="K40" i="9"/>
  <c r="K39" i="9"/>
  <c r="K38" i="9"/>
  <c r="K37" i="9"/>
  <c r="K36" i="9"/>
  <c r="K35" i="9"/>
  <c r="K34" i="9"/>
  <c r="K33" i="9"/>
  <c r="K32" i="9"/>
  <c r="K31" i="9"/>
  <c r="K30" i="9"/>
  <c r="K29" i="9"/>
  <c r="G40" i="9"/>
  <c r="G39" i="9"/>
  <c r="G38" i="9"/>
  <c r="G37" i="9"/>
  <c r="G36" i="9"/>
  <c r="G35" i="9"/>
  <c r="G34" i="9"/>
  <c r="G33" i="9"/>
  <c r="G32" i="9"/>
  <c r="G31" i="9"/>
  <c r="G30" i="9"/>
  <c r="G29" i="9"/>
  <c r="S19" i="11" l="1"/>
  <c r="S11" i="11"/>
  <c r="S8" i="11"/>
  <c r="S23" i="11"/>
  <c r="S24" i="11"/>
  <c r="S16" i="11"/>
  <c r="S18" i="11"/>
  <c r="S10" i="11"/>
  <c r="S15" i="11"/>
  <c r="S7" i="11"/>
  <c r="S17" i="11"/>
  <c r="S9" i="11"/>
  <c r="C36" i="9"/>
  <c r="C37" i="9"/>
  <c r="C38" i="9"/>
  <c r="C39" i="9"/>
  <c r="C40" i="9"/>
  <c r="C35" i="9"/>
  <c r="C30" i="9"/>
  <c r="C31" i="9"/>
  <c r="C32" i="9"/>
  <c r="C33" i="9"/>
  <c r="C34" i="9"/>
  <c r="C29" i="9"/>
  <c r="C19" i="3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3" i="6"/>
  <c r="H18" i="6" l="1"/>
  <c r="B18" i="7" s="1"/>
  <c r="H23" i="6"/>
  <c r="D23" i="7" s="1"/>
  <c r="H7" i="6"/>
  <c r="F7" i="7" s="1"/>
  <c r="D18" i="7"/>
  <c r="H13" i="6"/>
  <c r="D13" i="7" s="1"/>
  <c r="H5" i="6"/>
  <c r="D5" i="7" s="1"/>
  <c r="S21" i="6"/>
  <c r="N21" i="7" s="1"/>
  <c r="S13" i="6"/>
  <c r="K13" i="7" s="1"/>
  <c r="H6" i="6"/>
  <c r="F6" i="7" s="1"/>
  <c r="F18" i="7"/>
  <c r="H21" i="6"/>
  <c r="D21" i="7" s="1"/>
  <c r="S6" i="6"/>
  <c r="N6" i="7" s="1"/>
  <c r="S17" i="6"/>
  <c r="L17" i="7" s="1"/>
  <c r="S9" i="6"/>
  <c r="L9" i="7" s="1"/>
  <c r="H16" i="6"/>
  <c r="F16" i="7" s="1"/>
  <c r="S3" i="6"/>
  <c r="O3" i="7" s="1"/>
  <c r="H3" i="6"/>
  <c r="G3" i="7" s="1"/>
  <c r="S20" i="6"/>
  <c r="N20" i="7" s="1"/>
  <c r="S12" i="6"/>
  <c r="P12" i="7" s="1"/>
  <c r="S4" i="6"/>
  <c r="L4" i="7" s="1"/>
  <c r="H19" i="6"/>
  <c r="B19" i="7" s="1"/>
  <c r="H11" i="6"/>
  <c r="B11" i="7" s="1"/>
  <c r="S11" i="6"/>
  <c r="L11" i="7" s="1"/>
  <c r="S23" i="6"/>
  <c r="O23" i="7" s="1"/>
  <c r="H15" i="6"/>
  <c r="D15" i="7" s="1"/>
  <c r="C18" i="7"/>
  <c r="S19" i="6"/>
  <c r="M19" i="7" s="1"/>
  <c r="H14" i="6"/>
  <c r="B14" i="7" s="1"/>
  <c r="S18" i="6"/>
  <c r="M18" i="7" s="1"/>
  <c r="S10" i="6"/>
  <c r="O10" i="7" s="1"/>
  <c r="S22" i="6"/>
  <c r="O22" i="7" s="1"/>
  <c r="H20" i="6"/>
  <c r="B20" i="7" s="1"/>
  <c r="H12" i="6"/>
  <c r="G12" i="7" s="1"/>
  <c r="H4" i="6"/>
  <c r="C4" i="7" s="1"/>
  <c r="H17" i="6"/>
  <c r="F17" i="7" s="1"/>
  <c r="H9" i="6"/>
  <c r="C9" i="7" s="1"/>
  <c r="E18" i="7"/>
  <c r="H24" i="6"/>
  <c r="D24" i="7" s="1"/>
  <c r="S15" i="6"/>
  <c r="L15" i="7" s="1"/>
  <c r="H10" i="6"/>
  <c r="E10" i="7" s="1"/>
  <c r="S14" i="6"/>
  <c r="N14" i="7" s="1"/>
  <c r="S5" i="6"/>
  <c r="L5" i="7" s="1"/>
  <c r="B23" i="7"/>
  <c r="H22" i="6"/>
  <c r="E22" i="7" s="1"/>
  <c r="H8" i="6"/>
  <c r="D8" i="7" s="1"/>
  <c r="S7" i="6"/>
  <c r="O7" i="7" s="1"/>
  <c r="S24" i="6"/>
  <c r="P24" i="7" s="1"/>
  <c r="S16" i="6"/>
  <c r="P16" i="7" s="1"/>
  <c r="S8" i="6"/>
  <c r="P8" i="7" s="1"/>
  <c r="C13" i="5"/>
  <c r="C3" i="4"/>
  <c r="D3" i="5" s="1"/>
  <c r="C4" i="4"/>
  <c r="D4" i="5" s="1"/>
  <c r="C5" i="4"/>
  <c r="D5" i="5" s="1"/>
  <c r="C6" i="4"/>
  <c r="D6" i="5" s="1"/>
  <c r="C7" i="4"/>
  <c r="D7" i="5" s="1"/>
  <c r="C2" i="4"/>
  <c r="D2" i="5" s="1"/>
  <c r="C25" i="3"/>
  <c r="C24" i="3"/>
  <c r="C23" i="3"/>
  <c r="C22" i="3"/>
  <c r="C21" i="3"/>
  <c r="C20" i="3"/>
  <c r="C18" i="3"/>
  <c r="C12" i="5" s="1"/>
  <c r="C17" i="3"/>
  <c r="C11" i="5" s="1"/>
  <c r="C16" i="3"/>
  <c r="C10" i="5" s="1"/>
  <c r="C15" i="3"/>
  <c r="C9" i="5" s="1"/>
  <c r="C14" i="3"/>
  <c r="C8" i="5" s="1"/>
  <c r="C13" i="3"/>
  <c r="C12" i="3"/>
  <c r="C11" i="3"/>
  <c r="C10" i="3"/>
  <c r="C9" i="3"/>
  <c r="C8" i="3"/>
  <c r="C7" i="3"/>
  <c r="C7" i="5" s="1"/>
  <c r="C6" i="3"/>
  <c r="C6" i="5" s="1"/>
  <c r="C5" i="3"/>
  <c r="C5" i="5" s="1"/>
  <c r="C4" i="3"/>
  <c r="C4" i="5" s="1"/>
  <c r="C3" i="3"/>
  <c r="C3" i="5" s="1"/>
  <c r="C2" i="3"/>
  <c r="C2" i="5" s="1"/>
  <c r="C13" i="4"/>
  <c r="D13" i="5" s="1"/>
  <c r="C12" i="4"/>
  <c r="D12" i="5" s="1"/>
  <c r="C11" i="4"/>
  <c r="D11" i="5" s="1"/>
  <c r="C10" i="4"/>
  <c r="D10" i="5" s="1"/>
  <c r="C9" i="4"/>
  <c r="D9" i="5" s="1"/>
  <c r="C8" i="4"/>
  <c r="D8" i="5" s="1"/>
  <c r="D16" i="7" l="1"/>
  <c r="G18" i="7"/>
  <c r="M21" i="7"/>
  <c r="F23" i="7"/>
  <c r="G23" i="7"/>
  <c r="L21" i="7"/>
  <c r="E9" i="7"/>
  <c r="G6" i="7"/>
  <c r="L20" i="7"/>
  <c r="K21" i="7"/>
  <c r="C12" i="7"/>
  <c r="C16" i="7"/>
  <c r="M13" i="7"/>
  <c r="B16" i="7"/>
  <c r="K9" i="7"/>
  <c r="F9" i="7"/>
  <c r="K17" i="7"/>
  <c r="P9" i="7"/>
  <c r="E12" i="5"/>
  <c r="L13" i="7"/>
  <c r="C13" i="7"/>
  <c r="E6" i="7"/>
  <c r="E2" i="5"/>
  <c r="F5" i="7"/>
  <c r="C7" i="7"/>
  <c r="E5" i="7"/>
  <c r="O18" i="7"/>
  <c r="P6" i="7"/>
  <c r="B7" i="7"/>
  <c r="G7" i="7"/>
  <c r="C6" i="7"/>
  <c r="P14" i="7"/>
  <c r="F13" i="7"/>
  <c r="O6" i="7"/>
  <c r="D9" i="7"/>
  <c r="D7" i="7"/>
  <c r="E5" i="5"/>
  <c r="M6" i="7"/>
  <c r="G13" i="7"/>
  <c r="F24" i="7"/>
  <c r="M17" i="7"/>
  <c r="O17" i="7"/>
  <c r="P22" i="7"/>
  <c r="N17" i="7"/>
  <c r="L7" i="7"/>
  <c r="K18" i="7"/>
  <c r="P3" i="7"/>
  <c r="B15" i="7"/>
  <c r="C11" i="7"/>
  <c r="P17" i="7"/>
  <c r="N5" i="7"/>
  <c r="C24" i="7"/>
  <c r="E7" i="7"/>
  <c r="E14" i="7"/>
  <c r="M22" i="7"/>
  <c r="E9" i="5"/>
  <c r="K5" i="7"/>
  <c r="K24" i="7"/>
  <c r="B13" i="7"/>
  <c r="B24" i="7"/>
  <c r="P20" i="7"/>
  <c r="N12" i="7"/>
  <c r="G5" i="7"/>
  <c r="E6" i="5"/>
  <c r="G21" i="7"/>
  <c r="E8" i="5"/>
  <c r="D14" i="7"/>
  <c r="N9" i="7"/>
  <c r="F21" i="7"/>
  <c r="G19" i="7"/>
  <c r="E10" i="5"/>
  <c r="K15" i="7"/>
  <c r="G15" i="7"/>
  <c r="L12" i="7"/>
  <c r="C21" i="7"/>
  <c r="P18" i="7"/>
  <c r="O24" i="7"/>
  <c r="E13" i="7"/>
  <c r="E4" i="5"/>
  <c r="F12" i="7"/>
  <c r="O14" i="7"/>
  <c r="L23" i="7"/>
  <c r="E21" i="7"/>
  <c r="D19" i="7"/>
  <c r="F15" i="7"/>
  <c r="O15" i="7"/>
  <c r="C15" i="7"/>
  <c r="E13" i="5"/>
  <c r="N24" i="7"/>
  <c r="L24" i="7"/>
  <c r="E3" i="5"/>
  <c r="N16" i="7"/>
  <c r="E7" i="5"/>
  <c r="M5" i="7"/>
  <c r="G14" i="7"/>
  <c r="K16" i="7"/>
  <c r="F3" i="7"/>
  <c r="O16" i="7"/>
  <c r="C23" i="7"/>
  <c r="B6" i="7"/>
  <c r="B5" i="7"/>
  <c r="E23" i="7"/>
  <c r="E11" i="5"/>
  <c r="C8" i="7"/>
  <c r="C17" i="7"/>
  <c r="F8" i="7"/>
  <c r="K10" i="7"/>
  <c r="B10" i="7"/>
  <c r="C10" i="7"/>
  <c r="E17" i="7"/>
  <c r="M10" i="7"/>
  <c r="M11" i="7"/>
  <c r="K19" i="7"/>
  <c r="N19" i="7"/>
  <c r="E4" i="7"/>
  <c r="D17" i="7"/>
  <c r="M4" i="7"/>
  <c r="O4" i="7"/>
  <c r="F10" i="7"/>
  <c r="O5" i="7"/>
  <c r="P5" i="7"/>
  <c r="M14" i="7"/>
  <c r="G9" i="7"/>
  <c r="B9" i="7"/>
  <c r="B4" i="7"/>
  <c r="L8" i="7"/>
  <c r="E12" i="7"/>
  <c r="L16" i="7"/>
  <c r="N4" i="7"/>
  <c r="K4" i="7"/>
  <c r="L3" i="7"/>
  <c r="M3" i="7"/>
  <c r="D10" i="7"/>
  <c r="E20" i="7"/>
  <c r="D6" i="7"/>
  <c r="E8" i="7"/>
  <c r="G8" i="7"/>
  <c r="F22" i="7"/>
  <c r="C22" i="7"/>
  <c r="D22" i="7"/>
  <c r="C20" i="7"/>
  <c r="M23" i="7"/>
  <c r="P23" i="7"/>
  <c r="N23" i="7"/>
  <c r="E11" i="7"/>
  <c r="F11" i="7"/>
  <c r="M12" i="7"/>
  <c r="O12" i="7"/>
  <c r="P11" i="7"/>
  <c r="P4" i="7"/>
  <c r="K6" i="7"/>
  <c r="L6" i="7"/>
  <c r="D4" i="7"/>
  <c r="O13" i="7"/>
  <c r="P13" i="7"/>
  <c r="O11" i="7"/>
  <c r="G22" i="7"/>
  <c r="L10" i="7"/>
  <c r="N10" i="7"/>
  <c r="O19" i="7"/>
  <c r="F4" i="7"/>
  <c r="B8" i="7"/>
  <c r="B12" i="7"/>
  <c r="K22" i="7"/>
  <c r="L22" i="7"/>
  <c r="M8" i="7"/>
  <c r="N18" i="7"/>
  <c r="L18" i="7"/>
  <c r="C5" i="7"/>
  <c r="C3" i="7"/>
  <c r="P10" i="7"/>
  <c r="K12" i="7"/>
  <c r="P19" i="7"/>
  <c r="K3" i="7"/>
  <c r="D12" i="7"/>
  <c r="G4" i="7"/>
  <c r="D3" i="7"/>
  <c r="K11" i="7"/>
  <c r="N11" i="7"/>
  <c r="G17" i="7"/>
  <c r="B17" i="7"/>
  <c r="K14" i="7"/>
  <c r="L14" i="7"/>
  <c r="D11" i="7"/>
  <c r="M20" i="7"/>
  <c r="O20" i="7"/>
  <c r="O9" i="7"/>
  <c r="N22" i="7"/>
  <c r="D20" i="7"/>
  <c r="B22" i="7"/>
  <c r="O21" i="7"/>
  <c r="P21" i="7"/>
  <c r="G20" i="7"/>
  <c r="L19" i="7"/>
  <c r="O8" i="7"/>
  <c r="M16" i="7"/>
  <c r="F19" i="7"/>
  <c r="E19" i="7"/>
  <c r="C19" i="7"/>
  <c r="K7" i="7"/>
  <c r="M7" i="7"/>
  <c r="N7" i="7"/>
  <c r="P7" i="7"/>
  <c r="N8" i="7"/>
  <c r="K23" i="7"/>
  <c r="K8" i="7"/>
  <c r="F20" i="7"/>
  <c r="M15" i="7"/>
  <c r="P15" i="7"/>
  <c r="N15" i="7"/>
  <c r="E24" i="7"/>
  <c r="G24" i="7"/>
  <c r="N13" i="7"/>
  <c r="G11" i="7"/>
  <c r="M24" i="7"/>
  <c r="F14" i="7"/>
  <c r="C14" i="7"/>
  <c r="G10" i="7"/>
  <c r="M9" i="7"/>
  <c r="K20" i="7"/>
  <c r="E16" i="7"/>
  <c r="G16" i="7"/>
  <c r="N3" i="7"/>
  <c r="B3" i="7"/>
  <c r="E15" i="7"/>
  <c r="B21" i="7"/>
  <c r="E3" i="7"/>
  <c r="D9" i="8" l="1"/>
  <c r="D17" i="8"/>
  <c r="D19" i="8"/>
  <c r="D24" i="8"/>
  <c r="D12" i="8"/>
  <c r="D5" i="8"/>
  <c r="D14" i="8"/>
  <c r="D7" i="8"/>
  <c r="D23" i="8"/>
  <c r="D8" i="8"/>
  <c r="D3" i="8"/>
  <c r="D10" i="8"/>
  <c r="D18" i="8"/>
  <c r="D11" i="8"/>
  <c r="D4" i="8"/>
  <c r="D20" i="8"/>
  <c r="D13" i="8"/>
  <c r="D21" i="8"/>
  <c r="D6" i="8"/>
  <c r="D22" i="8"/>
  <c r="D15" i="8"/>
  <c r="D16" i="8"/>
  <c r="F11" i="8"/>
  <c r="F19" i="8"/>
  <c r="F24" i="8"/>
  <c r="F13" i="8"/>
  <c r="F22" i="8"/>
  <c r="F7" i="8"/>
  <c r="F23" i="8"/>
  <c r="F8" i="8"/>
  <c r="F3" i="8"/>
  <c r="F17" i="8"/>
  <c r="F18" i="8"/>
  <c r="F4" i="8"/>
  <c r="F12" i="8"/>
  <c r="F20" i="8"/>
  <c r="F5" i="8"/>
  <c r="F21" i="8"/>
  <c r="F6" i="8"/>
  <c r="F14" i="8"/>
  <c r="F15" i="8"/>
  <c r="F16" i="8"/>
  <c r="F9" i="8"/>
  <c r="F10" i="8"/>
  <c r="B7" i="8"/>
  <c r="B15" i="8"/>
  <c r="H15" i="8" s="1"/>
  <c r="B23" i="8"/>
  <c r="B9" i="8"/>
  <c r="B17" i="8"/>
  <c r="B10" i="8"/>
  <c r="B11" i="8"/>
  <c r="B4" i="8"/>
  <c r="B24" i="8"/>
  <c r="B13" i="8"/>
  <c r="H13" i="8" s="1"/>
  <c r="B22" i="8"/>
  <c r="B8" i="8"/>
  <c r="H8" i="8" s="1"/>
  <c r="B16" i="8"/>
  <c r="B3" i="8"/>
  <c r="B18" i="8"/>
  <c r="B19" i="8"/>
  <c r="B12" i="8"/>
  <c r="B20" i="8"/>
  <c r="B5" i="8"/>
  <c r="H5" i="8" s="1"/>
  <c r="B21" i="8"/>
  <c r="H21" i="8" s="1"/>
  <c r="B6" i="8"/>
  <c r="B14" i="8"/>
  <c r="G8" i="8"/>
  <c r="G16" i="8"/>
  <c r="G3" i="8"/>
  <c r="G10" i="8"/>
  <c r="G19" i="8"/>
  <c r="G20" i="8"/>
  <c r="G13" i="8"/>
  <c r="G6" i="8"/>
  <c r="G22" i="8"/>
  <c r="G15" i="8"/>
  <c r="G24" i="8"/>
  <c r="G9" i="8"/>
  <c r="G17" i="8"/>
  <c r="G18" i="8"/>
  <c r="G11" i="8"/>
  <c r="G4" i="8"/>
  <c r="G12" i="8"/>
  <c r="G5" i="8"/>
  <c r="G21" i="8"/>
  <c r="G14" i="8"/>
  <c r="G7" i="8"/>
  <c r="G23" i="8"/>
  <c r="E6" i="8"/>
  <c r="E14" i="8"/>
  <c r="E22" i="8"/>
  <c r="E8" i="8"/>
  <c r="E16" i="8"/>
  <c r="E17" i="8"/>
  <c r="E24" i="8"/>
  <c r="E19" i="8"/>
  <c r="E12" i="8"/>
  <c r="E13" i="8"/>
  <c r="E7" i="8"/>
  <c r="E15" i="8"/>
  <c r="E23" i="8"/>
  <c r="E3" i="8"/>
  <c r="E9" i="8"/>
  <c r="E10" i="8"/>
  <c r="E18" i="8"/>
  <c r="E11" i="8"/>
  <c r="E4" i="8"/>
  <c r="E20" i="8"/>
  <c r="E5" i="8"/>
  <c r="E21" i="8"/>
  <c r="C4" i="8"/>
  <c r="C12" i="8"/>
  <c r="C20" i="8"/>
  <c r="C14" i="8"/>
  <c r="C7" i="8"/>
  <c r="C15" i="8"/>
  <c r="C8" i="8"/>
  <c r="C3" i="8"/>
  <c r="C24" i="8"/>
  <c r="C9" i="8"/>
  <c r="C18" i="8"/>
  <c r="C19" i="8"/>
  <c r="C5" i="8"/>
  <c r="C13" i="8"/>
  <c r="C21" i="8"/>
  <c r="C6" i="8"/>
  <c r="C22" i="8"/>
  <c r="C23" i="8"/>
  <c r="C16" i="8"/>
  <c r="C17" i="8"/>
  <c r="C10" i="8"/>
  <c r="C11" i="8"/>
  <c r="O10" i="8"/>
  <c r="O18" i="8"/>
  <c r="O6" i="8"/>
  <c r="O8" i="8"/>
  <c r="O24" i="8"/>
  <c r="O11" i="8"/>
  <c r="O19" i="8"/>
  <c r="O22" i="8"/>
  <c r="O7" i="8"/>
  <c r="O23" i="8"/>
  <c r="O4" i="8"/>
  <c r="O12" i="8"/>
  <c r="O20" i="8"/>
  <c r="O5" i="8"/>
  <c r="O13" i="8"/>
  <c r="O21" i="8"/>
  <c r="O14" i="8"/>
  <c r="O15" i="8"/>
  <c r="O16" i="8"/>
  <c r="O9" i="8"/>
  <c r="O17" i="8"/>
  <c r="O3" i="8"/>
  <c r="Q6" i="8"/>
  <c r="Q14" i="8"/>
  <c r="Q22" i="8"/>
  <c r="Q12" i="8"/>
  <c r="Q7" i="8"/>
  <c r="Q15" i="8"/>
  <c r="Q23" i="8"/>
  <c r="Q18" i="8"/>
  <c r="Q8" i="8"/>
  <c r="Q16" i="8"/>
  <c r="Q24" i="8"/>
  <c r="Q9" i="8"/>
  <c r="Q17" i="8"/>
  <c r="Q3" i="8"/>
  <c r="Q10" i="8"/>
  <c r="Q11" i="8"/>
  <c r="Q19" i="8"/>
  <c r="Q4" i="8"/>
  <c r="Q5" i="8"/>
  <c r="Q13" i="8"/>
  <c r="Q21" i="8"/>
  <c r="Q20" i="8"/>
  <c r="M6" i="8"/>
  <c r="M14" i="8"/>
  <c r="M22" i="8"/>
  <c r="M19" i="8"/>
  <c r="M7" i="8"/>
  <c r="M15" i="8"/>
  <c r="M23" i="8"/>
  <c r="M10" i="8"/>
  <c r="M20" i="8"/>
  <c r="M8" i="8"/>
  <c r="M16" i="8"/>
  <c r="M24" i="8"/>
  <c r="M9" i="8"/>
  <c r="M17" i="8"/>
  <c r="M3" i="8"/>
  <c r="M18" i="8"/>
  <c r="M11" i="8"/>
  <c r="M4" i="8"/>
  <c r="M5" i="8"/>
  <c r="M13" i="8"/>
  <c r="M21" i="8"/>
  <c r="M12" i="8"/>
  <c r="N4" i="8"/>
  <c r="N12" i="8"/>
  <c r="N20" i="8"/>
  <c r="N9" i="8"/>
  <c r="N18" i="8"/>
  <c r="N5" i="8"/>
  <c r="N13" i="8"/>
  <c r="N21" i="8"/>
  <c r="N23" i="8"/>
  <c r="N16" i="8"/>
  <c r="N3" i="8"/>
  <c r="N10" i="8"/>
  <c r="N6" i="8"/>
  <c r="N14" i="8"/>
  <c r="N22" i="8"/>
  <c r="N7" i="8"/>
  <c r="N15" i="8"/>
  <c r="N8" i="8"/>
  <c r="N24" i="8"/>
  <c r="N17" i="8"/>
  <c r="N11" i="8"/>
  <c r="N19" i="8"/>
  <c r="P8" i="8"/>
  <c r="P16" i="8"/>
  <c r="P24" i="8"/>
  <c r="P21" i="8"/>
  <c r="P6" i="8"/>
  <c r="P9" i="8"/>
  <c r="P17" i="8"/>
  <c r="P3" i="8"/>
  <c r="P20" i="8"/>
  <c r="P5" i="8"/>
  <c r="P22" i="8"/>
  <c r="P10" i="8"/>
  <c r="P18" i="8"/>
  <c r="P11" i="8"/>
  <c r="P19" i="8"/>
  <c r="P4" i="8"/>
  <c r="P12" i="8"/>
  <c r="P13" i="8"/>
  <c r="P14" i="8"/>
  <c r="P7" i="8"/>
  <c r="P15" i="8"/>
  <c r="P23" i="8"/>
  <c r="L8" i="8"/>
  <c r="L16" i="8"/>
  <c r="L24" i="8"/>
  <c r="L21" i="8"/>
  <c r="L6" i="8"/>
  <c r="L9" i="8"/>
  <c r="L17" i="8"/>
  <c r="L3" i="8"/>
  <c r="L4" i="8"/>
  <c r="L20" i="8"/>
  <c r="L13" i="8"/>
  <c r="L22" i="8"/>
  <c r="L10" i="8"/>
  <c r="L18" i="8"/>
  <c r="L11" i="8"/>
  <c r="L19" i="8"/>
  <c r="L12" i="8"/>
  <c r="L5" i="8"/>
  <c r="L14" i="8"/>
  <c r="L7" i="8"/>
  <c r="L15" i="8"/>
  <c r="L23" i="8"/>
  <c r="H22" i="8" l="1"/>
  <c r="H12" i="8"/>
  <c r="H24" i="8"/>
  <c r="H7" i="8"/>
  <c r="H4" i="8"/>
  <c r="H18" i="8"/>
  <c r="H11" i="8"/>
  <c r="H20" i="8"/>
  <c r="R16" i="8"/>
  <c r="H14" i="8"/>
  <c r="H3" i="8"/>
  <c r="H10" i="8"/>
  <c r="H9" i="8"/>
  <c r="H23" i="8"/>
  <c r="R20" i="8"/>
  <c r="H19" i="8"/>
  <c r="H6" i="8"/>
  <c r="H16" i="8"/>
  <c r="H17" i="8"/>
  <c r="R3" i="8"/>
  <c r="R19" i="8"/>
  <c r="R5" i="8"/>
  <c r="R12" i="8"/>
  <c r="R4" i="8"/>
  <c r="R8" i="8"/>
  <c r="R17" i="8"/>
  <c r="R18" i="8"/>
  <c r="R6" i="8"/>
  <c r="R23" i="8"/>
  <c r="R7" i="8"/>
  <c r="R22" i="8"/>
  <c r="R21" i="8"/>
  <c r="R11" i="8"/>
  <c r="R9" i="8"/>
  <c r="R15" i="8"/>
  <c r="R10" i="8"/>
  <c r="R14" i="8"/>
  <c r="R13" i="8"/>
  <c r="R24" i="8"/>
</calcChain>
</file>

<file path=xl/sharedStrings.xml><?xml version="1.0" encoding="utf-8"?>
<sst xmlns="http://schemas.openxmlformats.org/spreadsheetml/2006/main" count="1790" uniqueCount="58">
  <si>
    <t>zone</t>
  </si>
  <si>
    <t>year</t>
  </si>
  <si>
    <t xml:space="preserve">industry </t>
  </si>
  <si>
    <t xml:space="preserve">employment </t>
  </si>
  <si>
    <t>Ile de France</t>
  </si>
  <si>
    <t>a-b</t>
  </si>
  <si>
    <t>Centre — Val de Loire</t>
  </si>
  <si>
    <t>Bourgogne</t>
  </si>
  <si>
    <t>Franche-Comté</t>
  </si>
  <si>
    <t>Basse-Normandie</t>
  </si>
  <si>
    <t>Haute-Normandie</t>
  </si>
  <si>
    <t>Nord-Pas de Calais</t>
  </si>
  <si>
    <t>Picardie</t>
  </si>
  <si>
    <t>Alsace</t>
  </si>
  <si>
    <t>Champagne-Ardenne</t>
  </si>
  <si>
    <t>Lorraine</t>
  </si>
  <si>
    <t>Pays de la Loire</t>
  </si>
  <si>
    <t>Bretagne</t>
  </si>
  <si>
    <t>Aquitaine</t>
  </si>
  <si>
    <t>Limousin</t>
  </si>
  <si>
    <t>Poitou-Charentes</t>
  </si>
  <si>
    <t>Languedoc-Roussillon</t>
  </si>
  <si>
    <t>Midi-Pyrénées</t>
  </si>
  <si>
    <t>Auvergne</t>
  </si>
  <si>
    <t>Rhône-Alpes</t>
  </si>
  <si>
    <t>Provence-Alpes-Côte d’Azur</t>
  </si>
  <si>
    <t>Corse</t>
  </si>
  <si>
    <t>c-e</t>
  </si>
  <si>
    <t>f</t>
  </si>
  <si>
    <t>g-i</t>
  </si>
  <si>
    <t>j-k</t>
  </si>
  <si>
    <t>l-q</t>
  </si>
  <si>
    <t>industry</t>
  </si>
  <si>
    <t>import</t>
  </si>
  <si>
    <t xml:space="preserve">a-b </t>
  </si>
  <si>
    <t>L_i</t>
  </si>
  <si>
    <t>period</t>
  </si>
  <si>
    <t>1999-2011</t>
  </si>
  <si>
    <t>2012-2019</t>
  </si>
  <si>
    <t>delta_M</t>
  </si>
  <si>
    <t>shock_i</t>
  </si>
  <si>
    <t>L_i0</t>
  </si>
  <si>
    <t>total_1999</t>
  </si>
  <si>
    <t>total_2012</t>
  </si>
  <si>
    <t>IPW (1999-2011)</t>
  </si>
  <si>
    <t>IPW (2012-2019)</t>
  </si>
  <si>
    <t>p2</t>
  </si>
  <si>
    <t>p1</t>
  </si>
  <si>
    <t>Australia</t>
  </si>
  <si>
    <t xml:space="preserve">Finland </t>
  </si>
  <si>
    <t>Japan</t>
  </si>
  <si>
    <t>Norway</t>
  </si>
  <si>
    <t>New Zealand</t>
  </si>
  <si>
    <t>Sweden</t>
  </si>
  <si>
    <t>delta_M_OC</t>
  </si>
  <si>
    <t>shock_OC</t>
  </si>
  <si>
    <t>IPW_OC (2012-2019)</t>
  </si>
  <si>
    <t>IPW_OC (1999-2011)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</si>
</sst>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0.0000"/>
  </numFmts>
  <fonts count="2" x14ac:knownFonts="1">
    <font>
      <sz val="12"/>
      <color theme="1"/>
      <name val="Aptos Narrow"/>
      <family val="2"/>
      <charset val="204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left"/>
    </xf>
    <xf numFmtId="165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CC3D-EF4A-114F-8201-E2726EF41516}">
  <dimension ref="A1:D529"/>
  <sheetViews>
    <sheetView workbookViewId="0">
      <selection activeCell="I21" sqref="I21"/>
    </sheetView>
  </sheetViews>
  <sheetFormatPr baseColWidth="10" defaultRowHeight="16" x14ac:dyDescent="0.2"/>
  <cols>
    <col min="1" max="1" width="23.83203125" style="2" bestFit="1" customWidth="1"/>
    <col min="2" max="3" width="10.83203125" style="2"/>
    <col min="4" max="4" width="10.83203125" style="3"/>
  </cols>
  <sheetData>
    <row r="1" spans="1:4" x14ac:dyDescent="0.2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2">
      <c r="A2" s="2" t="s">
        <v>4</v>
      </c>
      <c r="B2" s="2">
        <v>1999</v>
      </c>
      <c r="C2" s="2" t="s">
        <v>5</v>
      </c>
      <c r="D2" s="3">
        <v>22.6</v>
      </c>
    </row>
    <row r="3" spans="1:4" x14ac:dyDescent="0.2">
      <c r="A3" s="2" t="s">
        <v>6</v>
      </c>
      <c r="B3" s="2">
        <v>1999</v>
      </c>
      <c r="C3" s="2" t="s">
        <v>5</v>
      </c>
      <c r="D3" s="3">
        <v>53.8</v>
      </c>
    </row>
    <row r="4" spans="1:4" x14ac:dyDescent="0.2">
      <c r="A4" s="2" t="s">
        <v>7</v>
      </c>
      <c r="B4" s="2">
        <v>1999</v>
      </c>
      <c r="C4" s="2" t="s">
        <v>5</v>
      </c>
      <c r="D4" s="3">
        <v>41.1</v>
      </c>
    </row>
    <row r="5" spans="1:4" x14ac:dyDescent="0.2">
      <c r="A5" s="2" t="s">
        <v>8</v>
      </c>
      <c r="B5" s="2">
        <v>1999</v>
      </c>
      <c r="C5" s="2" t="s">
        <v>5</v>
      </c>
      <c r="D5" s="3">
        <v>20.7</v>
      </c>
    </row>
    <row r="6" spans="1:4" x14ac:dyDescent="0.2">
      <c r="A6" s="2" t="s">
        <v>9</v>
      </c>
      <c r="B6" s="2">
        <v>1999</v>
      </c>
      <c r="C6" s="2" t="s">
        <v>5</v>
      </c>
      <c r="D6" s="3">
        <v>44.7</v>
      </c>
    </row>
    <row r="7" spans="1:4" x14ac:dyDescent="0.2">
      <c r="A7" s="2" t="s">
        <v>10</v>
      </c>
      <c r="B7" s="2">
        <v>1999</v>
      </c>
      <c r="C7" s="2" t="s">
        <v>5</v>
      </c>
      <c r="D7" s="3">
        <v>16.600000000000001</v>
      </c>
    </row>
    <row r="8" spans="1:4" x14ac:dyDescent="0.2">
      <c r="A8" s="2" t="s">
        <v>11</v>
      </c>
      <c r="B8" s="2">
        <v>1999</v>
      </c>
      <c r="C8" s="2" t="s">
        <v>5</v>
      </c>
      <c r="D8" s="3">
        <v>22.1</v>
      </c>
    </row>
    <row r="9" spans="1:4" x14ac:dyDescent="0.2">
      <c r="A9" s="2" t="s">
        <v>12</v>
      </c>
      <c r="B9" s="2">
        <v>1999</v>
      </c>
      <c r="C9" s="2" t="s">
        <v>5</v>
      </c>
      <c r="D9" s="3">
        <v>25.5</v>
      </c>
    </row>
    <row r="10" spans="1:4" x14ac:dyDescent="0.2">
      <c r="A10" s="2" t="s">
        <v>13</v>
      </c>
      <c r="B10" s="2">
        <v>1999</v>
      </c>
      <c r="C10" s="2" t="s">
        <v>5</v>
      </c>
      <c r="D10" s="3">
        <v>14</v>
      </c>
    </row>
    <row r="11" spans="1:4" x14ac:dyDescent="0.2">
      <c r="A11" s="2" t="s">
        <v>14</v>
      </c>
      <c r="B11" s="2">
        <v>1999</v>
      </c>
      <c r="C11" s="2" t="s">
        <v>5</v>
      </c>
      <c r="D11" s="3">
        <v>39.9</v>
      </c>
    </row>
    <row r="12" spans="1:4" x14ac:dyDescent="0.2">
      <c r="A12" s="2" t="s">
        <v>15</v>
      </c>
      <c r="B12" s="2">
        <v>1999</v>
      </c>
      <c r="C12" s="2" t="s">
        <v>5</v>
      </c>
      <c r="D12" s="3">
        <v>24.7</v>
      </c>
    </row>
    <row r="13" spans="1:4" x14ac:dyDescent="0.2">
      <c r="A13" s="2" t="s">
        <v>16</v>
      </c>
      <c r="B13" s="2">
        <v>1999</v>
      </c>
      <c r="C13" s="2" t="s">
        <v>5</v>
      </c>
      <c r="D13" s="3">
        <v>83.9</v>
      </c>
    </row>
    <row r="14" spans="1:4" x14ac:dyDescent="0.2">
      <c r="A14" s="2" t="s">
        <v>17</v>
      </c>
      <c r="B14" s="2">
        <v>1999</v>
      </c>
      <c r="C14" s="2" t="s">
        <v>5</v>
      </c>
      <c r="D14" s="3">
        <v>89.8</v>
      </c>
    </row>
    <row r="15" spans="1:4" x14ac:dyDescent="0.2">
      <c r="A15" s="2" t="s">
        <v>18</v>
      </c>
      <c r="B15" s="2">
        <v>1999</v>
      </c>
      <c r="C15" s="2" t="s">
        <v>5</v>
      </c>
      <c r="D15" s="3">
        <v>85.1</v>
      </c>
    </row>
    <row r="16" spans="1:4" x14ac:dyDescent="0.2">
      <c r="A16" s="2" t="s">
        <v>19</v>
      </c>
      <c r="B16" s="2">
        <v>1999</v>
      </c>
      <c r="C16" s="2" t="s">
        <v>5</v>
      </c>
      <c r="D16" s="3">
        <v>23.1</v>
      </c>
    </row>
    <row r="17" spans="1:4" x14ac:dyDescent="0.2">
      <c r="A17" s="2" t="s">
        <v>20</v>
      </c>
      <c r="B17" s="2">
        <v>1999</v>
      </c>
      <c r="C17" s="2" t="s">
        <v>5</v>
      </c>
      <c r="D17" s="3">
        <v>53.7</v>
      </c>
    </row>
    <row r="18" spans="1:4" x14ac:dyDescent="0.2">
      <c r="A18" s="2" t="s">
        <v>21</v>
      </c>
      <c r="B18" s="2">
        <v>1999</v>
      </c>
      <c r="C18" s="2" t="s">
        <v>5</v>
      </c>
      <c r="D18" s="3">
        <v>46.3</v>
      </c>
    </row>
    <row r="19" spans="1:4" x14ac:dyDescent="0.2">
      <c r="A19" s="2" t="s">
        <v>22</v>
      </c>
      <c r="B19" s="2">
        <v>1999</v>
      </c>
      <c r="C19" s="2" t="s">
        <v>5</v>
      </c>
      <c r="D19" s="3">
        <v>64.3</v>
      </c>
    </row>
    <row r="20" spans="1:4" x14ac:dyDescent="0.2">
      <c r="A20" s="2" t="s">
        <v>23</v>
      </c>
      <c r="B20" s="2">
        <v>1999</v>
      </c>
      <c r="C20" s="2" t="s">
        <v>5</v>
      </c>
      <c r="D20" s="3">
        <v>36.4</v>
      </c>
    </row>
    <row r="21" spans="1:4" x14ac:dyDescent="0.2">
      <c r="A21" s="2" t="s">
        <v>24</v>
      </c>
      <c r="B21" s="2">
        <v>1999</v>
      </c>
      <c r="C21" s="2" t="s">
        <v>5</v>
      </c>
      <c r="D21" s="3">
        <v>75.900000000000006</v>
      </c>
    </row>
    <row r="22" spans="1:4" x14ac:dyDescent="0.2">
      <c r="A22" s="2" t="s">
        <v>25</v>
      </c>
      <c r="B22" s="2">
        <v>1999</v>
      </c>
      <c r="C22" s="2" t="s">
        <v>5</v>
      </c>
      <c r="D22" s="3">
        <v>35.6</v>
      </c>
    </row>
    <row r="23" spans="1:4" x14ac:dyDescent="0.2">
      <c r="A23" s="2" t="s">
        <v>26</v>
      </c>
      <c r="B23" s="2">
        <v>1999</v>
      </c>
      <c r="C23" s="2" t="s">
        <v>5</v>
      </c>
      <c r="D23" s="3">
        <v>0</v>
      </c>
    </row>
    <row r="24" spans="1:4" x14ac:dyDescent="0.2">
      <c r="A24" s="2" t="s">
        <v>4</v>
      </c>
      <c r="B24" s="2">
        <v>2011</v>
      </c>
      <c r="C24" s="2" t="s">
        <v>5</v>
      </c>
      <c r="D24" s="3">
        <v>12.5</v>
      </c>
    </row>
    <row r="25" spans="1:4" x14ac:dyDescent="0.2">
      <c r="A25" s="2" t="s">
        <v>6</v>
      </c>
      <c r="B25" s="2">
        <v>2011</v>
      </c>
      <c r="C25" s="2" t="s">
        <v>5</v>
      </c>
      <c r="D25" s="3">
        <v>32.299999999999997</v>
      </c>
    </row>
    <row r="26" spans="1:4" x14ac:dyDescent="0.2">
      <c r="A26" s="2" t="s">
        <v>7</v>
      </c>
      <c r="B26" s="2">
        <v>2011</v>
      </c>
      <c r="C26" s="2" t="s">
        <v>5</v>
      </c>
      <c r="D26" s="3">
        <v>35.700000000000003</v>
      </c>
    </row>
    <row r="27" spans="1:4" x14ac:dyDescent="0.2">
      <c r="A27" s="2" t="s">
        <v>8</v>
      </c>
      <c r="B27" s="2">
        <v>2011</v>
      </c>
      <c r="C27" s="2" t="s">
        <v>5</v>
      </c>
      <c r="D27" s="3">
        <v>18.2</v>
      </c>
    </row>
    <row r="28" spans="1:4" x14ac:dyDescent="0.2">
      <c r="A28" s="2" t="s">
        <v>9</v>
      </c>
      <c r="B28" s="2">
        <v>2011</v>
      </c>
      <c r="C28" s="2" t="s">
        <v>5</v>
      </c>
      <c r="D28" s="3">
        <v>27.8</v>
      </c>
    </row>
    <row r="29" spans="1:4" x14ac:dyDescent="0.2">
      <c r="A29" s="2" t="s">
        <v>10</v>
      </c>
      <c r="B29" s="2">
        <v>2011</v>
      </c>
      <c r="C29" s="2" t="s">
        <v>5</v>
      </c>
      <c r="D29" s="3">
        <v>14</v>
      </c>
    </row>
    <row r="30" spans="1:4" x14ac:dyDescent="0.2">
      <c r="A30" s="2" t="s">
        <v>11</v>
      </c>
      <c r="B30" s="2">
        <v>2011</v>
      </c>
      <c r="C30" s="2" t="s">
        <v>5</v>
      </c>
      <c r="D30" s="3">
        <v>21.4</v>
      </c>
    </row>
    <row r="31" spans="1:4" x14ac:dyDescent="0.2">
      <c r="A31" s="2" t="s">
        <v>12</v>
      </c>
      <c r="B31" s="2">
        <v>2011</v>
      </c>
      <c r="C31" s="2" t="s">
        <v>5</v>
      </c>
      <c r="D31" s="3">
        <v>23.9</v>
      </c>
    </row>
    <row r="32" spans="1:4" x14ac:dyDescent="0.2">
      <c r="A32" s="2" t="s">
        <v>13</v>
      </c>
      <c r="B32" s="2">
        <v>2011</v>
      </c>
      <c r="C32" s="2" t="s">
        <v>5</v>
      </c>
      <c r="D32" s="3">
        <v>8.1</v>
      </c>
    </row>
    <row r="33" spans="1:4" x14ac:dyDescent="0.2">
      <c r="A33" s="2" t="s">
        <v>14</v>
      </c>
      <c r="B33" s="2">
        <v>2011</v>
      </c>
      <c r="C33" s="2" t="s">
        <v>5</v>
      </c>
      <c r="D33" s="3">
        <v>35.700000000000003</v>
      </c>
    </row>
    <row r="34" spans="1:4" x14ac:dyDescent="0.2">
      <c r="A34" s="2" t="s">
        <v>15</v>
      </c>
      <c r="B34" s="2">
        <v>2011</v>
      </c>
      <c r="C34" s="2" t="s">
        <v>5</v>
      </c>
      <c r="D34" s="3">
        <v>15.8</v>
      </c>
    </row>
    <row r="35" spans="1:4" x14ac:dyDescent="0.2">
      <c r="A35" s="2" t="s">
        <v>16</v>
      </c>
      <c r="B35" s="2">
        <v>2011</v>
      </c>
      <c r="C35" s="2" t="s">
        <v>5</v>
      </c>
      <c r="D35" s="3">
        <v>56.6</v>
      </c>
    </row>
    <row r="36" spans="1:4" x14ac:dyDescent="0.2">
      <c r="A36" s="2" t="s">
        <v>17</v>
      </c>
      <c r="B36" s="2">
        <v>2011</v>
      </c>
      <c r="C36" s="2" t="s">
        <v>5</v>
      </c>
      <c r="D36" s="3">
        <v>72</v>
      </c>
    </row>
    <row r="37" spans="1:4" x14ac:dyDescent="0.2">
      <c r="A37" s="2" t="s">
        <v>18</v>
      </c>
      <c r="B37" s="2">
        <v>2011</v>
      </c>
      <c r="C37" s="2" t="s">
        <v>5</v>
      </c>
      <c r="D37" s="3">
        <v>60.1</v>
      </c>
    </row>
    <row r="38" spans="1:4" x14ac:dyDescent="0.2">
      <c r="A38" s="2" t="s">
        <v>19</v>
      </c>
      <c r="B38" s="2">
        <v>2011</v>
      </c>
      <c r="C38" s="2" t="s">
        <v>5</v>
      </c>
      <c r="D38" s="3">
        <v>14.6</v>
      </c>
    </row>
    <row r="39" spans="1:4" x14ac:dyDescent="0.2">
      <c r="A39" s="2" t="s">
        <v>20</v>
      </c>
      <c r="B39" s="2">
        <v>2011</v>
      </c>
      <c r="C39" s="2" t="s">
        <v>5</v>
      </c>
      <c r="D39" s="3">
        <v>30.6</v>
      </c>
    </row>
    <row r="40" spans="1:4" x14ac:dyDescent="0.2">
      <c r="A40" s="2" t="s">
        <v>21</v>
      </c>
      <c r="B40" s="2">
        <v>2011</v>
      </c>
      <c r="C40" s="2" t="s">
        <v>5</v>
      </c>
      <c r="D40" s="3">
        <v>31.5</v>
      </c>
    </row>
    <row r="41" spans="1:4" x14ac:dyDescent="0.2">
      <c r="A41" s="2" t="s">
        <v>22</v>
      </c>
      <c r="B41" s="2">
        <v>2011</v>
      </c>
      <c r="C41" s="2" t="s">
        <v>5</v>
      </c>
      <c r="D41" s="3">
        <v>50.1</v>
      </c>
    </row>
    <row r="42" spans="1:4" x14ac:dyDescent="0.2">
      <c r="A42" s="2" t="s">
        <v>23</v>
      </c>
      <c r="B42" s="2">
        <v>2011</v>
      </c>
      <c r="C42" s="2" t="s">
        <v>5</v>
      </c>
      <c r="D42" s="3">
        <v>45.9</v>
      </c>
    </row>
    <row r="43" spans="1:4" x14ac:dyDescent="0.2">
      <c r="A43" s="2" t="s">
        <v>24</v>
      </c>
      <c r="B43" s="2">
        <v>2011</v>
      </c>
      <c r="C43" s="2" t="s">
        <v>5</v>
      </c>
      <c r="D43" s="3">
        <v>72.3</v>
      </c>
    </row>
    <row r="44" spans="1:4" x14ac:dyDescent="0.2">
      <c r="A44" s="2" t="s">
        <v>25</v>
      </c>
      <c r="B44" s="2">
        <v>2011</v>
      </c>
      <c r="C44" s="2" t="s">
        <v>5</v>
      </c>
      <c r="D44" s="3">
        <v>43.3</v>
      </c>
    </row>
    <row r="45" spans="1:4" x14ac:dyDescent="0.2">
      <c r="A45" s="2" t="s">
        <v>26</v>
      </c>
      <c r="B45" s="2">
        <v>2011</v>
      </c>
      <c r="C45" s="2" t="s">
        <v>5</v>
      </c>
      <c r="D45" s="3">
        <v>0</v>
      </c>
    </row>
    <row r="46" spans="1:4" x14ac:dyDescent="0.2">
      <c r="A46" s="2" t="s">
        <v>4</v>
      </c>
      <c r="B46" s="2">
        <v>1999</v>
      </c>
      <c r="C46" s="2" t="s">
        <v>27</v>
      </c>
      <c r="D46" s="3">
        <v>700.8</v>
      </c>
    </row>
    <row r="47" spans="1:4" x14ac:dyDescent="0.2">
      <c r="A47" s="2" t="s">
        <v>6</v>
      </c>
      <c r="B47" s="2">
        <v>1999</v>
      </c>
      <c r="C47" s="2" t="s">
        <v>27</v>
      </c>
      <c r="D47" s="3">
        <v>233.5</v>
      </c>
    </row>
    <row r="48" spans="1:4" x14ac:dyDescent="0.2">
      <c r="A48" s="2" t="s">
        <v>7</v>
      </c>
      <c r="B48" s="2">
        <v>1999</v>
      </c>
      <c r="C48" s="2" t="s">
        <v>27</v>
      </c>
      <c r="D48" s="3">
        <v>150.4</v>
      </c>
    </row>
    <row r="49" spans="1:4" x14ac:dyDescent="0.2">
      <c r="A49" s="2" t="s">
        <v>8</v>
      </c>
      <c r="B49" s="2">
        <v>1999</v>
      </c>
      <c r="C49" s="2" t="s">
        <v>27</v>
      </c>
      <c r="D49" s="3">
        <v>143.9</v>
      </c>
    </row>
    <row r="50" spans="1:4" x14ac:dyDescent="0.2">
      <c r="A50" s="2" t="s">
        <v>9</v>
      </c>
      <c r="B50" s="2">
        <v>1999</v>
      </c>
      <c r="C50" s="2" t="s">
        <v>27</v>
      </c>
      <c r="D50" s="3">
        <v>97.4</v>
      </c>
    </row>
    <row r="51" spans="1:4" x14ac:dyDescent="0.2">
      <c r="A51" s="2" t="s">
        <v>10</v>
      </c>
      <c r="B51" s="2">
        <v>1999</v>
      </c>
      <c r="C51" s="2" t="s">
        <v>27</v>
      </c>
      <c r="D51" s="3">
        <v>174.4</v>
      </c>
    </row>
    <row r="52" spans="1:4" x14ac:dyDescent="0.2">
      <c r="A52" s="2" t="s">
        <v>11</v>
      </c>
      <c r="B52" s="2">
        <v>1999</v>
      </c>
      <c r="C52" s="2" t="s">
        <v>27</v>
      </c>
      <c r="D52" s="3">
        <v>304.89999999999998</v>
      </c>
    </row>
    <row r="53" spans="1:4" x14ac:dyDescent="0.2">
      <c r="A53" s="2" t="s">
        <v>12</v>
      </c>
      <c r="B53" s="2">
        <v>1999</v>
      </c>
      <c r="C53" s="2" t="s">
        <v>27</v>
      </c>
      <c r="D53" s="3">
        <v>168.7</v>
      </c>
    </row>
    <row r="54" spans="1:4" x14ac:dyDescent="0.2">
      <c r="A54" s="2" t="s">
        <v>13</v>
      </c>
      <c r="B54" s="2">
        <v>1999</v>
      </c>
      <c r="C54" s="2" t="s">
        <v>27</v>
      </c>
      <c r="D54" s="3">
        <v>216.6</v>
      </c>
    </row>
    <row r="55" spans="1:4" x14ac:dyDescent="0.2">
      <c r="A55" s="2" t="s">
        <v>14</v>
      </c>
      <c r="B55" s="2">
        <v>1999</v>
      </c>
      <c r="C55" s="2" t="s">
        <v>27</v>
      </c>
      <c r="D55" s="3">
        <v>103</v>
      </c>
    </row>
    <row r="56" spans="1:4" x14ac:dyDescent="0.2">
      <c r="A56" s="2" t="s">
        <v>15</v>
      </c>
      <c r="B56" s="2">
        <v>1999</v>
      </c>
      <c r="C56" s="2" t="s">
        <v>27</v>
      </c>
      <c r="D56" s="3">
        <v>211.6</v>
      </c>
    </row>
    <row r="57" spans="1:4" x14ac:dyDescent="0.2">
      <c r="A57" s="2" t="s">
        <v>16</v>
      </c>
      <c r="B57" s="2">
        <v>1999</v>
      </c>
      <c r="C57" s="2" t="s">
        <v>27</v>
      </c>
      <c r="D57" s="3">
        <v>326.89999999999998</v>
      </c>
    </row>
    <row r="58" spans="1:4" x14ac:dyDescent="0.2">
      <c r="A58" s="2" t="s">
        <v>17</v>
      </c>
      <c r="B58" s="2">
        <v>1999</v>
      </c>
      <c r="C58" s="2" t="s">
        <v>27</v>
      </c>
      <c r="D58" s="3">
        <v>240.1</v>
      </c>
    </row>
    <row r="59" spans="1:4" x14ac:dyDescent="0.2">
      <c r="A59" s="2" t="s">
        <v>18</v>
      </c>
      <c r="B59" s="2">
        <v>1999</v>
      </c>
      <c r="C59" s="2" t="s">
        <v>27</v>
      </c>
      <c r="D59" s="3">
        <v>172</v>
      </c>
    </row>
    <row r="60" spans="1:4" x14ac:dyDescent="0.2">
      <c r="A60" s="2" t="s">
        <v>19</v>
      </c>
      <c r="B60" s="2">
        <v>1999</v>
      </c>
      <c r="C60" s="2" t="s">
        <v>27</v>
      </c>
      <c r="D60" s="3">
        <v>46.5</v>
      </c>
    </row>
    <row r="61" spans="1:4" x14ac:dyDescent="0.2">
      <c r="A61" s="2" t="s">
        <v>20</v>
      </c>
      <c r="B61" s="2">
        <v>1999</v>
      </c>
      <c r="C61" s="2" t="s">
        <v>27</v>
      </c>
      <c r="D61" s="3">
        <v>125.7</v>
      </c>
    </row>
    <row r="62" spans="1:4" x14ac:dyDescent="0.2">
      <c r="A62" s="2" t="s">
        <v>21</v>
      </c>
      <c r="B62" s="2">
        <v>1999</v>
      </c>
      <c r="C62" s="2" t="s">
        <v>27</v>
      </c>
      <c r="D62" s="3">
        <v>73.900000000000006</v>
      </c>
    </row>
    <row r="63" spans="1:4" x14ac:dyDescent="0.2">
      <c r="A63" s="2" t="s">
        <v>22</v>
      </c>
      <c r="B63" s="2">
        <v>1999</v>
      </c>
      <c r="C63" s="2" t="s">
        <v>27</v>
      </c>
      <c r="D63" s="3">
        <v>164</v>
      </c>
    </row>
    <row r="64" spans="1:4" x14ac:dyDescent="0.2">
      <c r="A64" s="2" t="s">
        <v>23</v>
      </c>
      <c r="B64" s="2">
        <v>1999</v>
      </c>
      <c r="C64" s="2" t="s">
        <v>27</v>
      </c>
      <c r="D64" s="3">
        <v>98.7</v>
      </c>
    </row>
    <row r="65" spans="1:4" x14ac:dyDescent="0.2">
      <c r="A65" s="2" t="s">
        <v>24</v>
      </c>
      <c r="B65" s="2">
        <v>1999</v>
      </c>
      <c r="C65" s="2" t="s">
        <v>27</v>
      </c>
      <c r="D65" s="3">
        <v>522.79999999999995</v>
      </c>
    </row>
    <row r="66" spans="1:4" x14ac:dyDescent="0.2">
      <c r="A66" s="2" t="s">
        <v>25</v>
      </c>
      <c r="B66" s="2">
        <v>1999</v>
      </c>
      <c r="C66" s="2" t="s">
        <v>27</v>
      </c>
      <c r="D66" s="3">
        <v>187.7</v>
      </c>
    </row>
    <row r="67" spans="1:4" x14ac:dyDescent="0.2">
      <c r="A67" s="2" t="s">
        <v>26</v>
      </c>
      <c r="B67" s="2">
        <v>1999</v>
      </c>
      <c r="C67" s="2" t="s">
        <v>27</v>
      </c>
      <c r="D67" s="3">
        <v>0</v>
      </c>
    </row>
    <row r="68" spans="1:4" x14ac:dyDescent="0.2">
      <c r="A68" s="2" t="s">
        <v>4</v>
      </c>
      <c r="B68" s="2">
        <v>2011</v>
      </c>
      <c r="C68" s="2" t="s">
        <v>27</v>
      </c>
      <c r="D68" s="3">
        <v>496.2</v>
      </c>
    </row>
    <row r="69" spans="1:4" x14ac:dyDescent="0.2">
      <c r="A69" s="2" t="s">
        <v>6</v>
      </c>
      <c r="B69" s="2">
        <v>2011</v>
      </c>
      <c r="C69" s="2" t="s">
        <v>27</v>
      </c>
      <c r="D69" s="3">
        <v>176</v>
      </c>
    </row>
    <row r="70" spans="1:4" x14ac:dyDescent="0.2">
      <c r="A70" s="2" t="s">
        <v>7</v>
      </c>
      <c r="B70" s="2">
        <v>2011</v>
      </c>
      <c r="C70" s="2" t="s">
        <v>27</v>
      </c>
      <c r="D70" s="3">
        <v>97.8</v>
      </c>
    </row>
    <row r="71" spans="1:4" x14ac:dyDescent="0.2">
      <c r="A71" s="2" t="s">
        <v>8</v>
      </c>
      <c r="B71" s="2">
        <v>2011</v>
      </c>
      <c r="C71" s="2" t="s">
        <v>27</v>
      </c>
      <c r="D71" s="3">
        <v>124.9</v>
      </c>
    </row>
    <row r="72" spans="1:4" x14ac:dyDescent="0.2">
      <c r="A72" s="2" t="s">
        <v>9</v>
      </c>
      <c r="B72" s="2">
        <v>2011</v>
      </c>
      <c r="C72" s="2" t="s">
        <v>27</v>
      </c>
      <c r="D72" s="3">
        <v>93</v>
      </c>
    </row>
    <row r="73" spans="1:4" x14ac:dyDescent="0.2">
      <c r="A73" s="2" t="s">
        <v>10</v>
      </c>
      <c r="B73" s="2">
        <v>2011</v>
      </c>
      <c r="C73" s="2" t="s">
        <v>27</v>
      </c>
      <c r="D73" s="3">
        <v>146.30000000000001</v>
      </c>
    </row>
    <row r="74" spans="1:4" x14ac:dyDescent="0.2">
      <c r="A74" s="2" t="s">
        <v>11</v>
      </c>
      <c r="B74" s="2">
        <v>2011</v>
      </c>
      <c r="C74" s="2" t="s">
        <v>27</v>
      </c>
      <c r="D74" s="3">
        <v>255.1</v>
      </c>
    </row>
    <row r="75" spans="1:4" x14ac:dyDescent="0.2">
      <c r="A75" s="2" t="s">
        <v>12</v>
      </c>
      <c r="B75" s="2">
        <v>2011</v>
      </c>
      <c r="C75" s="2" t="s">
        <v>27</v>
      </c>
      <c r="D75" s="3">
        <v>142.80000000000001</v>
      </c>
    </row>
    <row r="76" spans="1:4" x14ac:dyDescent="0.2">
      <c r="A76" s="2" t="s">
        <v>13</v>
      </c>
      <c r="B76" s="2">
        <v>2011</v>
      </c>
      <c r="C76" s="2" t="s">
        <v>27</v>
      </c>
      <c r="D76" s="3">
        <v>173.7</v>
      </c>
    </row>
    <row r="77" spans="1:4" x14ac:dyDescent="0.2">
      <c r="A77" s="2" t="s">
        <v>14</v>
      </c>
      <c r="B77" s="2">
        <v>2011</v>
      </c>
      <c r="C77" s="2" t="s">
        <v>27</v>
      </c>
      <c r="D77" s="3">
        <v>106.5</v>
      </c>
    </row>
    <row r="78" spans="1:4" x14ac:dyDescent="0.2">
      <c r="A78" s="2" t="s">
        <v>15</v>
      </c>
      <c r="B78" s="2">
        <v>2011</v>
      </c>
      <c r="C78" s="2" t="s">
        <v>27</v>
      </c>
      <c r="D78" s="3">
        <v>179.9</v>
      </c>
    </row>
    <row r="79" spans="1:4" x14ac:dyDescent="0.2">
      <c r="A79" s="2" t="s">
        <v>16</v>
      </c>
      <c r="B79" s="2">
        <v>2011</v>
      </c>
      <c r="C79" s="2" t="s">
        <v>27</v>
      </c>
      <c r="D79" s="3">
        <v>276.8</v>
      </c>
    </row>
    <row r="80" spans="1:4" x14ac:dyDescent="0.2">
      <c r="A80" s="2" t="s">
        <v>17</v>
      </c>
      <c r="B80" s="2">
        <v>2011</v>
      </c>
      <c r="C80" s="2" t="s">
        <v>27</v>
      </c>
      <c r="D80" s="3">
        <v>205.5</v>
      </c>
    </row>
    <row r="81" spans="1:4" x14ac:dyDescent="0.2">
      <c r="A81" s="2" t="s">
        <v>18</v>
      </c>
      <c r="B81" s="2">
        <v>2011</v>
      </c>
      <c r="C81" s="2" t="s">
        <v>27</v>
      </c>
      <c r="D81" s="3">
        <v>156.1</v>
      </c>
    </row>
    <row r="82" spans="1:4" x14ac:dyDescent="0.2">
      <c r="A82" s="2" t="s">
        <v>19</v>
      </c>
      <c r="B82" s="2">
        <v>2011</v>
      </c>
      <c r="C82" s="2" t="s">
        <v>27</v>
      </c>
      <c r="D82" s="3">
        <v>46.2</v>
      </c>
    </row>
    <row r="83" spans="1:4" x14ac:dyDescent="0.2">
      <c r="A83" s="2" t="s">
        <v>20</v>
      </c>
      <c r="B83" s="2">
        <v>2011</v>
      </c>
      <c r="C83" s="2" t="s">
        <v>27</v>
      </c>
      <c r="D83" s="3">
        <v>119.6</v>
      </c>
    </row>
    <row r="84" spans="1:4" x14ac:dyDescent="0.2">
      <c r="A84" s="2" t="s">
        <v>21</v>
      </c>
      <c r="B84" s="2">
        <v>2011</v>
      </c>
      <c r="C84" s="2" t="s">
        <v>27</v>
      </c>
      <c r="D84" s="3">
        <v>95.4</v>
      </c>
    </row>
    <row r="85" spans="1:4" x14ac:dyDescent="0.2">
      <c r="A85" s="2" t="s">
        <v>22</v>
      </c>
      <c r="B85" s="2">
        <v>2011</v>
      </c>
      <c r="C85" s="2" t="s">
        <v>27</v>
      </c>
      <c r="D85" s="3">
        <v>158.30000000000001</v>
      </c>
    </row>
    <row r="86" spans="1:4" x14ac:dyDescent="0.2">
      <c r="A86" s="2" t="s">
        <v>23</v>
      </c>
      <c r="B86" s="2">
        <v>2011</v>
      </c>
      <c r="C86" s="2" t="s">
        <v>27</v>
      </c>
      <c r="D86" s="3">
        <v>94.7</v>
      </c>
    </row>
    <row r="87" spans="1:4" x14ac:dyDescent="0.2">
      <c r="A87" s="2" t="s">
        <v>24</v>
      </c>
      <c r="B87" s="2">
        <v>2011</v>
      </c>
      <c r="C87" s="2" t="s">
        <v>27</v>
      </c>
      <c r="D87" s="3">
        <v>455.9</v>
      </c>
    </row>
    <row r="88" spans="1:4" x14ac:dyDescent="0.2">
      <c r="A88" s="2" t="s">
        <v>25</v>
      </c>
      <c r="B88" s="2">
        <v>2011</v>
      </c>
      <c r="C88" s="2" t="s">
        <v>27</v>
      </c>
      <c r="D88" s="3">
        <v>181.4</v>
      </c>
    </row>
    <row r="89" spans="1:4" x14ac:dyDescent="0.2">
      <c r="A89" s="2" t="s">
        <v>26</v>
      </c>
      <c r="B89" s="2">
        <v>2011</v>
      </c>
      <c r="C89" s="2" t="s">
        <v>27</v>
      </c>
      <c r="D89" s="3">
        <v>9.1</v>
      </c>
    </row>
    <row r="90" spans="1:4" x14ac:dyDescent="0.2">
      <c r="A90" s="2" t="s">
        <v>4</v>
      </c>
      <c r="B90" s="2">
        <v>1999</v>
      </c>
      <c r="C90" s="2" t="s">
        <v>28</v>
      </c>
      <c r="D90" s="3">
        <v>250.9</v>
      </c>
    </row>
    <row r="91" spans="1:4" x14ac:dyDescent="0.2">
      <c r="A91" s="2" t="s">
        <v>6</v>
      </c>
      <c r="B91" s="2">
        <v>1999</v>
      </c>
      <c r="C91" s="2" t="s">
        <v>28</v>
      </c>
      <c r="D91" s="3">
        <v>54.5</v>
      </c>
    </row>
    <row r="92" spans="1:4" x14ac:dyDescent="0.2">
      <c r="A92" s="2" t="s">
        <v>7</v>
      </c>
      <c r="B92" s="2">
        <v>1999</v>
      </c>
      <c r="C92" s="2" t="s">
        <v>28</v>
      </c>
      <c r="D92" s="3">
        <v>37.1</v>
      </c>
    </row>
    <row r="93" spans="1:4" x14ac:dyDescent="0.2">
      <c r="A93" s="2" t="s">
        <v>8</v>
      </c>
      <c r="B93" s="2">
        <v>1999</v>
      </c>
      <c r="C93" s="2" t="s">
        <v>28</v>
      </c>
      <c r="D93" s="3">
        <v>26.2</v>
      </c>
    </row>
    <row r="94" spans="1:4" x14ac:dyDescent="0.2">
      <c r="A94" s="2" t="s">
        <v>9</v>
      </c>
      <c r="B94" s="2">
        <v>1999</v>
      </c>
      <c r="C94" s="2" t="s">
        <v>28</v>
      </c>
      <c r="D94" s="3">
        <v>31.6</v>
      </c>
    </row>
    <row r="95" spans="1:4" x14ac:dyDescent="0.2">
      <c r="A95" s="2" t="s">
        <v>10</v>
      </c>
      <c r="B95" s="2">
        <v>1999</v>
      </c>
      <c r="C95" s="2" t="s">
        <v>28</v>
      </c>
      <c r="D95" s="3">
        <v>56.5</v>
      </c>
    </row>
    <row r="96" spans="1:4" x14ac:dyDescent="0.2">
      <c r="A96" s="2" t="s">
        <v>11</v>
      </c>
      <c r="B96" s="2">
        <v>1999</v>
      </c>
      <c r="C96" s="2" t="s">
        <v>28</v>
      </c>
      <c r="D96" s="3">
        <v>82.1</v>
      </c>
    </row>
    <row r="97" spans="1:4" x14ac:dyDescent="0.2">
      <c r="A97" s="2" t="s">
        <v>12</v>
      </c>
      <c r="B97" s="2">
        <v>1999</v>
      </c>
      <c r="C97" s="2" t="s">
        <v>28</v>
      </c>
      <c r="D97" s="3">
        <v>44.2</v>
      </c>
    </row>
    <row r="98" spans="1:4" x14ac:dyDescent="0.2">
      <c r="A98" s="2" t="s">
        <v>13</v>
      </c>
      <c r="B98" s="2">
        <v>1999</v>
      </c>
      <c r="C98" s="2" t="s">
        <v>28</v>
      </c>
      <c r="D98" s="3">
        <v>58.4</v>
      </c>
    </row>
    <row r="99" spans="1:4" x14ac:dyDescent="0.2">
      <c r="A99" s="2" t="s">
        <v>14</v>
      </c>
      <c r="B99" s="2">
        <v>1999</v>
      </c>
      <c r="C99" s="2" t="s">
        <v>28</v>
      </c>
      <c r="D99" s="3">
        <v>30.2</v>
      </c>
    </row>
    <row r="100" spans="1:4" x14ac:dyDescent="0.2">
      <c r="A100" s="2" t="s">
        <v>15</v>
      </c>
      <c r="B100" s="2">
        <v>1999</v>
      </c>
      <c r="C100" s="2" t="s">
        <v>28</v>
      </c>
      <c r="D100" s="3">
        <v>66</v>
      </c>
    </row>
    <row r="101" spans="1:4" x14ac:dyDescent="0.2">
      <c r="A101" s="2" t="s">
        <v>16</v>
      </c>
      <c r="B101" s="2">
        <v>1999</v>
      </c>
      <c r="C101" s="2" t="s">
        <v>28</v>
      </c>
      <c r="D101" s="3">
        <v>89.1</v>
      </c>
    </row>
    <row r="102" spans="1:4" x14ac:dyDescent="0.2">
      <c r="A102" s="2" t="s">
        <v>17</v>
      </c>
      <c r="B102" s="2">
        <v>1999</v>
      </c>
      <c r="C102" s="2" t="s">
        <v>28</v>
      </c>
      <c r="D102" s="3">
        <v>75.599999999999994</v>
      </c>
    </row>
    <row r="103" spans="1:4" x14ac:dyDescent="0.2">
      <c r="A103" s="2" t="s">
        <v>18</v>
      </c>
      <c r="B103" s="2">
        <v>1999</v>
      </c>
      <c r="C103" s="2" t="s">
        <v>28</v>
      </c>
      <c r="D103" s="3">
        <v>79.3</v>
      </c>
    </row>
    <row r="104" spans="1:4" x14ac:dyDescent="0.2">
      <c r="A104" s="2" t="s">
        <v>19</v>
      </c>
      <c r="B104" s="2">
        <v>1999</v>
      </c>
      <c r="C104" s="2" t="s">
        <v>28</v>
      </c>
      <c r="D104" s="3">
        <v>16.7</v>
      </c>
    </row>
    <row r="105" spans="1:4" x14ac:dyDescent="0.2">
      <c r="A105" s="2" t="s">
        <v>20</v>
      </c>
      <c r="B105" s="2">
        <v>1999</v>
      </c>
      <c r="C105" s="2" t="s">
        <v>28</v>
      </c>
      <c r="D105" s="3">
        <v>39.9</v>
      </c>
    </row>
    <row r="106" spans="1:4" x14ac:dyDescent="0.2">
      <c r="A106" s="2" t="s">
        <v>21</v>
      </c>
      <c r="B106" s="2">
        <v>1999</v>
      </c>
      <c r="C106" s="2" t="s">
        <v>28</v>
      </c>
      <c r="D106" s="3">
        <v>53.8</v>
      </c>
    </row>
    <row r="107" spans="1:4" x14ac:dyDescent="0.2">
      <c r="A107" s="2" t="s">
        <v>22</v>
      </c>
      <c r="B107" s="2">
        <v>1999</v>
      </c>
      <c r="C107" s="2" t="s">
        <v>28</v>
      </c>
      <c r="D107" s="3">
        <v>60.8</v>
      </c>
    </row>
    <row r="108" spans="1:4" x14ac:dyDescent="0.2">
      <c r="A108" s="2" t="s">
        <v>23</v>
      </c>
      <c r="B108" s="2">
        <v>1999</v>
      </c>
      <c r="C108" s="2" t="s">
        <v>28</v>
      </c>
      <c r="D108" s="3">
        <v>31.2</v>
      </c>
    </row>
    <row r="109" spans="1:4" x14ac:dyDescent="0.2">
      <c r="A109" s="2" t="s">
        <v>24</v>
      </c>
      <c r="B109" s="2">
        <v>1999</v>
      </c>
      <c r="C109" s="2" t="s">
        <v>28</v>
      </c>
      <c r="D109" s="3">
        <v>139.80000000000001</v>
      </c>
    </row>
    <row r="110" spans="1:4" x14ac:dyDescent="0.2">
      <c r="A110" s="2" t="s">
        <v>25</v>
      </c>
      <c r="B110" s="2">
        <v>1999</v>
      </c>
      <c r="C110" s="2" t="s">
        <v>28</v>
      </c>
      <c r="D110" s="3">
        <v>111.1</v>
      </c>
    </row>
    <row r="111" spans="1:4" x14ac:dyDescent="0.2">
      <c r="A111" s="2" t="s">
        <v>26</v>
      </c>
      <c r="B111" s="2">
        <v>1999</v>
      </c>
      <c r="C111" s="2" t="s">
        <v>28</v>
      </c>
      <c r="D111" s="3">
        <v>0</v>
      </c>
    </row>
    <row r="112" spans="1:4" x14ac:dyDescent="0.2">
      <c r="A112" s="2" t="s">
        <v>4</v>
      </c>
      <c r="B112" s="2">
        <v>2011</v>
      </c>
      <c r="C112" s="2" t="s">
        <v>28</v>
      </c>
      <c r="D112" s="3">
        <v>296.8</v>
      </c>
    </row>
    <row r="113" spans="1:4" x14ac:dyDescent="0.2">
      <c r="A113" s="2" t="s">
        <v>6</v>
      </c>
      <c r="B113" s="2">
        <v>2011</v>
      </c>
      <c r="C113" s="2" t="s">
        <v>28</v>
      </c>
      <c r="D113" s="3">
        <v>74.900000000000006</v>
      </c>
    </row>
    <row r="114" spans="1:4" x14ac:dyDescent="0.2">
      <c r="A114" s="2" t="s">
        <v>7</v>
      </c>
      <c r="B114" s="2">
        <v>2011</v>
      </c>
      <c r="C114" s="2" t="s">
        <v>28</v>
      </c>
      <c r="D114" s="3">
        <v>45.1</v>
      </c>
    </row>
    <row r="115" spans="1:4" x14ac:dyDescent="0.2">
      <c r="A115" s="2" t="s">
        <v>8</v>
      </c>
      <c r="B115" s="2">
        <v>2011</v>
      </c>
      <c r="C115" s="2" t="s">
        <v>28</v>
      </c>
      <c r="D115" s="3">
        <v>35.299999999999997</v>
      </c>
    </row>
    <row r="116" spans="1:4" x14ac:dyDescent="0.2">
      <c r="A116" s="2" t="s">
        <v>9</v>
      </c>
      <c r="B116" s="2">
        <v>2011</v>
      </c>
      <c r="C116" s="2" t="s">
        <v>28</v>
      </c>
      <c r="D116" s="3">
        <v>44.9</v>
      </c>
    </row>
    <row r="117" spans="1:4" x14ac:dyDescent="0.2">
      <c r="A117" s="2" t="s">
        <v>10</v>
      </c>
      <c r="B117" s="2">
        <v>2011</v>
      </c>
      <c r="C117" s="2" t="s">
        <v>28</v>
      </c>
      <c r="D117" s="3">
        <v>64.3</v>
      </c>
    </row>
    <row r="118" spans="1:4" x14ac:dyDescent="0.2">
      <c r="A118" s="2" t="s">
        <v>11</v>
      </c>
      <c r="B118" s="2">
        <v>2011</v>
      </c>
      <c r="C118" s="2" t="s">
        <v>28</v>
      </c>
      <c r="D118" s="3">
        <v>111</v>
      </c>
    </row>
    <row r="119" spans="1:4" x14ac:dyDescent="0.2">
      <c r="A119" s="2" t="s">
        <v>12</v>
      </c>
      <c r="B119" s="2">
        <v>2011</v>
      </c>
      <c r="C119" s="2" t="s">
        <v>28</v>
      </c>
      <c r="D119" s="3">
        <v>64.5</v>
      </c>
    </row>
    <row r="120" spans="1:4" x14ac:dyDescent="0.2">
      <c r="A120" s="2" t="s">
        <v>13</v>
      </c>
      <c r="B120" s="2">
        <v>2011</v>
      </c>
      <c r="C120" s="2" t="s">
        <v>28</v>
      </c>
      <c r="D120" s="3">
        <v>64.7</v>
      </c>
    </row>
    <row r="121" spans="1:4" x14ac:dyDescent="0.2">
      <c r="A121" s="2" t="s">
        <v>14</v>
      </c>
      <c r="B121" s="2">
        <v>2011</v>
      </c>
      <c r="C121" s="2" t="s">
        <v>28</v>
      </c>
      <c r="D121" s="3">
        <v>34.799999999999997</v>
      </c>
    </row>
    <row r="122" spans="1:4" x14ac:dyDescent="0.2">
      <c r="A122" s="2" t="s">
        <v>15</v>
      </c>
      <c r="B122" s="2">
        <v>2011</v>
      </c>
      <c r="C122" s="2" t="s">
        <v>28</v>
      </c>
      <c r="D122" s="3">
        <v>73.3</v>
      </c>
    </row>
    <row r="123" spans="1:4" x14ac:dyDescent="0.2">
      <c r="A123" s="2" t="s">
        <v>16</v>
      </c>
      <c r="B123" s="2">
        <v>2011</v>
      </c>
      <c r="C123" s="2" t="s">
        <v>28</v>
      </c>
      <c r="D123" s="3">
        <v>123.9</v>
      </c>
    </row>
    <row r="124" spans="1:4" x14ac:dyDescent="0.2">
      <c r="A124" s="2" t="s">
        <v>17</v>
      </c>
      <c r="B124" s="2">
        <v>2011</v>
      </c>
      <c r="C124" s="2" t="s">
        <v>28</v>
      </c>
      <c r="D124" s="3">
        <v>93.3</v>
      </c>
    </row>
    <row r="125" spans="1:4" x14ac:dyDescent="0.2">
      <c r="A125" s="2" t="s">
        <v>18</v>
      </c>
      <c r="B125" s="2">
        <v>2011</v>
      </c>
      <c r="C125" s="2" t="s">
        <v>28</v>
      </c>
      <c r="D125" s="3">
        <v>112.1</v>
      </c>
    </row>
    <row r="126" spans="1:4" x14ac:dyDescent="0.2">
      <c r="A126" s="2" t="s">
        <v>19</v>
      </c>
      <c r="B126" s="2">
        <v>2011</v>
      </c>
      <c r="C126" s="2" t="s">
        <v>28</v>
      </c>
      <c r="D126" s="3">
        <v>18.899999999999999</v>
      </c>
    </row>
    <row r="127" spans="1:4" x14ac:dyDescent="0.2">
      <c r="A127" s="2" t="s">
        <v>20</v>
      </c>
      <c r="B127" s="2">
        <v>2011</v>
      </c>
      <c r="C127" s="2" t="s">
        <v>28</v>
      </c>
      <c r="D127" s="3">
        <v>55.7</v>
      </c>
    </row>
    <row r="128" spans="1:4" x14ac:dyDescent="0.2">
      <c r="A128" s="2" t="s">
        <v>21</v>
      </c>
      <c r="B128" s="2">
        <v>2011</v>
      </c>
      <c r="C128" s="2" t="s">
        <v>28</v>
      </c>
      <c r="D128" s="3">
        <v>73.400000000000006</v>
      </c>
    </row>
    <row r="129" spans="1:4" x14ac:dyDescent="0.2">
      <c r="A129" s="2" t="s">
        <v>22</v>
      </c>
      <c r="B129" s="2">
        <v>2011</v>
      </c>
      <c r="C129" s="2" t="s">
        <v>28</v>
      </c>
      <c r="D129" s="3">
        <v>82.2</v>
      </c>
    </row>
    <row r="130" spans="1:4" x14ac:dyDescent="0.2">
      <c r="A130" s="2" t="s">
        <v>23</v>
      </c>
      <c r="B130" s="2">
        <v>2011</v>
      </c>
      <c r="C130" s="2" t="s">
        <v>28</v>
      </c>
      <c r="D130" s="3">
        <v>42.6</v>
      </c>
    </row>
    <row r="131" spans="1:4" x14ac:dyDescent="0.2">
      <c r="A131" s="2" t="s">
        <v>24</v>
      </c>
      <c r="B131" s="2">
        <v>2011</v>
      </c>
      <c r="C131" s="2" t="s">
        <v>28</v>
      </c>
      <c r="D131" s="3">
        <v>211.2</v>
      </c>
    </row>
    <row r="132" spans="1:4" x14ac:dyDescent="0.2">
      <c r="A132" s="2" t="s">
        <v>25</v>
      </c>
      <c r="B132" s="2">
        <v>2011</v>
      </c>
      <c r="C132" s="2" t="s">
        <v>28</v>
      </c>
      <c r="D132" s="3">
        <v>149.69999999999999</v>
      </c>
    </row>
    <row r="133" spans="1:4" x14ac:dyDescent="0.2">
      <c r="A133" s="2" t="s">
        <v>26</v>
      </c>
      <c r="B133" s="2">
        <v>2011</v>
      </c>
      <c r="C133" s="2" t="s">
        <v>28</v>
      </c>
      <c r="D133" s="3">
        <v>8.6999999999999993</v>
      </c>
    </row>
    <row r="134" spans="1:4" x14ac:dyDescent="0.2">
      <c r="A134" s="2" t="s">
        <v>4</v>
      </c>
      <c r="B134" s="2">
        <v>1999</v>
      </c>
      <c r="C134" s="2" t="s">
        <v>29</v>
      </c>
      <c r="D134" s="3">
        <v>1179.4000000000001</v>
      </c>
    </row>
    <row r="135" spans="1:4" x14ac:dyDescent="0.2">
      <c r="A135" s="2" t="s">
        <v>6</v>
      </c>
      <c r="B135" s="2">
        <v>1999</v>
      </c>
      <c r="C135" s="2" t="s">
        <v>29</v>
      </c>
      <c r="D135" s="3">
        <v>182.6</v>
      </c>
    </row>
    <row r="136" spans="1:4" x14ac:dyDescent="0.2">
      <c r="A136" s="2" t="s">
        <v>7</v>
      </c>
      <c r="B136" s="2">
        <v>1999</v>
      </c>
      <c r="C136" s="2" t="s">
        <v>29</v>
      </c>
      <c r="D136" s="3">
        <v>137</v>
      </c>
    </row>
    <row r="137" spans="1:4" x14ac:dyDescent="0.2">
      <c r="A137" s="2" t="s">
        <v>8</v>
      </c>
      <c r="B137" s="2">
        <v>1999</v>
      </c>
      <c r="C137" s="2" t="s">
        <v>29</v>
      </c>
      <c r="D137" s="3">
        <v>81.400000000000006</v>
      </c>
    </row>
    <row r="138" spans="1:4" x14ac:dyDescent="0.2">
      <c r="A138" s="2" t="s">
        <v>9</v>
      </c>
      <c r="B138" s="2">
        <v>1999</v>
      </c>
      <c r="C138" s="2" t="s">
        <v>29</v>
      </c>
      <c r="D138" s="3">
        <v>101</v>
      </c>
    </row>
    <row r="139" spans="1:4" x14ac:dyDescent="0.2">
      <c r="A139" s="2" t="s">
        <v>10</v>
      </c>
      <c r="B139" s="2">
        <v>1999</v>
      </c>
      <c r="C139" s="2" t="s">
        <v>29</v>
      </c>
      <c r="D139" s="3">
        <v>157.1</v>
      </c>
    </row>
    <row r="140" spans="1:4" x14ac:dyDescent="0.2">
      <c r="A140" s="2" t="s">
        <v>11</v>
      </c>
      <c r="B140" s="2">
        <v>1999</v>
      </c>
      <c r="C140" s="2" t="s">
        <v>29</v>
      </c>
      <c r="D140" s="3">
        <v>326.60000000000002</v>
      </c>
    </row>
    <row r="141" spans="1:4" x14ac:dyDescent="0.2">
      <c r="A141" s="2" t="s">
        <v>12</v>
      </c>
      <c r="B141" s="2">
        <v>1999</v>
      </c>
      <c r="C141" s="2" t="s">
        <v>29</v>
      </c>
      <c r="D141" s="3">
        <v>155.30000000000001</v>
      </c>
    </row>
    <row r="142" spans="1:4" x14ac:dyDescent="0.2">
      <c r="A142" s="2" t="s">
        <v>13</v>
      </c>
      <c r="B142" s="2">
        <v>1999</v>
      </c>
      <c r="C142" s="2" t="s">
        <v>29</v>
      </c>
      <c r="D142" s="3">
        <v>165.2</v>
      </c>
    </row>
    <row r="143" spans="1:4" x14ac:dyDescent="0.2">
      <c r="A143" s="2" t="s">
        <v>14</v>
      </c>
      <c r="B143" s="2">
        <v>1999</v>
      </c>
      <c r="C143" s="2" t="s">
        <v>29</v>
      </c>
      <c r="D143" s="3">
        <v>101.4</v>
      </c>
    </row>
    <row r="144" spans="1:4" x14ac:dyDescent="0.2">
      <c r="A144" s="2" t="s">
        <v>15</v>
      </c>
      <c r="B144" s="2">
        <v>1999</v>
      </c>
      <c r="C144" s="2" t="s">
        <v>29</v>
      </c>
      <c r="D144" s="3">
        <v>188.2</v>
      </c>
    </row>
    <row r="145" spans="1:4" x14ac:dyDescent="0.2">
      <c r="A145" s="2" t="s">
        <v>16</v>
      </c>
      <c r="B145" s="2">
        <v>1999</v>
      </c>
      <c r="C145" s="2" t="s">
        <v>29</v>
      </c>
      <c r="D145" s="3">
        <v>265.8</v>
      </c>
    </row>
    <row r="146" spans="1:4" x14ac:dyDescent="0.2">
      <c r="A146" s="2" t="s">
        <v>17</v>
      </c>
      <c r="B146" s="2">
        <v>1999</v>
      </c>
      <c r="C146" s="2" t="s">
        <v>29</v>
      </c>
      <c r="D146" s="3">
        <v>242.5</v>
      </c>
    </row>
    <row r="147" spans="1:4" x14ac:dyDescent="0.2">
      <c r="A147" s="2" t="s">
        <v>18</v>
      </c>
      <c r="B147" s="2">
        <v>1999</v>
      </c>
      <c r="C147" s="2" t="s">
        <v>29</v>
      </c>
      <c r="D147" s="3">
        <v>289.8</v>
      </c>
    </row>
    <row r="148" spans="1:4" x14ac:dyDescent="0.2">
      <c r="A148" s="2" t="s">
        <v>19</v>
      </c>
      <c r="B148" s="2">
        <v>1999</v>
      </c>
      <c r="C148" s="2" t="s">
        <v>29</v>
      </c>
      <c r="D148" s="3">
        <v>56.5</v>
      </c>
    </row>
    <row r="149" spans="1:4" x14ac:dyDescent="0.2">
      <c r="A149" s="2" t="s">
        <v>20</v>
      </c>
      <c r="B149" s="2">
        <v>1999</v>
      </c>
      <c r="C149" s="2" t="s">
        <v>29</v>
      </c>
      <c r="D149" s="3">
        <v>124.3</v>
      </c>
    </row>
    <row r="150" spans="1:4" x14ac:dyDescent="0.2">
      <c r="A150" s="2" t="s">
        <v>21</v>
      </c>
      <c r="B150" s="2">
        <v>1999</v>
      </c>
      <c r="C150" s="2" t="s">
        <v>29</v>
      </c>
      <c r="D150" s="3">
        <v>171.6</v>
      </c>
    </row>
    <row r="151" spans="1:4" x14ac:dyDescent="0.2">
      <c r="A151" s="2" t="s">
        <v>22</v>
      </c>
      <c r="B151" s="2">
        <v>1999</v>
      </c>
      <c r="C151" s="2" t="s">
        <v>29</v>
      </c>
      <c r="D151" s="3">
        <v>209.3</v>
      </c>
    </row>
    <row r="152" spans="1:4" x14ac:dyDescent="0.2">
      <c r="A152" s="2" t="s">
        <v>23</v>
      </c>
      <c r="B152" s="2">
        <v>1999</v>
      </c>
      <c r="C152" s="2" t="s">
        <v>29</v>
      </c>
      <c r="D152" s="3">
        <v>98.6</v>
      </c>
    </row>
    <row r="153" spans="1:4" x14ac:dyDescent="0.2">
      <c r="A153" s="2" t="s">
        <v>24</v>
      </c>
      <c r="B153" s="2">
        <v>1999</v>
      </c>
      <c r="C153" s="2" t="s">
        <v>29</v>
      </c>
      <c r="D153" s="3">
        <v>507.2</v>
      </c>
    </row>
    <row r="154" spans="1:4" x14ac:dyDescent="0.2">
      <c r="A154" s="2" t="s">
        <v>25</v>
      </c>
      <c r="B154" s="2">
        <v>1999</v>
      </c>
      <c r="C154" s="2" t="s">
        <v>29</v>
      </c>
      <c r="D154" s="3">
        <v>419.6</v>
      </c>
    </row>
    <row r="155" spans="1:4" x14ac:dyDescent="0.2">
      <c r="A155" s="2" t="s">
        <v>26</v>
      </c>
      <c r="B155" s="2">
        <v>1999</v>
      </c>
      <c r="C155" s="2" t="s">
        <v>29</v>
      </c>
      <c r="D155" s="3">
        <v>19.399999999999999</v>
      </c>
    </row>
    <row r="156" spans="1:4" x14ac:dyDescent="0.2">
      <c r="A156" s="2" t="s">
        <v>4</v>
      </c>
      <c r="B156" s="2">
        <v>2011</v>
      </c>
      <c r="C156" s="2" t="s">
        <v>29</v>
      </c>
      <c r="D156" s="3">
        <v>1467.1</v>
      </c>
    </row>
    <row r="157" spans="1:4" x14ac:dyDescent="0.2">
      <c r="A157" s="2" t="s">
        <v>6</v>
      </c>
      <c r="B157" s="2">
        <v>2011</v>
      </c>
      <c r="C157" s="2" t="s">
        <v>29</v>
      </c>
      <c r="D157" s="3">
        <v>251.1</v>
      </c>
    </row>
    <row r="158" spans="1:4" x14ac:dyDescent="0.2">
      <c r="A158" s="2" t="s">
        <v>7</v>
      </c>
      <c r="B158" s="2">
        <v>2011</v>
      </c>
      <c r="C158" s="2" t="s">
        <v>29</v>
      </c>
      <c r="D158" s="3">
        <v>171.3</v>
      </c>
    </row>
    <row r="159" spans="1:4" x14ac:dyDescent="0.2">
      <c r="A159" s="2" t="s">
        <v>8</v>
      </c>
      <c r="B159" s="2">
        <v>2011</v>
      </c>
      <c r="C159" s="2" t="s">
        <v>29</v>
      </c>
      <c r="D159" s="3">
        <v>83.7</v>
      </c>
    </row>
    <row r="160" spans="1:4" x14ac:dyDescent="0.2">
      <c r="A160" s="2" t="s">
        <v>9</v>
      </c>
      <c r="B160" s="2">
        <v>2011</v>
      </c>
      <c r="C160" s="2" t="s">
        <v>29</v>
      </c>
      <c r="D160" s="3">
        <v>119.6</v>
      </c>
    </row>
    <row r="161" spans="1:4" x14ac:dyDescent="0.2">
      <c r="A161" s="2" t="s">
        <v>10</v>
      </c>
      <c r="B161" s="2">
        <v>2011</v>
      </c>
      <c r="C161" s="2" t="s">
        <v>29</v>
      </c>
      <c r="D161" s="3">
        <v>174.9</v>
      </c>
    </row>
    <row r="162" spans="1:4" x14ac:dyDescent="0.2">
      <c r="A162" s="2" t="s">
        <v>11</v>
      </c>
      <c r="B162" s="2">
        <v>2011</v>
      </c>
      <c r="C162" s="2" t="s">
        <v>29</v>
      </c>
      <c r="D162" s="3">
        <v>369.2</v>
      </c>
    </row>
    <row r="163" spans="1:4" x14ac:dyDescent="0.2">
      <c r="A163" s="2" t="s">
        <v>12</v>
      </c>
      <c r="B163" s="2">
        <v>2011</v>
      </c>
      <c r="C163" s="2" t="s">
        <v>29</v>
      </c>
      <c r="D163" s="3">
        <v>200.6</v>
      </c>
    </row>
    <row r="164" spans="1:4" x14ac:dyDescent="0.2">
      <c r="A164" s="2" t="s">
        <v>13</v>
      </c>
      <c r="B164" s="2">
        <v>2011</v>
      </c>
      <c r="C164" s="2" t="s">
        <v>29</v>
      </c>
      <c r="D164" s="3">
        <v>201.10000000000002</v>
      </c>
    </row>
    <row r="165" spans="1:4" x14ac:dyDescent="0.2">
      <c r="A165" s="2" t="s">
        <v>14</v>
      </c>
      <c r="B165" s="2">
        <v>2011</v>
      </c>
      <c r="C165" s="2" t="s">
        <v>29</v>
      </c>
      <c r="D165" s="3">
        <v>92.4</v>
      </c>
    </row>
    <row r="166" spans="1:4" x14ac:dyDescent="0.2">
      <c r="A166" s="2" t="s">
        <v>15</v>
      </c>
      <c r="B166" s="2">
        <v>2011</v>
      </c>
      <c r="C166" s="2" t="s">
        <v>29</v>
      </c>
      <c r="D166" s="3">
        <v>220.6</v>
      </c>
    </row>
    <row r="167" spans="1:4" x14ac:dyDescent="0.2">
      <c r="A167" s="2" t="s">
        <v>16</v>
      </c>
      <c r="B167" s="2">
        <v>2011</v>
      </c>
      <c r="C167" s="2" t="s">
        <v>29</v>
      </c>
      <c r="D167" s="3">
        <v>306.5</v>
      </c>
    </row>
    <row r="168" spans="1:4" x14ac:dyDescent="0.2">
      <c r="A168" s="2" t="s">
        <v>17</v>
      </c>
      <c r="B168" s="2">
        <v>2011</v>
      </c>
      <c r="C168" s="2" t="s">
        <v>29</v>
      </c>
      <c r="D168" s="3">
        <v>291.60000000000002</v>
      </c>
    </row>
    <row r="169" spans="1:4" x14ac:dyDescent="0.2">
      <c r="A169" s="2" t="s">
        <v>18</v>
      </c>
      <c r="B169" s="2">
        <v>2011</v>
      </c>
      <c r="C169" s="2" t="s">
        <v>29</v>
      </c>
      <c r="D169" s="3">
        <v>320.3</v>
      </c>
    </row>
    <row r="170" spans="1:4" x14ac:dyDescent="0.2">
      <c r="A170" s="2" t="s">
        <v>19</v>
      </c>
      <c r="B170" s="2">
        <v>2011</v>
      </c>
      <c r="C170" s="2" t="s">
        <v>29</v>
      </c>
      <c r="D170" s="3">
        <v>67.900000000000006</v>
      </c>
    </row>
    <row r="171" spans="1:4" x14ac:dyDescent="0.2">
      <c r="A171" s="2" t="s">
        <v>20</v>
      </c>
      <c r="B171" s="2">
        <v>2011</v>
      </c>
      <c r="C171" s="2" t="s">
        <v>29</v>
      </c>
      <c r="D171" s="3">
        <v>141</v>
      </c>
    </row>
    <row r="172" spans="1:4" x14ac:dyDescent="0.2">
      <c r="A172" s="2" t="s">
        <v>21</v>
      </c>
      <c r="B172" s="2">
        <v>2011</v>
      </c>
      <c r="C172" s="2" t="s">
        <v>29</v>
      </c>
      <c r="D172" s="3">
        <v>225.4</v>
      </c>
    </row>
    <row r="173" spans="1:4" x14ac:dyDescent="0.2">
      <c r="A173" s="2" t="s">
        <v>22</v>
      </c>
      <c r="B173" s="2">
        <v>2011</v>
      </c>
      <c r="C173" s="2" t="s">
        <v>29</v>
      </c>
      <c r="D173" s="3">
        <v>290.10000000000002</v>
      </c>
    </row>
    <row r="174" spans="1:4" x14ac:dyDescent="0.2">
      <c r="A174" s="2" t="s">
        <v>23</v>
      </c>
      <c r="B174" s="2">
        <v>2011</v>
      </c>
      <c r="C174" s="2" t="s">
        <v>29</v>
      </c>
      <c r="D174" s="3">
        <v>108.5</v>
      </c>
    </row>
    <row r="175" spans="1:4" x14ac:dyDescent="0.2">
      <c r="A175" s="2" t="s">
        <v>24</v>
      </c>
      <c r="B175" s="2">
        <v>2011</v>
      </c>
      <c r="C175" s="2" t="s">
        <v>29</v>
      </c>
      <c r="D175" s="3">
        <v>631.20000000000005</v>
      </c>
    </row>
    <row r="176" spans="1:4" x14ac:dyDescent="0.2">
      <c r="A176" s="2" t="s">
        <v>25</v>
      </c>
      <c r="B176" s="2">
        <v>2011</v>
      </c>
      <c r="C176" s="2" t="s">
        <v>29</v>
      </c>
      <c r="D176" s="3">
        <v>501.7</v>
      </c>
    </row>
    <row r="177" spans="1:4" x14ac:dyDescent="0.2">
      <c r="A177" s="2" t="s">
        <v>26</v>
      </c>
      <c r="B177" s="2">
        <v>2011</v>
      </c>
      <c r="C177" s="2" t="s">
        <v>29</v>
      </c>
      <c r="D177" s="3">
        <v>19.899999999999999</v>
      </c>
    </row>
    <row r="178" spans="1:4" x14ac:dyDescent="0.2">
      <c r="A178" s="2" t="s">
        <v>4</v>
      </c>
      <c r="B178" s="2">
        <v>1999</v>
      </c>
      <c r="C178" s="2" t="s">
        <v>30</v>
      </c>
      <c r="D178" s="3">
        <v>1074.9000000000001</v>
      </c>
    </row>
    <row r="179" spans="1:4" x14ac:dyDescent="0.2">
      <c r="A179" s="2" t="s">
        <v>6</v>
      </c>
      <c r="B179" s="2">
        <v>1999</v>
      </c>
      <c r="C179" s="2" t="s">
        <v>30</v>
      </c>
      <c r="D179" s="3">
        <v>92.4</v>
      </c>
    </row>
    <row r="180" spans="1:4" x14ac:dyDescent="0.2">
      <c r="A180" s="2" t="s">
        <v>7</v>
      </c>
      <c r="B180" s="2">
        <v>1999</v>
      </c>
      <c r="C180" s="2" t="s">
        <v>30</v>
      </c>
      <c r="D180" s="3">
        <v>42</v>
      </c>
    </row>
    <row r="181" spans="1:4" x14ac:dyDescent="0.2">
      <c r="A181" s="2" t="s">
        <v>8</v>
      </c>
      <c r="B181" s="2">
        <v>1999</v>
      </c>
      <c r="C181" s="2" t="s">
        <v>30</v>
      </c>
      <c r="D181" s="3">
        <v>29.5</v>
      </c>
    </row>
    <row r="182" spans="1:4" x14ac:dyDescent="0.2">
      <c r="A182" s="2" t="s">
        <v>9</v>
      </c>
      <c r="B182" s="2">
        <v>1999</v>
      </c>
      <c r="C182" s="2" t="s">
        <v>30</v>
      </c>
      <c r="D182" s="3">
        <v>47.6</v>
      </c>
    </row>
    <row r="183" spans="1:4" x14ac:dyDescent="0.2">
      <c r="A183" s="2" t="s">
        <v>10</v>
      </c>
      <c r="B183" s="2">
        <v>1999</v>
      </c>
      <c r="C183" s="2" t="s">
        <v>30</v>
      </c>
      <c r="D183" s="3">
        <v>67.8</v>
      </c>
    </row>
    <row r="184" spans="1:4" x14ac:dyDescent="0.2">
      <c r="A184" s="2" t="s">
        <v>11</v>
      </c>
      <c r="B184" s="2">
        <v>1999</v>
      </c>
      <c r="C184" s="2" t="s">
        <v>30</v>
      </c>
      <c r="D184" s="3">
        <v>125.1</v>
      </c>
    </row>
    <row r="185" spans="1:4" x14ac:dyDescent="0.2">
      <c r="A185" s="2" t="s">
        <v>12</v>
      </c>
      <c r="B185" s="2">
        <v>1999</v>
      </c>
      <c r="C185" s="2" t="s">
        <v>30</v>
      </c>
      <c r="D185" s="3">
        <v>54.9</v>
      </c>
    </row>
    <row r="186" spans="1:4" x14ac:dyDescent="0.2">
      <c r="A186" s="2" t="s">
        <v>13</v>
      </c>
      <c r="B186" s="2">
        <v>1999</v>
      </c>
      <c r="C186" s="2" t="s">
        <v>30</v>
      </c>
      <c r="D186" s="3">
        <v>74</v>
      </c>
    </row>
    <row r="187" spans="1:4" x14ac:dyDescent="0.2">
      <c r="A187" s="2" t="s">
        <v>14</v>
      </c>
      <c r="B187" s="2">
        <v>1999</v>
      </c>
      <c r="C187" s="2" t="s">
        <v>30</v>
      </c>
      <c r="D187" s="3">
        <v>39.4</v>
      </c>
    </row>
    <row r="188" spans="1:4" x14ac:dyDescent="0.2">
      <c r="A188" s="2" t="s">
        <v>15</v>
      </c>
      <c r="B188" s="2">
        <v>1999</v>
      </c>
      <c r="C188" s="2" t="s">
        <v>30</v>
      </c>
      <c r="D188" s="3">
        <v>75.7</v>
      </c>
    </row>
    <row r="189" spans="1:4" x14ac:dyDescent="0.2">
      <c r="A189" s="2" t="s">
        <v>16</v>
      </c>
      <c r="B189" s="2">
        <v>1999</v>
      </c>
      <c r="C189" s="2" t="s">
        <v>30</v>
      </c>
      <c r="D189" s="3">
        <v>109.4</v>
      </c>
    </row>
    <row r="190" spans="1:4" x14ac:dyDescent="0.2">
      <c r="A190" s="2" t="s">
        <v>17</v>
      </c>
      <c r="B190" s="2">
        <v>1999</v>
      </c>
      <c r="C190" s="2" t="s">
        <v>30</v>
      </c>
      <c r="D190" s="3">
        <v>95.3</v>
      </c>
    </row>
    <row r="191" spans="1:4" x14ac:dyDescent="0.2">
      <c r="A191" s="2" t="s">
        <v>18</v>
      </c>
      <c r="B191" s="2">
        <v>1999</v>
      </c>
      <c r="C191" s="2" t="s">
        <v>30</v>
      </c>
      <c r="D191" s="3">
        <v>117.3</v>
      </c>
    </row>
    <row r="192" spans="1:4" x14ac:dyDescent="0.2">
      <c r="A192" s="2" t="s">
        <v>19</v>
      </c>
      <c r="B192" s="2">
        <v>1999</v>
      </c>
      <c r="C192" s="2" t="s">
        <v>30</v>
      </c>
      <c r="D192" s="3">
        <v>16</v>
      </c>
    </row>
    <row r="193" spans="1:4" x14ac:dyDescent="0.2">
      <c r="A193" s="2" t="s">
        <v>20</v>
      </c>
      <c r="B193" s="2">
        <v>1999</v>
      </c>
      <c r="C193" s="2" t="s">
        <v>30</v>
      </c>
      <c r="D193" s="3">
        <v>53</v>
      </c>
    </row>
    <row r="194" spans="1:4" x14ac:dyDescent="0.2">
      <c r="A194" s="2" t="s">
        <v>21</v>
      </c>
      <c r="B194" s="2">
        <v>1999</v>
      </c>
      <c r="C194" s="2" t="s">
        <v>30</v>
      </c>
      <c r="D194" s="3">
        <v>74.599999999999994</v>
      </c>
    </row>
    <row r="195" spans="1:4" x14ac:dyDescent="0.2">
      <c r="A195" s="2" t="s">
        <v>22</v>
      </c>
      <c r="B195" s="2">
        <v>1999</v>
      </c>
      <c r="C195" s="2" t="s">
        <v>30</v>
      </c>
      <c r="D195" s="3">
        <v>101.5</v>
      </c>
    </row>
    <row r="196" spans="1:4" x14ac:dyDescent="0.2">
      <c r="A196" s="2" t="s">
        <v>23</v>
      </c>
      <c r="B196" s="2">
        <v>1999</v>
      </c>
      <c r="C196" s="2" t="s">
        <v>30</v>
      </c>
      <c r="D196" s="3">
        <v>35.5</v>
      </c>
    </row>
    <row r="197" spans="1:4" x14ac:dyDescent="0.2">
      <c r="A197" s="2" t="s">
        <v>24</v>
      </c>
      <c r="B197" s="2">
        <v>1999</v>
      </c>
      <c r="C197" s="2" t="s">
        <v>30</v>
      </c>
      <c r="D197" s="3">
        <v>269.8</v>
      </c>
    </row>
    <row r="198" spans="1:4" x14ac:dyDescent="0.2">
      <c r="A198" s="2" t="s">
        <v>25</v>
      </c>
      <c r="B198" s="2">
        <v>1999</v>
      </c>
      <c r="C198" s="2" t="s">
        <v>30</v>
      </c>
      <c r="D198" s="3">
        <v>174</v>
      </c>
    </row>
    <row r="199" spans="1:4" x14ac:dyDescent="0.2">
      <c r="A199" s="2" t="s">
        <v>26</v>
      </c>
      <c r="B199" s="2">
        <v>1999</v>
      </c>
      <c r="C199" s="2" t="s">
        <v>30</v>
      </c>
      <c r="D199" s="3">
        <v>0</v>
      </c>
    </row>
    <row r="200" spans="1:4" x14ac:dyDescent="0.2">
      <c r="A200" s="2" t="s">
        <v>4</v>
      </c>
      <c r="B200" s="2">
        <v>2011</v>
      </c>
      <c r="C200" s="2" t="s">
        <v>30</v>
      </c>
      <c r="D200" s="3">
        <v>1099.3</v>
      </c>
    </row>
    <row r="201" spans="1:4" x14ac:dyDescent="0.2">
      <c r="A201" s="2" t="s">
        <v>6</v>
      </c>
      <c r="B201" s="2">
        <v>2011</v>
      </c>
      <c r="C201" s="2" t="s">
        <v>30</v>
      </c>
      <c r="D201" s="3">
        <v>118.5</v>
      </c>
    </row>
    <row r="202" spans="1:4" x14ac:dyDescent="0.2">
      <c r="A202" s="2" t="s">
        <v>7</v>
      </c>
      <c r="B202" s="2">
        <v>2011</v>
      </c>
      <c r="C202" s="2" t="s">
        <v>30</v>
      </c>
      <c r="D202" s="3">
        <v>57.6</v>
      </c>
    </row>
    <row r="203" spans="1:4" x14ac:dyDescent="0.2">
      <c r="A203" s="2" t="s">
        <v>8</v>
      </c>
      <c r="B203" s="2">
        <v>2011</v>
      </c>
      <c r="C203" s="2" t="s">
        <v>30</v>
      </c>
      <c r="D203" s="3">
        <v>27.5</v>
      </c>
    </row>
    <row r="204" spans="1:4" x14ac:dyDescent="0.2">
      <c r="A204" s="2" t="s">
        <v>9</v>
      </c>
      <c r="B204" s="2">
        <v>2011</v>
      </c>
      <c r="C204" s="2" t="s">
        <v>30</v>
      </c>
      <c r="D204" s="3">
        <v>49.900000000000006</v>
      </c>
    </row>
    <row r="205" spans="1:4" x14ac:dyDescent="0.2">
      <c r="A205" s="2" t="s">
        <v>10</v>
      </c>
      <c r="B205" s="2">
        <v>2011</v>
      </c>
      <c r="C205" s="2" t="s">
        <v>30</v>
      </c>
      <c r="D205" s="3">
        <v>73</v>
      </c>
    </row>
    <row r="206" spans="1:4" x14ac:dyDescent="0.2">
      <c r="A206" s="2" t="s">
        <v>11</v>
      </c>
      <c r="B206" s="2">
        <v>2011</v>
      </c>
      <c r="C206" s="2" t="s">
        <v>30</v>
      </c>
      <c r="D206" s="3">
        <v>172.4</v>
      </c>
    </row>
    <row r="207" spans="1:4" x14ac:dyDescent="0.2">
      <c r="A207" s="2" t="s">
        <v>12</v>
      </c>
      <c r="B207" s="2">
        <v>2011</v>
      </c>
      <c r="C207" s="2" t="s">
        <v>30</v>
      </c>
      <c r="D207" s="3">
        <v>79.599999999999994</v>
      </c>
    </row>
    <row r="208" spans="1:4" x14ac:dyDescent="0.2">
      <c r="A208" s="2" t="s">
        <v>13</v>
      </c>
      <c r="B208" s="2">
        <v>2011</v>
      </c>
      <c r="C208" s="2" t="s">
        <v>30</v>
      </c>
      <c r="D208" s="3">
        <v>97.5</v>
      </c>
    </row>
    <row r="209" spans="1:4" x14ac:dyDescent="0.2">
      <c r="A209" s="2" t="s">
        <v>14</v>
      </c>
      <c r="B209" s="2">
        <v>2011</v>
      </c>
      <c r="C209" s="2" t="s">
        <v>30</v>
      </c>
      <c r="D209" s="3">
        <v>50.1</v>
      </c>
    </row>
    <row r="210" spans="1:4" x14ac:dyDescent="0.2">
      <c r="A210" s="2" t="s">
        <v>15</v>
      </c>
      <c r="B210" s="2">
        <v>2011</v>
      </c>
      <c r="C210" s="2" t="s">
        <v>30</v>
      </c>
      <c r="D210" s="3">
        <v>104.5</v>
      </c>
    </row>
    <row r="211" spans="1:4" x14ac:dyDescent="0.2">
      <c r="A211" s="2" t="s">
        <v>16</v>
      </c>
      <c r="B211" s="2">
        <v>2011</v>
      </c>
      <c r="C211" s="2" t="s">
        <v>30</v>
      </c>
      <c r="D211" s="3">
        <v>173.3</v>
      </c>
    </row>
    <row r="212" spans="1:4" x14ac:dyDescent="0.2">
      <c r="A212" s="2" t="s">
        <v>17</v>
      </c>
      <c r="B212" s="2">
        <v>2011</v>
      </c>
      <c r="C212" s="2" t="s">
        <v>30</v>
      </c>
      <c r="D212" s="3">
        <v>132.6</v>
      </c>
    </row>
    <row r="213" spans="1:4" x14ac:dyDescent="0.2">
      <c r="A213" s="2" t="s">
        <v>18</v>
      </c>
      <c r="B213" s="2">
        <v>2011</v>
      </c>
      <c r="C213" s="2" t="s">
        <v>30</v>
      </c>
      <c r="D213" s="3">
        <v>147.69999999999999</v>
      </c>
    </row>
    <row r="214" spans="1:4" x14ac:dyDescent="0.2">
      <c r="A214" s="2" t="s">
        <v>19</v>
      </c>
      <c r="B214" s="2">
        <v>2011</v>
      </c>
      <c r="C214" s="2" t="s">
        <v>30</v>
      </c>
      <c r="D214" s="3">
        <v>21.6</v>
      </c>
    </row>
    <row r="215" spans="1:4" x14ac:dyDescent="0.2">
      <c r="A215" s="2" t="s">
        <v>20</v>
      </c>
      <c r="B215" s="2">
        <v>2011</v>
      </c>
      <c r="C215" s="2" t="s">
        <v>30</v>
      </c>
      <c r="D215" s="3">
        <v>94</v>
      </c>
    </row>
    <row r="216" spans="1:4" x14ac:dyDescent="0.2">
      <c r="A216" s="2" t="s">
        <v>21</v>
      </c>
      <c r="B216" s="2">
        <v>2011</v>
      </c>
      <c r="C216" s="2" t="s">
        <v>30</v>
      </c>
      <c r="D216" s="3">
        <v>106.1</v>
      </c>
    </row>
    <row r="217" spans="1:4" x14ac:dyDescent="0.2">
      <c r="A217" s="2" t="s">
        <v>22</v>
      </c>
      <c r="B217" s="2">
        <v>2011</v>
      </c>
      <c r="C217" s="2" t="s">
        <v>30</v>
      </c>
      <c r="D217" s="3">
        <v>180.1</v>
      </c>
    </row>
    <row r="218" spans="1:4" x14ac:dyDescent="0.2">
      <c r="A218" s="2" t="s">
        <v>23</v>
      </c>
      <c r="B218" s="2">
        <v>2011</v>
      </c>
      <c r="C218" s="2" t="s">
        <v>30</v>
      </c>
      <c r="D218" s="3">
        <v>39.299999999999997</v>
      </c>
    </row>
    <row r="219" spans="1:4" x14ac:dyDescent="0.2">
      <c r="A219" s="2" t="s">
        <v>24</v>
      </c>
      <c r="B219" s="2">
        <v>2011</v>
      </c>
      <c r="C219" s="2" t="s">
        <v>30</v>
      </c>
      <c r="D219" s="3">
        <v>347.5</v>
      </c>
    </row>
    <row r="220" spans="1:4" x14ac:dyDescent="0.2">
      <c r="A220" s="2" t="s">
        <v>25</v>
      </c>
      <c r="B220" s="2">
        <v>2011</v>
      </c>
      <c r="C220" s="2" t="s">
        <v>30</v>
      </c>
      <c r="D220" s="3">
        <v>265.79999999999995</v>
      </c>
    </row>
    <row r="221" spans="1:4" x14ac:dyDescent="0.2">
      <c r="A221" s="2" t="s">
        <v>26</v>
      </c>
      <c r="B221" s="2">
        <v>2011</v>
      </c>
      <c r="C221" s="2" t="s">
        <v>30</v>
      </c>
      <c r="D221" s="3">
        <v>8.1</v>
      </c>
    </row>
    <row r="222" spans="1:4" x14ac:dyDescent="0.2">
      <c r="A222" s="2" t="s">
        <v>4</v>
      </c>
      <c r="B222" s="2">
        <v>1999</v>
      </c>
      <c r="C222" s="2" t="s">
        <v>31</v>
      </c>
      <c r="D222" s="3">
        <v>1601.9</v>
      </c>
    </row>
    <row r="223" spans="1:4" x14ac:dyDescent="0.2">
      <c r="A223" s="2" t="s">
        <v>6</v>
      </c>
      <c r="B223" s="2">
        <v>1999</v>
      </c>
      <c r="C223" s="2" t="s">
        <v>31</v>
      </c>
      <c r="D223" s="3">
        <v>302.2</v>
      </c>
    </row>
    <row r="224" spans="1:4" x14ac:dyDescent="0.2">
      <c r="A224" s="2" t="s">
        <v>7</v>
      </c>
      <c r="B224" s="2">
        <v>1999</v>
      </c>
      <c r="C224" s="2" t="s">
        <v>31</v>
      </c>
      <c r="D224" s="3">
        <v>215.1</v>
      </c>
    </row>
    <row r="225" spans="1:4" x14ac:dyDescent="0.2">
      <c r="A225" s="2" t="s">
        <v>8</v>
      </c>
      <c r="B225" s="2">
        <v>1999</v>
      </c>
      <c r="C225" s="2" t="s">
        <v>31</v>
      </c>
      <c r="D225" s="3">
        <v>141.6</v>
      </c>
    </row>
    <row r="226" spans="1:4" x14ac:dyDescent="0.2">
      <c r="A226" s="2" t="s">
        <v>9</v>
      </c>
      <c r="B226" s="2">
        <v>1999</v>
      </c>
      <c r="C226" s="2" t="s">
        <v>31</v>
      </c>
      <c r="D226" s="3">
        <v>172.7</v>
      </c>
    </row>
    <row r="227" spans="1:4" x14ac:dyDescent="0.2">
      <c r="A227" s="2" t="s">
        <v>10</v>
      </c>
      <c r="B227" s="2">
        <v>1999</v>
      </c>
      <c r="C227" s="2" t="s">
        <v>31</v>
      </c>
      <c r="D227" s="3">
        <v>235.1</v>
      </c>
    </row>
    <row r="228" spans="1:4" x14ac:dyDescent="0.2">
      <c r="A228" s="2" t="s">
        <v>11</v>
      </c>
      <c r="B228" s="2">
        <v>1999</v>
      </c>
      <c r="C228" s="2" t="s">
        <v>31</v>
      </c>
      <c r="D228" s="3">
        <v>458.9</v>
      </c>
    </row>
    <row r="229" spans="1:4" x14ac:dyDescent="0.2">
      <c r="A229" s="2" t="s">
        <v>12</v>
      </c>
      <c r="B229" s="2">
        <v>1999</v>
      </c>
      <c r="C229" s="2" t="s">
        <v>31</v>
      </c>
      <c r="D229" s="3">
        <v>212.3</v>
      </c>
    </row>
    <row r="230" spans="1:4" x14ac:dyDescent="0.2">
      <c r="A230" s="2" t="s">
        <v>13</v>
      </c>
      <c r="B230" s="2">
        <v>1999</v>
      </c>
      <c r="C230" s="2" t="s">
        <v>31</v>
      </c>
      <c r="D230" s="3">
        <v>212.7</v>
      </c>
    </row>
    <row r="231" spans="1:4" x14ac:dyDescent="0.2">
      <c r="A231" s="2" t="s">
        <v>14</v>
      </c>
      <c r="B231" s="2">
        <v>1999</v>
      </c>
      <c r="C231" s="2" t="s">
        <v>31</v>
      </c>
      <c r="D231" s="3">
        <v>157.69999999999999</v>
      </c>
    </row>
    <row r="232" spans="1:4" x14ac:dyDescent="0.2">
      <c r="A232" s="2" t="s">
        <v>15</v>
      </c>
      <c r="B232" s="2">
        <v>1999</v>
      </c>
      <c r="C232" s="2" t="s">
        <v>31</v>
      </c>
      <c r="D232" s="3">
        <v>294.7</v>
      </c>
    </row>
    <row r="233" spans="1:4" x14ac:dyDescent="0.2">
      <c r="A233" s="2" t="s">
        <v>16</v>
      </c>
      <c r="B233" s="2">
        <v>1999</v>
      </c>
      <c r="C233" s="2" t="s">
        <v>31</v>
      </c>
      <c r="D233" s="3">
        <v>409.5</v>
      </c>
    </row>
    <row r="234" spans="1:4" x14ac:dyDescent="0.2">
      <c r="A234" s="2" t="s">
        <v>17</v>
      </c>
      <c r="B234" s="2">
        <v>1999</v>
      </c>
      <c r="C234" s="2" t="s">
        <v>31</v>
      </c>
      <c r="D234" s="3">
        <v>421.1</v>
      </c>
    </row>
    <row r="235" spans="1:4" x14ac:dyDescent="0.2">
      <c r="A235" s="2" t="s">
        <v>18</v>
      </c>
      <c r="B235" s="2">
        <v>1999</v>
      </c>
      <c r="C235" s="2" t="s">
        <v>31</v>
      </c>
      <c r="D235" s="3">
        <v>398.2</v>
      </c>
    </row>
    <row r="236" spans="1:4" x14ac:dyDescent="0.2">
      <c r="A236" s="2" t="s">
        <v>19</v>
      </c>
      <c r="B236" s="2">
        <v>1999</v>
      </c>
      <c r="C236" s="2" t="s">
        <v>31</v>
      </c>
      <c r="D236" s="3">
        <v>88</v>
      </c>
    </row>
    <row r="237" spans="1:4" x14ac:dyDescent="0.2">
      <c r="A237" s="2" t="s">
        <v>20</v>
      </c>
      <c r="B237" s="2">
        <v>1999</v>
      </c>
      <c r="C237" s="2" t="s">
        <v>31</v>
      </c>
      <c r="D237" s="3">
        <v>222.8</v>
      </c>
    </row>
    <row r="238" spans="1:4" x14ac:dyDescent="0.2">
      <c r="A238" s="2" t="s">
        <v>21</v>
      </c>
      <c r="B238" s="2">
        <v>1999</v>
      </c>
      <c r="C238" s="2" t="s">
        <v>31</v>
      </c>
      <c r="D238" s="3">
        <v>265.10000000000002</v>
      </c>
    </row>
    <row r="239" spans="1:4" x14ac:dyDescent="0.2">
      <c r="A239" s="2" t="s">
        <v>22</v>
      </c>
      <c r="B239" s="2">
        <v>1999</v>
      </c>
      <c r="C239" s="2" t="s">
        <v>31</v>
      </c>
      <c r="D239" s="3">
        <v>338.9</v>
      </c>
    </row>
    <row r="240" spans="1:4" x14ac:dyDescent="0.2">
      <c r="A240" s="2" t="s">
        <v>23</v>
      </c>
      <c r="B240" s="2">
        <v>1999</v>
      </c>
      <c r="C240" s="2" t="s">
        <v>31</v>
      </c>
      <c r="D240" s="3">
        <v>169</v>
      </c>
    </row>
    <row r="241" spans="1:4" x14ac:dyDescent="0.2">
      <c r="A241" s="2" t="s">
        <v>24</v>
      </c>
      <c r="B241" s="2">
        <v>1999</v>
      </c>
      <c r="C241" s="2" t="s">
        <v>31</v>
      </c>
      <c r="D241" s="3">
        <v>696.4</v>
      </c>
    </row>
    <row r="242" spans="1:4" x14ac:dyDescent="0.2">
      <c r="A242" s="2" t="s">
        <v>25</v>
      </c>
      <c r="B242" s="2">
        <v>1999</v>
      </c>
      <c r="C242" s="2" t="s">
        <v>31</v>
      </c>
      <c r="D242" s="3">
        <v>574.4</v>
      </c>
    </row>
    <row r="243" spans="1:4" x14ac:dyDescent="0.2">
      <c r="A243" s="2" t="s">
        <v>26</v>
      </c>
      <c r="B243" s="2">
        <v>1999</v>
      </c>
      <c r="C243" s="2" t="s">
        <v>31</v>
      </c>
      <c r="D243" s="3">
        <v>29.1</v>
      </c>
    </row>
    <row r="244" spans="1:4" x14ac:dyDescent="0.2">
      <c r="A244" s="2" t="s">
        <v>4</v>
      </c>
      <c r="B244" s="2">
        <v>2011</v>
      </c>
      <c r="C244" s="2" t="s">
        <v>31</v>
      </c>
      <c r="D244" s="3">
        <v>1744.1</v>
      </c>
    </row>
    <row r="245" spans="1:4" x14ac:dyDescent="0.2">
      <c r="A245" s="2" t="s">
        <v>6</v>
      </c>
      <c r="B245" s="2">
        <v>2011</v>
      </c>
      <c r="C245" s="2" t="s">
        <v>31</v>
      </c>
      <c r="D245" s="3">
        <v>368.4</v>
      </c>
    </row>
    <row r="246" spans="1:4" x14ac:dyDescent="0.2">
      <c r="A246" s="2" t="s">
        <v>7</v>
      </c>
      <c r="B246" s="2">
        <v>2011</v>
      </c>
      <c r="C246" s="2" t="s">
        <v>31</v>
      </c>
      <c r="D246" s="3">
        <v>239</v>
      </c>
    </row>
    <row r="247" spans="1:4" x14ac:dyDescent="0.2">
      <c r="A247" s="2" t="s">
        <v>8</v>
      </c>
      <c r="B247" s="2">
        <v>2011</v>
      </c>
      <c r="C247" s="2" t="s">
        <v>31</v>
      </c>
      <c r="D247" s="3">
        <v>173.5</v>
      </c>
    </row>
    <row r="248" spans="1:4" x14ac:dyDescent="0.2">
      <c r="A248" s="2" t="s">
        <v>9</v>
      </c>
      <c r="B248" s="2">
        <v>2011</v>
      </c>
      <c r="C248" s="2" t="s">
        <v>31</v>
      </c>
      <c r="D248" s="3">
        <v>214.9</v>
      </c>
    </row>
    <row r="249" spans="1:4" x14ac:dyDescent="0.2">
      <c r="A249" s="2" t="s">
        <v>10</v>
      </c>
      <c r="B249" s="2">
        <v>2011</v>
      </c>
      <c r="C249" s="2" t="s">
        <v>31</v>
      </c>
      <c r="D249" s="3">
        <v>267</v>
      </c>
    </row>
    <row r="250" spans="1:4" x14ac:dyDescent="0.2">
      <c r="A250" s="2" t="s">
        <v>11</v>
      </c>
      <c r="B250" s="2">
        <v>2011</v>
      </c>
      <c r="C250" s="2" t="s">
        <v>31</v>
      </c>
      <c r="D250" s="3">
        <v>571.6</v>
      </c>
    </row>
    <row r="251" spans="1:4" x14ac:dyDescent="0.2">
      <c r="A251" s="2" t="s">
        <v>12</v>
      </c>
      <c r="B251" s="2">
        <v>2011</v>
      </c>
      <c r="C251" s="2" t="s">
        <v>31</v>
      </c>
      <c r="D251" s="3">
        <v>261.7</v>
      </c>
    </row>
    <row r="252" spans="1:4" x14ac:dyDescent="0.2">
      <c r="A252" s="2" t="s">
        <v>13</v>
      </c>
      <c r="B252" s="2">
        <v>2011</v>
      </c>
      <c r="C252" s="2" t="s">
        <v>31</v>
      </c>
      <c r="D252" s="3">
        <v>284.89999999999998</v>
      </c>
    </row>
    <row r="253" spans="1:4" x14ac:dyDescent="0.2">
      <c r="A253" s="2" t="s">
        <v>14</v>
      </c>
      <c r="B253" s="2">
        <v>2011</v>
      </c>
      <c r="C253" s="2" t="s">
        <v>31</v>
      </c>
      <c r="D253" s="3">
        <v>193</v>
      </c>
    </row>
    <row r="254" spans="1:4" x14ac:dyDescent="0.2">
      <c r="A254" s="2" t="s">
        <v>15</v>
      </c>
      <c r="B254" s="2">
        <v>2011</v>
      </c>
      <c r="C254" s="2" t="s">
        <v>31</v>
      </c>
      <c r="D254" s="3">
        <v>345.9</v>
      </c>
    </row>
    <row r="255" spans="1:4" x14ac:dyDescent="0.2">
      <c r="A255" s="2" t="s">
        <v>16</v>
      </c>
      <c r="B255" s="2">
        <v>2011</v>
      </c>
      <c r="C255" s="2" t="s">
        <v>31</v>
      </c>
      <c r="D255" s="3">
        <v>526.9</v>
      </c>
    </row>
    <row r="256" spans="1:4" x14ac:dyDescent="0.2">
      <c r="A256" s="2" t="s">
        <v>17</v>
      </c>
      <c r="B256" s="2">
        <v>2011</v>
      </c>
      <c r="C256" s="2" t="s">
        <v>31</v>
      </c>
      <c r="D256" s="3">
        <v>490.6</v>
      </c>
    </row>
    <row r="257" spans="1:4" x14ac:dyDescent="0.2">
      <c r="A257" s="2" t="s">
        <v>18</v>
      </c>
      <c r="B257" s="2">
        <v>2011</v>
      </c>
      <c r="C257" s="2" t="s">
        <v>31</v>
      </c>
      <c r="D257" s="3">
        <v>495.4</v>
      </c>
    </row>
    <row r="258" spans="1:4" x14ac:dyDescent="0.2">
      <c r="A258" s="2" t="s">
        <v>19</v>
      </c>
      <c r="B258" s="2">
        <v>2011</v>
      </c>
      <c r="C258" s="2" t="s">
        <v>31</v>
      </c>
      <c r="D258" s="3">
        <v>120.3</v>
      </c>
    </row>
    <row r="259" spans="1:4" x14ac:dyDescent="0.2">
      <c r="A259" s="2" t="s">
        <v>20</v>
      </c>
      <c r="B259" s="2">
        <v>2011</v>
      </c>
      <c r="C259" s="2" t="s">
        <v>31</v>
      </c>
      <c r="D259" s="3">
        <v>260.3</v>
      </c>
    </row>
    <row r="260" spans="1:4" x14ac:dyDescent="0.2">
      <c r="A260" s="2" t="s">
        <v>21</v>
      </c>
      <c r="B260" s="2">
        <v>2011</v>
      </c>
      <c r="C260" s="2" t="s">
        <v>31</v>
      </c>
      <c r="D260" s="3">
        <v>420.4</v>
      </c>
    </row>
    <row r="261" spans="1:4" x14ac:dyDescent="0.2">
      <c r="A261" s="2" t="s">
        <v>22</v>
      </c>
      <c r="B261" s="2">
        <v>2011</v>
      </c>
      <c r="C261" s="2" t="s">
        <v>31</v>
      </c>
      <c r="D261" s="3">
        <v>453.6</v>
      </c>
    </row>
    <row r="262" spans="1:4" x14ac:dyDescent="0.2">
      <c r="A262" s="2" t="s">
        <v>23</v>
      </c>
      <c r="B262" s="2">
        <v>2011</v>
      </c>
      <c r="C262" s="2" t="s">
        <v>31</v>
      </c>
      <c r="D262" s="3">
        <v>200.60000000000002</v>
      </c>
    </row>
    <row r="263" spans="1:4" x14ac:dyDescent="0.2">
      <c r="A263" s="2" t="s">
        <v>24</v>
      </c>
      <c r="B263" s="2">
        <v>2011</v>
      </c>
      <c r="C263" s="2" t="s">
        <v>31</v>
      </c>
      <c r="D263" s="3">
        <v>885.09999999999991</v>
      </c>
    </row>
    <row r="264" spans="1:4" x14ac:dyDescent="0.2">
      <c r="A264" s="2" t="s">
        <v>25</v>
      </c>
      <c r="B264" s="2">
        <v>2011</v>
      </c>
      <c r="C264" s="2" t="s">
        <v>31</v>
      </c>
      <c r="D264" s="3">
        <v>762.7</v>
      </c>
    </row>
    <row r="265" spans="1:4" x14ac:dyDescent="0.2">
      <c r="A265" s="2" t="s">
        <v>26</v>
      </c>
      <c r="B265" s="2">
        <v>2011</v>
      </c>
      <c r="C265" s="2" t="s">
        <v>31</v>
      </c>
      <c r="D265" s="3">
        <v>33.299999999999997</v>
      </c>
    </row>
    <row r="266" spans="1:4" x14ac:dyDescent="0.2">
      <c r="A266" s="2" t="s">
        <v>4</v>
      </c>
      <c r="B266" s="2">
        <v>2012</v>
      </c>
      <c r="C266" s="2" t="s">
        <v>5</v>
      </c>
      <c r="D266" s="3">
        <v>8.6</v>
      </c>
    </row>
    <row r="267" spans="1:4" x14ac:dyDescent="0.2">
      <c r="A267" s="2" t="s">
        <v>6</v>
      </c>
      <c r="B267" s="2">
        <v>2012</v>
      </c>
      <c r="C267" s="2" t="s">
        <v>5</v>
      </c>
      <c r="D267" s="3">
        <v>39.9</v>
      </c>
    </row>
    <row r="268" spans="1:4" x14ac:dyDescent="0.2">
      <c r="A268" s="2" t="s">
        <v>7</v>
      </c>
      <c r="B268" s="2">
        <v>2012</v>
      </c>
      <c r="C268" s="2" t="s">
        <v>5</v>
      </c>
      <c r="D268" s="3">
        <v>36.4</v>
      </c>
    </row>
    <row r="269" spans="1:4" x14ac:dyDescent="0.2">
      <c r="A269" s="2" t="s">
        <v>8</v>
      </c>
      <c r="B269" s="2">
        <v>2012</v>
      </c>
      <c r="C269" s="2" t="s">
        <v>5</v>
      </c>
      <c r="D269" s="3">
        <v>15.8</v>
      </c>
    </row>
    <row r="270" spans="1:4" x14ac:dyDescent="0.2">
      <c r="A270" s="2" t="s">
        <v>9</v>
      </c>
      <c r="B270" s="2">
        <v>2012</v>
      </c>
      <c r="C270" s="2" t="s">
        <v>5</v>
      </c>
      <c r="D270" s="3">
        <v>31.8</v>
      </c>
    </row>
    <row r="271" spans="1:4" x14ac:dyDescent="0.2">
      <c r="A271" s="2" t="s">
        <v>10</v>
      </c>
      <c r="B271" s="2">
        <v>2012</v>
      </c>
      <c r="C271" s="2" t="s">
        <v>5</v>
      </c>
      <c r="D271" s="3">
        <v>10.8</v>
      </c>
    </row>
    <row r="272" spans="1:4" x14ac:dyDescent="0.2">
      <c r="A272" s="2" t="s">
        <v>11</v>
      </c>
      <c r="B272" s="2">
        <v>2012</v>
      </c>
      <c r="C272" s="2" t="s">
        <v>5</v>
      </c>
      <c r="D272" s="3">
        <v>16.100000000000001</v>
      </c>
    </row>
    <row r="273" spans="1:4" x14ac:dyDescent="0.2">
      <c r="A273" s="2" t="s">
        <v>12</v>
      </c>
      <c r="B273" s="2">
        <v>2012</v>
      </c>
      <c r="C273" s="2" t="s">
        <v>5</v>
      </c>
      <c r="D273" s="3">
        <v>22.5</v>
      </c>
    </row>
    <row r="274" spans="1:4" x14ac:dyDescent="0.2">
      <c r="A274" s="2" t="s">
        <v>13</v>
      </c>
      <c r="B274" s="2">
        <v>2012</v>
      </c>
      <c r="C274" s="2" t="s">
        <v>5</v>
      </c>
      <c r="D274" s="3">
        <v>7.3</v>
      </c>
    </row>
    <row r="275" spans="1:4" x14ac:dyDescent="0.2">
      <c r="A275" s="2" t="s">
        <v>14</v>
      </c>
      <c r="B275" s="2">
        <v>2012</v>
      </c>
      <c r="C275" s="2" t="s">
        <v>5</v>
      </c>
      <c r="D275" s="3">
        <v>29</v>
      </c>
    </row>
    <row r="276" spans="1:4" x14ac:dyDescent="0.2">
      <c r="A276" s="2" t="s">
        <v>15</v>
      </c>
      <c r="B276" s="2">
        <v>2012</v>
      </c>
      <c r="C276" s="2" t="s">
        <v>5</v>
      </c>
      <c r="D276" s="3">
        <v>17.600000000000001</v>
      </c>
    </row>
    <row r="277" spans="1:4" x14ac:dyDescent="0.2">
      <c r="A277" s="2" t="s">
        <v>16</v>
      </c>
      <c r="B277" s="2">
        <v>2012</v>
      </c>
      <c r="C277" s="2" t="s">
        <v>5</v>
      </c>
      <c r="D277" s="3">
        <v>60.3</v>
      </c>
    </row>
    <row r="278" spans="1:4" x14ac:dyDescent="0.2">
      <c r="A278" s="2" t="s">
        <v>17</v>
      </c>
      <c r="B278" s="2">
        <v>2012</v>
      </c>
      <c r="C278" s="2" t="s">
        <v>5</v>
      </c>
      <c r="D278" s="3">
        <v>76.900000000000006</v>
      </c>
    </row>
    <row r="279" spans="1:4" x14ac:dyDescent="0.2">
      <c r="A279" s="2" t="s">
        <v>18</v>
      </c>
      <c r="B279" s="2">
        <v>2012</v>
      </c>
      <c r="C279" s="2" t="s">
        <v>5</v>
      </c>
      <c r="D279" s="3">
        <v>52.2</v>
      </c>
    </row>
    <row r="280" spans="1:4" x14ac:dyDescent="0.2">
      <c r="A280" s="2" t="s">
        <v>19</v>
      </c>
      <c r="B280" s="2">
        <v>2012</v>
      </c>
      <c r="C280" s="2" t="s">
        <v>5</v>
      </c>
      <c r="D280" s="3">
        <v>16</v>
      </c>
    </row>
    <row r="281" spans="1:4" x14ac:dyDescent="0.2">
      <c r="A281" s="2" t="s">
        <v>20</v>
      </c>
      <c r="B281" s="2">
        <v>2012</v>
      </c>
      <c r="C281" s="2" t="s">
        <v>5</v>
      </c>
      <c r="D281" s="3">
        <v>32.700000000000003</v>
      </c>
    </row>
    <row r="282" spans="1:4" x14ac:dyDescent="0.2">
      <c r="A282" s="2" t="s">
        <v>21</v>
      </c>
      <c r="B282" s="2">
        <v>2012</v>
      </c>
      <c r="C282" s="2" t="s">
        <v>5</v>
      </c>
      <c r="D282" s="3">
        <v>33.9</v>
      </c>
    </row>
    <row r="283" spans="1:4" x14ac:dyDescent="0.2">
      <c r="A283" s="2" t="s">
        <v>22</v>
      </c>
      <c r="B283" s="2">
        <v>2012</v>
      </c>
      <c r="C283" s="2" t="s">
        <v>5</v>
      </c>
      <c r="D283" s="3">
        <v>60.5</v>
      </c>
    </row>
    <row r="284" spans="1:4" x14ac:dyDescent="0.2">
      <c r="A284" s="2" t="s">
        <v>23</v>
      </c>
      <c r="B284" s="2">
        <v>2012</v>
      </c>
      <c r="C284" s="2" t="s">
        <v>5</v>
      </c>
      <c r="D284" s="3">
        <v>38.6</v>
      </c>
    </row>
    <row r="285" spans="1:4" x14ac:dyDescent="0.2">
      <c r="A285" s="2" t="s">
        <v>24</v>
      </c>
      <c r="B285" s="2">
        <v>2012</v>
      </c>
      <c r="C285" s="2" t="s">
        <v>5</v>
      </c>
      <c r="D285" s="3">
        <v>71.5</v>
      </c>
    </row>
    <row r="286" spans="1:4" x14ac:dyDescent="0.2">
      <c r="A286" s="2" t="s">
        <v>25</v>
      </c>
      <c r="B286" s="2">
        <v>2012</v>
      </c>
      <c r="C286" s="2" t="s">
        <v>5</v>
      </c>
      <c r="D286" s="3">
        <v>42.8</v>
      </c>
    </row>
    <row r="287" spans="1:4" x14ac:dyDescent="0.2">
      <c r="A287" s="2" t="s">
        <v>26</v>
      </c>
      <c r="B287" s="2">
        <v>2012</v>
      </c>
      <c r="C287" s="2" t="s">
        <v>5</v>
      </c>
      <c r="D287" s="3">
        <v>0</v>
      </c>
    </row>
    <row r="288" spans="1:4" x14ac:dyDescent="0.2">
      <c r="A288" s="2" t="s">
        <v>4</v>
      </c>
      <c r="B288" s="2">
        <v>2019</v>
      </c>
      <c r="C288" s="2" t="s">
        <v>5</v>
      </c>
      <c r="D288" s="3">
        <v>14.5</v>
      </c>
    </row>
    <row r="289" spans="1:4" x14ac:dyDescent="0.2">
      <c r="A289" s="2" t="s">
        <v>6</v>
      </c>
      <c r="B289" s="2">
        <v>2019</v>
      </c>
      <c r="C289" s="2" t="s">
        <v>5</v>
      </c>
      <c r="D289" s="3">
        <v>26.5</v>
      </c>
    </row>
    <row r="290" spans="1:4" x14ac:dyDescent="0.2">
      <c r="A290" s="2" t="s">
        <v>7</v>
      </c>
      <c r="B290" s="2">
        <v>2019</v>
      </c>
      <c r="C290" s="2" t="s">
        <v>5</v>
      </c>
      <c r="D290" s="3">
        <v>22.8</v>
      </c>
    </row>
    <row r="291" spans="1:4" x14ac:dyDescent="0.2">
      <c r="A291" s="2" t="s">
        <v>8</v>
      </c>
      <c r="B291" s="2">
        <v>2019</v>
      </c>
      <c r="C291" s="2" t="s">
        <v>5</v>
      </c>
      <c r="D291" s="3">
        <v>12</v>
      </c>
    </row>
    <row r="292" spans="1:4" x14ac:dyDescent="0.2">
      <c r="A292" s="2" t="s">
        <v>9</v>
      </c>
      <c r="B292" s="2">
        <v>2019</v>
      </c>
      <c r="C292" s="2" t="s">
        <v>5</v>
      </c>
      <c r="D292" s="3">
        <v>36.9</v>
      </c>
    </row>
    <row r="293" spans="1:4" x14ac:dyDescent="0.2">
      <c r="A293" s="2" t="s">
        <v>10</v>
      </c>
      <c r="B293" s="2">
        <v>2019</v>
      </c>
      <c r="C293" s="2" t="s">
        <v>5</v>
      </c>
      <c r="D293" s="3">
        <v>19.100000000000001</v>
      </c>
    </row>
    <row r="294" spans="1:4" x14ac:dyDescent="0.2">
      <c r="A294" s="2" t="s">
        <v>11</v>
      </c>
      <c r="B294" s="2">
        <v>2019</v>
      </c>
      <c r="C294" s="2" t="s">
        <v>5</v>
      </c>
      <c r="D294" s="3">
        <v>17.399999999999999</v>
      </c>
    </row>
    <row r="295" spans="1:4" x14ac:dyDescent="0.2">
      <c r="A295" s="2" t="s">
        <v>12</v>
      </c>
      <c r="B295" s="2">
        <v>2019</v>
      </c>
      <c r="C295" s="2" t="s">
        <v>5</v>
      </c>
      <c r="D295" s="3">
        <v>21.1</v>
      </c>
    </row>
    <row r="296" spans="1:4" x14ac:dyDescent="0.2">
      <c r="A296" s="2" t="s">
        <v>13</v>
      </c>
      <c r="B296" s="2">
        <v>2019</v>
      </c>
      <c r="C296" s="2" t="s">
        <v>5</v>
      </c>
      <c r="D296" s="3">
        <v>12.3</v>
      </c>
    </row>
    <row r="297" spans="1:4" x14ac:dyDescent="0.2">
      <c r="A297" s="2" t="s">
        <v>14</v>
      </c>
      <c r="B297" s="2">
        <v>2019</v>
      </c>
      <c r="C297" s="2" t="s">
        <v>5</v>
      </c>
      <c r="D297" s="3">
        <v>30.5</v>
      </c>
    </row>
    <row r="298" spans="1:4" x14ac:dyDescent="0.2">
      <c r="A298" s="2" t="s">
        <v>15</v>
      </c>
      <c r="B298" s="2">
        <v>2019</v>
      </c>
      <c r="C298" s="2" t="s">
        <v>5</v>
      </c>
      <c r="D298" s="3">
        <v>11.3</v>
      </c>
    </row>
    <row r="299" spans="1:4" x14ac:dyDescent="0.2">
      <c r="A299" s="2" t="s">
        <v>16</v>
      </c>
      <c r="B299" s="2">
        <v>2019</v>
      </c>
      <c r="C299" s="2" t="s">
        <v>5</v>
      </c>
      <c r="D299" s="3">
        <v>46.5</v>
      </c>
    </row>
    <row r="300" spans="1:4" x14ac:dyDescent="0.2">
      <c r="A300" s="2" t="s">
        <v>17</v>
      </c>
      <c r="B300" s="2">
        <v>2019</v>
      </c>
      <c r="C300" s="2" t="s">
        <v>5</v>
      </c>
      <c r="D300" s="3">
        <v>59.2</v>
      </c>
    </row>
    <row r="301" spans="1:4" x14ac:dyDescent="0.2">
      <c r="A301" s="2" t="s">
        <v>18</v>
      </c>
      <c r="B301" s="2">
        <v>2019</v>
      </c>
      <c r="C301" s="2" t="s">
        <v>5</v>
      </c>
      <c r="D301" s="3">
        <v>63.3</v>
      </c>
    </row>
    <row r="302" spans="1:4" x14ac:dyDescent="0.2">
      <c r="A302" s="2" t="s">
        <v>19</v>
      </c>
      <c r="B302" s="2">
        <v>2019</v>
      </c>
      <c r="C302" s="2" t="s">
        <v>5</v>
      </c>
      <c r="D302" s="3">
        <v>14.3</v>
      </c>
    </row>
    <row r="303" spans="1:4" x14ac:dyDescent="0.2">
      <c r="A303" s="2" t="s">
        <v>20</v>
      </c>
      <c r="B303" s="2">
        <v>2019</v>
      </c>
      <c r="C303" s="2" t="s">
        <v>5</v>
      </c>
      <c r="D303" s="3">
        <v>35</v>
      </c>
    </row>
    <row r="304" spans="1:4" x14ac:dyDescent="0.2">
      <c r="A304" s="2" t="s">
        <v>21</v>
      </c>
      <c r="B304" s="2">
        <v>2019</v>
      </c>
      <c r="C304" s="2" t="s">
        <v>5</v>
      </c>
      <c r="D304" s="3">
        <v>37</v>
      </c>
    </row>
    <row r="305" spans="1:4" x14ac:dyDescent="0.2">
      <c r="A305" s="2" t="s">
        <v>22</v>
      </c>
      <c r="B305" s="2">
        <v>2019</v>
      </c>
      <c r="C305" s="2" t="s">
        <v>5</v>
      </c>
      <c r="D305" s="3">
        <v>30.5</v>
      </c>
    </row>
    <row r="306" spans="1:4" x14ac:dyDescent="0.2">
      <c r="A306" s="2" t="s">
        <v>23</v>
      </c>
      <c r="B306" s="2">
        <v>2019</v>
      </c>
      <c r="C306" s="2" t="s">
        <v>5</v>
      </c>
      <c r="D306" s="3">
        <v>28</v>
      </c>
    </row>
    <row r="307" spans="1:4" x14ac:dyDescent="0.2">
      <c r="A307" s="2" t="s">
        <v>24</v>
      </c>
      <c r="B307" s="2">
        <v>2019</v>
      </c>
      <c r="C307" s="2" t="s">
        <v>5</v>
      </c>
      <c r="D307" s="3">
        <v>55.6</v>
      </c>
    </row>
    <row r="308" spans="1:4" x14ac:dyDescent="0.2">
      <c r="A308" s="2" t="s">
        <v>25</v>
      </c>
      <c r="B308" s="2">
        <v>2019</v>
      </c>
      <c r="C308" s="2" t="s">
        <v>5</v>
      </c>
      <c r="D308" s="3">
        <v>24.6</v>
      </c>
    </row>
    <row r="309" spans="1:4" x14ac:dyDescent="0.2">
      <c r="A309" s="2" t="s">
        <v>26</v>
      </c>
      <c r="B309" s="2">
        <v>2019</v>
      </c>
      <c r="C309" s="2" t="s">
        <v>5</v>
      </c>
      <c r="D309" s="3">
        <v>0</v>
      </c>
    </row>
    <row r="310" spans="1:4" x14ac:dyDescent="0.2">
      <c r="A310" s="2" t="s">
        <v>4</v>
      </c>
      <c r="B310" s="2">
        <v>2012</v>
      </c>
      <c r="C310" s="2" t="s">
        <v>27</v>
      </c>
      <c r="D310" s="3">
        <v>470.5</v>
      </c>
    </row>
    <row r="311" spans="1:4" x14ac:dyDescent="0.2">
      <c r="A311" s="2" t="s">
        <v>6</v>
      </c>
      <c r="B311" s="2">
        <v>2012</v>
      </c>
      <c r="C311" s="2" t="s">
        <v>27</v>
      </c>
      <c r="D311" s="3">
        <v>174.9</v>
      </c>
    </row>
    <row r="312" spans="1:4" x14ac:dyDescent="0.2">
      <c r="A312" s="2" t="s">
        <v>7</v>
      </c>
      <c r="B312" s="2">
        <v>2012</v>
      </c>
      <c r="C312" s="2" t="s">
        <v>27</v>
      </c>
      <c r="D312" s="3">
        <v>104.4</v>
      </c>
    </row>
    <row r="313" spans="1:4" x14ac:dyDescent="0.2">
      <c r="A313" s="2" t="s">
        <v>8</v>
      </c>
      <c r="B313" s="2">
        <v>2012</v>
      </c>
      <c r="C313" s="2" t="s">
        <v>27</v>
      </c>
      <c r="D313" s="3">
        <v>128.4</v>
      </c>
    </row>
    <row r="314" spans="1:4" x14ac:dyDescent="0.2">
      <c r="A314" s="2" t="s">
        <v>9</v>
      </c>
      <c r="B314" s="2">
        <v>2012</v>
      </c>
      <c r="C314" s="2" t="s">
        <v>27</v>
      </c>
      <c r="D314" s="3">
        <v>90.8</v>
      </c>
    </row>
    <row r="315" spans="1:4" x14ac:dyDescent="0.2">
      <c r="A315" s="2" t="s">
        <v>10</v>
      </c>
      <c r="B315" s="2">
        <v>2012</v>
      </c>
      <c r="C315" s="2" t="s">
        <v>27</v>
      </c>
      <c r="D315" s="3">
        <v>148.4</v>
      </c>
    </row>
    <row r="316" spans="1:4" x14ac:dyDescent="0.2">
      <c r="A316" s="2" t="s">
        <v>11</v>
      </c>
      <c r="B316" s="2">
        <v>2012</v>
      </c>
      <c r="C316" s="2" t="s">
        <v>27</v>
      </c>
      <c r="D316" s="3">
        <v>253.4</v>
      </c>
    </row>
    <row r="317" spans="1:4" x14ac:dyDescent="0.2">
      <c r="A317" s="2" t="s">
        <v>12</v>
      </c>
      <c r="B317" s="2">
        <v>2012</v>
      </c>
      <c r="C317" s="2" t="s">
        <v>27</v>
      </c>
      <c r="D317" s="3">
        <v>129.6</v>
      </c>
    </row>
    <row r="318" spans="1:4" x14ac:dyDescent="0.2">
      <c r="A318" s="2" t="s">
        <v>13</v>
      </c>
      <c r="B318" s="2">
        <v>2012</v>
      </c>
      <c r="C318" s="2" t="s">
        <v>27</v>
      </c>
      <c r="D318" s="3">
        <v>172.7</v>
      </c>
    </row>
    <row r="319" spans="1:4" x14ac:dyDescent="0.2">
      <c r="A319" s="2" t="s">
        <v>14</v>
      </c>
      <c r="B319" s="2">
        <v>2012</v>
      </c>
      <c r="C319" s="2" t="s">
        <v>27</v>
      </c>
      <c r="D319" s="3">
        <v>97.3</v>
      </c>
    </row>
    <row r="320" spans="1:4" x14ac:dyDescent="0.2">
      <c r="A320" s="2" t="s">
        <v>15</v>
      </c>
      <c r="B320" s="2">
        <v>2012</v>
      </c>
      <c r="C320" s="2" t="s">
        <v>27</v>
      </c>
      <c r="D320" s="3">
        <v>158.80000000000001</v>
      </c>
    </row>
    <row r="321" spans="1:4" x14ac:dyDescent="0.2">
      <c r="A321" s="2" t="s">
        <v>16</v>
      </c>
      <c r="B321" s="2">
        <v>2012</v>
      </c>
      <c r="C321" s="2" t="s">
        <v>27</v>
      </c>
      <c r="D321" s="3">
        <v>284.5</v>
      </c>
    </row>
    <row r="322" spans="1:4" x14ac:dyDescent="0.2">
      <c r="A322" s="2" t="s">
        <v>17</v>
      </c>
      <c r="B322" s="2">
        <v>2012</v>
      </c>
      <c r="C322" s="2" t="s">
        <v>27</v>
      </c>
      <c r="D322" s="3">
        <v>192</v>
      </c>
    </row>
    <row r="323" spans="1:4" x14ac:dyDescent="0.2">
      <c r="A323" s="2" t="s">
        <v>18</v>
      </c>
      <c r="B323" s="2">
        <v>2012</v>
      </c>
      <c r="C323" s="2" t="s">
        <v>27</v>
      </c>
      <c r="D323" s="3">
        <v>144.9</v>
      </c>
    </row>
    <row r="324" spans="1:4" x14ac:dyDescent="0.2">
      <c r="A324" s="2" t="s">
        <v>19</v>
      </c>
      <c r="B324" s="2">
        <v>2012</v>
      </c>
      <c r="C324" s="2" t="s">
        <v>27</v>
      </c>
      <c r="D324" s="3">
        <v>40.6</v>
      </c>
    </row>
    <row r="325" spans="1:4" x14ac:dyDescent="0.2">
      <c r="A325" s="2" t="s">
        <v>20</v>
      </c>
      <c r="B325" s="2">
        <v>2012</v>
      </c>
      <c r="C325" s="2" t="s">
        <v>27</v>
      </c>
      <c r="D325" s="3">
        <v>129.6</v>
      </c>
    </row>
    <row r="326" spans="1:4" x14ac:dyDescent="0.2">
      <c r="A326" s="2" t="s">
        <v>21</v>
      </c>
      <c r="B326" s="2">
        <v>2012</v>
      </c>
      <c r="C326" s="2" t="s">
        <v>27</v>
      </c>
      <c r="D326" s="3">
        <v>86</v>
      </c>
    </row>
    <row r="327" spans="1:4" x14ac:dyDescent="0.2">
      <c r="A327" s="2" t="s">
        <v>22</v>
      </c>
      <c r="B327" s="2">
        <v>2012</v>
      </c>
      <c r="C327" s="2" t="s">
        <v>27</v>
      </c>
      <c r="D327" s="3">
        <v>164.8</v>
      </c>
    </row>
    <row r="328" spans="1:4" x14ac:dyDescent="0.2">
      <c r="A328" s="2" t="s">
        <v>23</v>
      </c>
      <c r="B328" s="2">
        <v>2012</v>
      </c>
      <c r="C328" s="2" t="s">
        <v>27</v>
      </c>
      <c r="D328" s="3">
        <v>95.5</v>
      </c>
    </row>
    <row r="329" spans="1:4" x14ac:dyDescent="0.2">
      <c r="A329" s="2" t="s">
        <v>24</v>
      </c>
      <c r="B329" s="2">
        <v>2012</v>
      </c>
      <c r="C329" s="2" t="s">
        <v>27</v>
      </c>
      <c r="D329" s="3">
        <v>446.7</v>
      </c>
    </row>
    <row r="330" spans="1:4" x14ac:dyDescent="0.2">
      <c r="A330" s="2" t="s">
        <v>25</v>
      </c>
      <c r="B330" s="2">
        <v>2012</v>
      </c>
      <c r="C330" s="2" t="s">
        <v>27</v>
      </c>
      <c r="D330" s="3">
        <v>191.7</v>
      </c>
    </row>
    <row r="331" spans="1:4" x14ac:dyDescent="0.2">
      <c r="A331" s="2" t="s">
        <v>26</v>
      </c>
      <c r="B331" s="2">
        <v>2012</v>
      </c>
      <c r="C331" s="2" t="s">
        <v>27</v>
      </c>
      <c r="D331" s="3">
        <v>10.9</v>
      </c>
    </row>
    <row r="332" spans="1:4" x14ac:dyDescent="0.2">
      <c r="A332" s="2" t="s">
        <v>4</v>
      </c>
      <c r="B332" s="2">
        <v>2019</v>
      </c>
      <c r="C332" s="2" t="s">
        <v>27</v>
      </c>
      <c r="D332" s="3">
        <v>391.2</v>
      </c>
    </row>
    <row r="333" spans="1:4" x14ac:dyDescent="0.2">
      <c r="A333" s="2" t="s">
        <v>6</v>
      </c>
      <c r="B333" s="2">
        <v>2019</v>
      </c>
      <c r="C333" s="2" t="s">
        <v>27</v>
      </c>
      <c r="D333" s="3">
        <v>163.69999999999999</v>
      </c>
    </row>
    <row r="334" spans="1:4" x14ac:dyDescent="0.2">
      <c r="A334" s="2" t="s">
        <v>7</v>
      </c>
      <c r="B334" s="2">
        <v>2019</v>
      </c>
      <c r="C334" s="2" t="s">
        <v>27</v>
      </c>
      <c r="D334" s="3">
        <v>106.2</v>
      </c>
    </row>
    <row r="335" spans="1:4" x14ac:dyDescent="0.2">
      <c r="A335" s="2" t="s">
        <v>8</v>
      </c>
      <c r="B335" s="2">
        <v>2019</v>
      </c>
      <c r="C335" s="2" t="s">
        <v>27</v>
      </c>
      <c r="D335" s="3">
        <v>124</v>
      </c>
    </row>
    <row r="336" spans="1:4" x14ac:dyDescent="0.2">
      <c r="A336" s="2" t="s">
        <v>9</v>
      </c>
      <c r="B336" s="2">
        <v>2019</v>
      </c>
      <c r="C336" s="2" t="s">
        <v>27</v>
      </c>
      <c r="D336" s="3">
        <v>111.2</v>
      </c>
    </row>
    <row r="337" spans="1:4" x14ac:dyDescent="0.2">
      <c r="A337" s="2" t="s">
        <v>10</v>
      </c>
      <c r="B337" s="2">
        <v>2019</v>
      </c>
      <c r="C337" s="2" t="s">
        <v>27</v>
      </c>
      <c r="D337" s="3">
        <v>121.7</v>
      </c>
    </row>
    <row r="338" spans="1:4" x14ac:dyDescent="0.2">
      <c r="A338" s="2" t="s">
        <v>11</v>
      </c>
      <c r="B338" s="2">
        <v>2019</v>
      </c>
      <c r="C338" s="2" t="s">
        <v>27</v>
      </c>
      <c r="D338" s="3">
        <v>227.2</v>
      </c>
    </row>
    <row r="339" spans="1:4" x14ac:dyDescent="0.2">
      <c r="A339" s="2" t="s">
        <v>12</v>
      </c>
      <c r="B339" s="2">
        <v>2019</v>
      </c>
      <c r="C339" s="2" t="s">
        <v>27</v>
      </c>
      <c r="D339" s="3">
        <v>102.5</v>
      </c>
    </row>
    <row r="340" spans="1:4" x14ac:dyDescent="0.2">
      <c r="A340" s="2" t="s">
        <v>13</v>
      </c>
      <c r="B340" s="2">
        <v>2019</v>
      </c>
      <c r="C340" s="2" t="s">
        <v>27</v>
      </c>
      <c r="D340" s="3">
        <v>160.6</v>
      </c>
    </row>
    <row r="341" spans="1:4" x14ac:dyDescent="0.2">
      <c r="A341" s="2" t="s">
        <v>14</v>
      </c>
      <c r="B341" s="2">
        <v>2019</v>
      </c>
      <c r="C341" s="2" t="s">
        <v>27</v>
      </c>
      <c r="D341" s="3">
        <v>83.6</v>
      </c>
    </row>
    <row r="342" spans="1:4" x14ac:dyDescent="0.2">
      <c r="A342" s="2" t="s">
        <v>15</v>
      </c>
      <c r="B342" s="2">
        <v>2019</v>
      </c>
      <c r="C342" s="2" t="s">
        <v>27</v>
      </c>
      <c r="D342" s="3">
        <v>145.9</v>
      </c>
    </row>
    <row r="343" spans="1:4" x14ac:dyDescent="0.2">
      <c r="A343" s="2" t="s">
        <v>16</v>
      </c>
      <c r="B343" s="2">
        <v>2019</v>
      </c>
      <c r="C343" s="2" t="s">
        <v>27</v>
      </c>
      <c r="D343" s="3">
        <v>283.89999999999998</v>
      </c>
    </row>
    <row r="344" spans="1:4" x14ac:dyDescent="0.2">
      <c r="A344" s="2" t="s">
        <v>17</v>
      </c>
      <c r="B344" s="2">
        <v>2019</v>
      </c>
      <c r="C344" s="2" t="s">
        <v>27</v>
      </c>
      <c r="D344" s="3">
        <v>210.3</v>
      </c>
    </row>
    <row r="345" spans="1:4" x14ac:dyDescent="0.2">
      <c r="A345" s="2" t="s">
        <v>18</v>
      </c>
      <c r="B345" s="2">
        <v>2019</v>
      </c>
      <c r="C345" s="2" t="s">
        <v>27</v>
      </c>
      <c r="D345" s="3">
        <v>151.19999999999999</v>
      </c>
    </row>
    <row r="346" spans="1:4" x14ac:dyDescent="0.2">
      <c r="A346" s="2" t="s">
        <v>19</v>
      </c>
      <c r="B346" s="2">
        <v>2019</v>
      </c>
      <c r="C346" s="2" t="s">
        <v>27</v>
      </c>
      <c r="D346" s="3">
        <v>34.9</v>
      </c>
    </row>
    <row r="347" spans="1:4" x14ac:dyDescent="0.2">
      <c r="A347" s="2" t="s">
        <v>20</v>
      </c>
      <c r="B347" s="2">
        <v>2019</v>
      </c>
      <c r="C347" s="2" t="s">
        <v>27</v>
      </c>
      <c r="D347" s="3">
        <v>116.5</v>
      </c>
    </row>
    <row r="348" spans="1:4" x14ac:dyDescent="0.2">
      <c r="A348" s="2" t="s">
        <v>21</v>
      </c>
      <c r="B348" s="2">
        <v>2019</v>
      </c>
      <c r="C348" s="2" t="s">
        <v>27</v>
      </c>
      <c r="D348" s="3">
        <v>88.8</v>
      </c>
    </row>
    <row r="349" spans="1:4" x14ac:dyDescent="0.2">
      <c r="A349" s="2" t="s">
        <v>22</v>
      </c>
      <c r="B349" s="2">
        <v>2019</v>
      </c>
      <c r="C349" s="2" t="s">
        <v>27</v>
      </c>
      <c r="D349" s="3">
        <v>195.9</v>
      </c>
    </row>
    <row r="350" spans="1:4" x14ac:dyDescent="0.2">
      <c r="A350" s="2" t="s">
        <v>23</v>
      </c>
      <c r="B350" s="2">
        <v>2019</v>
      </c>
      <c r="C350" s="2" t="s">
        <v>27</v>
      </c>
      <c r="D350" s="3">
        <v>102.9</v>
      </c>
    </row>
    <row r="351" spans="1:4" x14ac:dyDescent="0.2">
      <c r="A351" s="2" t="s">
        <v>24</v>
      </c>
      <c r="B351" s="2">
        <v>2019</v>
      </c>
      <c r="C351" s="2" t="s">
        <v>27</v>
      </c>
      <c r="D351" s="3">
        <v>482.1</v>
      </c>
    </row>
    <row r="352" spans="1:4" x14ac:dyDescent="0.2">
      <c r="A352" s="2" t="s">
        <v>25</v>
      </c>
      <c r="B352" s="2">
        <v>2019</v>
      </c>
      <c r="C352" s="2" t="s">
        <v>27</v>
      </c>
      <c r="D352" s="3">
        <v>173</v>
      </c>
    </row>
    <row r="353" spans="1:4" x14ac:dyDescent="0.2">
      <c r="A353" s="2" t="s">
        <v>26</v>
      </c>
      <c r="B353" s="2">
        <v>2019</v>
      </c>
      <c r="C353" s="2" t="s">
        <v>27</v>
      </c>
      <c r="D353" s="3">
        <v>9</v>
      </c>
    </row>
    <row r="354" spans="1:4" x14ac:dyDescent="0.2">
      <c r="A354" s="2" t="s">
        <v>4</v>
      </c>
      <c r="B354" s="2">
        <v>2012</v>
      </c>
      <c r="C354" s="2" t="s">
        <v>28</v>
      </c>
      <c r="D354" s="3">
        <v>302.5</v>
      </c>
    </row>
    <row r="355" spans="1:4" x14ac:dyDescent="0.2">
      <c r="A355" s="2" t="s">
        <v>6</v>
      </c>
      <c r="B355" s="2">
        <v>2012</v>
      </c>
      <c r="C355" s="2" t="s">
        <v>28</v>
      </c>
      <c r="D355" s="3">
        <v>75.599999999999994</v>
      </c>
    </row>
    <row r="356" spans="1:4" x14ac:dyDescent="0.2">
      <c r="A356" s="2" t="s">
        <v>7</v>
      </c>
      <c r="B356" s="2">
        <v>2012</v>
      </c>
      <c r="C356" s="2" t="s">
        <v>28</v>
      </c>
      <c r="D356" s="3">
        <v>41.9</v>
      </c>
    </row>
    <row r="357" spans="1:4" x14ac:dyDescent="0.2">
      <c r="A357" s="2" t="s">
        <v>8</v>
      </c>
      <c r="B357" s="2">
        <v>2012</v>
      </c>
      <c r="C357" s="2" t="s">
        <v>28</v>
      </c>
      <c r="D357" s="3">
        <v>33.200000000000003</v>
      </c>
    </row>
    <row r="358" spans="1:4" x14ac:dyDescent="0.2">
      <c r="A358" s="2" t="s">
        <v>9</v>
      </c>
      <c r="B358" s="2">
        <v>2012</v>
      </c>
      <c r="C358" s="2" t="s">
        <v>28</v>
      </c>
      <c r="D358" s="3">
        <v>45.2</v>
      </c>
    </row>
    <row r="359" spans="1:4" x14ac:dyDescent="0.2">
      <c r="A359" s="2" t="s">
        <v>10</v>
      </c>
      <c r="B359" s="2">
        <v>2012</v>
      </c>
      <c r="C359" s="2" t="s">
        <v>28</v>
      </c>
      <c r="D359" s="3">
        <v>56.3</v>
      </c>
    </row>
    <row r="360" spans="1:4" x14ac:dyDescent="0.2">
      <c r="A360" s="2" t="s">
        <v>11</v>
      </c>
      <c r="B360" s="2">
        <v>2012</v>
      </c>
      <c r="C360" s="2" t="s">
        <v>28</v>
      </c>
      <c r="D360" s="3">
        <v>103.8</v>
      </c>
    </row>
    <row r="361" spans="1:4" x14ac:dyDescent="0.2">
      <c r="A361" s="2" t="s">
        <v>12</v>
      </c>
      <c r="B361" s="2">
        <v>2012</v>
      </c>
      <c r="C361" s="2" t="s">
        <v>28</v>
      </c>
      <c r="D361" s="3">
        <v>53.3</v>
      </c>
    </row>
    <row r="362" spans="1:4" x14ac:dyDescent="0.2">
      <c r="A362" s="2" t="s">
        <v>13</v>
      </c>
      <c r="B362" s="2">
        <v>2012</v>
      </c>
      <c r="C362" s="2" t="s">
        <v>28</v>
      </c>
      <c r="D362" s="3">
        <v>57.3</v>
      </c>
    </row>
    <row r="363" spans="1:4" x14ac:dyDescent="0.2">
      <c r="A363" s="2" t="s">
        <v>14</v>
      </c>
      <c r="B363" s="2">
        <v>2012</v>
      </c>
      <c r="C363" s="2" t="s">
        <v>28</v>
      </c>
      <c r="D363" s="3">
        <v>40.299999999999997</v>
      </c>
    </row>
    <row r="364" spans="1:4" x14ac:dyDescent="0.2">
      <c r="A364" s="2" t="s">
        <v>15</v>
      </c>
      <c r="B364" s="2">
        <v>2012</v>
      </c>
      <c r="C364" s="2" t="s">
        <v>28</v>
      </c>
      <c r="D364" s="3">
        <v>68.8</v>
      </c>
    </row>
    <row r="365" spans="1:4" x14ac:dyDescent="0.2">
      <c r="A365" s="2" t="s">
        <v>16</v>
      </c>
      <c r="B365" s="2">
        <v>2012</v>
      </c>
      <c r="C365" s="2" t="s">
        <v>28</v>
      </c>
      <c r="D365" s="3">
        <v>120</v>
      </c>
    </row>
    <row r="366" spans="1:4" x14ac:dyDescent="0.2">
      <c r="A366" s="2" t="s">
        <v>17</v>
      </c>
      <c r="B366" s="2">
        <v>2012</v>
      </c>
      <c r="C366" s="2" t="s">
        <v>28</v>
      </c>
      <c r="D366" s="3">
        <v>88.7</v>
      </c>
    </row>
    <row r="367" spans="1:4" x14ac:dyDescent="0.2">
      <c r="A367" s="2" t="s">
        <v>18</v>
      </c>
      <c r="B367" s="2">
        <v>2012</v>
      </c>
      <c r="C367" s="2" t="s">
        <v>28</v>
      </c>
      <c r="D367" s="3">
        <v>114.2</v>
      </c>
    </row>
    <row r="368" spans="1:4" x14ac:dyDescent="0.2">
      <c r="A368" s="2" t="s">
        <v>19</v>
      </c>
      <c r="B368" s="2">
        <v>2012</v>
      </c>
      <c r="C368" s="2" t="s">
        <v>28</v>
      </c>
      <c r="D368" s="3">
        <v>19.7</v>
      </c>
    </row>
    <row r="369" spans="1:4" x14ac:dyDescent="0.2">
      <c r="A369" s="2" t="s">
        <v>20</v>
      </c>
      <c r="B369" s="2">
        <v>2012</v>
      </c>
      <c r="C369" s="2" t="s">
        <v>28</v>
      </c>
      <c r="D369" s="3">
        <v>60.1</v>
      </c>
    </row>
    <row r="370" spans="1:4" x14ac:dyDescent="0.2">
      <c r="A370" s="2" t="s">
        <v>21</v>
      </c>
      <c r="B370" s="2">
        <v>2012</v>
      </c>
      <c r="C370" s="2" t="s">
        <v>28</v>
      </c>
      <c r="D370" s="3">
        <v>72.7</v>
      </c>
    </row>
    <row r="371" spans="1:4" x14ac:dyDescent="0.2">
      <c r="A371" s="2" t="s">
        <v>22</v>
      </c>
      <c r="B371" s="2">
        <v>2012</v>
      </c>
      <c r="C371" s="2" t="s">
        <v>28</v>
      </c>
      <c r="D371" s="3">
        <v>87.3</v>
      </c>
    </row>
    <row r="372" spans="1:4" x14ac:dyDescent="0.2">
      <c r="A372" s="2" t="s">
        <v>23</v>
      </c>
      <c r="B372" s="2">
        <v>2012</v>
      </c>
      <c r="C372" s="2" t="s">
        <v>28</v>
      </c>
      <c r="D372" s="3">
        <v>40.5</v>
      </c>
    </row>
    <row r="373" spans="1:4" x14ac:dyDescent="0.2">
      <c r="A373" s="2" t="s">
        <v>24</v>
      </c>
      <c r="B373" s="2">
        <v>2012</v>
      </c>
      <c r="C373" s="2" t="s">
        <v>28</v>
      </c>
      <c r="D373" s="3">
        <v>220.2</v>
      </c>
    </row>
    <row r="374" spans="1:4" x14ac:dyDescent="0.2">
      <c r="A374" s="2" t="s">
        <v>25</v>
      </c>
      <c r="B374" s="2">
        <v>2012</v>
      </c>
      <c r="C374" s="2" t="s">
        <v>28</v>
      </c>
      <c r="D374" s="3">
        <v>147.80000000000001</v>
      </c>
    </row>
    <row r="375" spans="1:4" x14ac:dyDescent="0.2">
      <c r="A375" s="2" t="s">
        <v>26</v>
      </c>
      <c r="B375" s="2">
        <v>2012</v>
      </c>
      <c r="C375" s="2" t="s">
        <v>28</v>
      </c>
      <c r="D375" s="3">
        <v>6.7</v>
      </c>
    </row>
    <row r="376" spans="1:4" x14ac:dyDescent="0.2">
      <c r="A376" s="2" t="s">
        <v>4</v>
      </c>
      <c r="B376" s="2">
        <v>2019</v>
      </c>
      <c r="C376" s="2" t="s">
        <v>28</v>
      </c>
      <c r="D376" s="3">
        <v>263.10000000000002</v>
      </c>
    </row>
    <row r="377" spans="1:4" x14ac:dyDescent="0.2">
      <c r="A377" s="2" t="s">
        <v>6</v>
      </c>
      <c r="B377" s="2">
        <v>2019</v>
      </c>
      <c r="C377" s="2" t="s">
        <v>28</v>
      </c>
      <c r="D377" s="3">
        <v>74.3</v>
      </c>
    </row>
    <row r="378" spans="1:4" x14ac:dyDescent="0.2">
      <c r="A378" s="2" t="s">
        <v>7</v>
      </c>
      <c r="B378" s="2">
        <v>2019</v>
      </c>
      <c r="C378" s="2" t="s">
        <v>28</v>
      </c>
      <c r="D378" s="3">
        <v>43.4</v>
      </c>
    </row>
    <row r="379" spans="1:4" x14ac:dyDescent="0.2">
      <c r="A379" s="2" t="s">
        <v>8</v>
      </c>
      <c r="B379" s="2">
        <v>2019</v>
      </c>
      <c r="C379" s="2" t="s">
        <v>28</v>
      </c>
      <c r="D379" s="3">
        <v>30.7</v>
      </c>
    </row>
    <row r="380" spans="1:4" x14ac:dyDescent="0.2">
      <c r="A380" s="2" t="s">
        <v>9</v>
      </c>
      <c r="B380" s="2">
        <v>2019</v>
      </c>
      <c r="C380" s="2" t="s">
        <v>28</v>
      </c>
      <c r="D380" s="3">
        <v>37.700000000000003</v>
      </c>
    </row>
    <row r="381" spans="1:4" x14ac:dyDescent="0.2">
      <c r="A381" s="2" t="s">
        <v>10</v>
      </c>
      <c r="B381" s="2">
        <v>2019</v>
      </c>
      <c r="C381" s="2" t="s">
        <v>28</v>
      </c>
      <c r="D381" s="3">
        <v>59.8</v>
      </c>
    </row>
    <row r="382" spans="1:4" x14ac:dyDescent="0.2">
      <c r="A382" s="2" t="s">
        <v>11</v>
      </c>
      <c r="B382" s="2">
        <v>2019</v>
      </c>
      <c r="C382" s="2" t="s">
        <v>28</v>
      </c>
      <c r="D382" s="3">
        <v>87.3</v>
      </c>
    </row>
    <row r="383" spans="1:4" x14ac:dyDescent="0.2">
      <c r="A383" s="2" t="s">
        <v>12</v>
      </c>
      <c r="B383" s="2">
        <v>2019</v>
      </c>
      <c r="C383" s="2" t="s">
        <v>28</v>
      </c>
      <c r="D383" s="3">
        <v>50.6</v>
      </c>
    </row>
    <row r="384" spans="1:4" x14ac:dyDescent="0.2">
      <c r="A384" s="2" t="s">
        <v>13</v>
      </c>
      <c r="B384" s="2">
        <v>2019</v>
      </c>
      <c r="C384" s="2" t="s">
        <v>28</v>
      </c>
      <c r="D384" s="3">
        <v>63.6</v>
      </c>
    </row>
    <row r="385" spans="1:4" x14ac:dyDescent="0.2">
      <c r="A385" s="2" t="s">
        <v>14</v>
      </c>
      <c r="B385" s="2">
        <v>2019</v>
      </c>
      <c r="C385" s="2" t="s">
        <v>28</v>
      </c>
      <c r="D385" s="3">
        <v>32.299999999999997</v>
      </c>
    </row>
    <row r="386" spans="1:4" x14ac:dyDescent="0.2">
      <c r="A386" s="2" t="s">
        <v>15</v>
      </c>
      <c r="B386" s="2">
        <v>2019</v>
      </c>
      <c r="C386" s="2" t="s">
        <v>28</v>
      </c>
      <c r="D386" s="3">
        <v>75.900000000000006</v>
      </c>
    </row>
    <row r="387" spans="1:4" x14ac:dyDescent="0.2">
      <c r="A387" s="2" t="s">
        <v>16</v>
      </c>
      <c r="B387" s="2">
        <v>2019</v>
      </c>
      <c r="C387" s="2" t="s">
        <v>28</v>
      </c>
      <c r="D387" s="3">
        <v>116.8</v>
      </c>
    </row>
    <row r="388" spans="1:4" x14ac:dyDescent="0.2">
      <c r="A388" s="2" t="s">
        <v>17</v>
      </c>
      <c r="B388" s="2">
        <v>2019</v>
      </c>
      <c r="C388" s="2" t="s">
        <v>28</v>
      </c>
      <c r="D388" s="3">
        <v>95.6</v>
      </c>
    </row>
    <row r="389" spans="1:4" x14ac:dyDescent="0.2">
      <c r="A389" s="2" t="s">
        <v>18</v>
      </c>
      <c r="B389" s="2">
        <v>2019</v>
      </c>
      <c r="C389" s="2" t="s">
        <v>28</v>
      </c>
      <c r="D389" s="3">
        <v>108.9</v>
      </c>
    </row>
    <row r="390" spans="1:4" x14ac:dyDescent="0.2">
      <c r="A390" s="2" t="s">
        <v>19</v>
      </c>
      <c r="B390" s="2">
        <v>2019</v>
      </c>
      <c r="C390" s="2" t="s">
        <v>28</v>
      </c>
      <c r="D390" s="3">
        <v>17.399999999999999</v>
      </c>
    </row>
    <row r="391" spans="1:4" x14ac:dyDescent="0.2">
      <c r="A391" s="2" t="s">
        <v>20</v>
      </c>
      <c r="B391" s="2">
        <v>2019</v>
      </c>
      <c r="C391" s="2" t="s">
        <v>28</v>
      </c>
      <c r="D391" s="3">
        <v>58.8</v>
      </c>
    </row>
    <row r="392" spans="1:4" x14ac:dyDescent="0.2">
      <c r="A392" s="2" t="s">
        <v>21</v>
      </c>
      <c r="B392" s="2">
        <v>2019</v>
      </c>
      <c r="C392" s="2" t="s">
        <v>28</v>
      </c>
      <c r="D392" s="3">
        <v>80.3</v>
      </c>
    </row>
    <row r="393" spans="1:4" x14ac:dyDescent="0.2">
      <c r="A393" s="2" t="s">
        <v>22</v>
      </c>
      <c r="B393" s="2">
        <v>2019</v>
      </c>
      <c r="C393" s="2" t="s">
        <v>28</v>
      </c>
      <c r="D393" s="3">
        <v>85.2</v>
      </c>
    </row>
    <row r="394" spans="1:4" x14ac:dyDescent="0.2">
      <c r="A394" s="2" t="s">
        <v>23</v>
      </c>
      <c r="B394" s="2">
        <v>2019</v>
      </c>
      <c r="C394" s="2" t="s">
        <v>28</v>
      </c>
      <c r="D394" s="3">
        <v>36.799999999999997</v>
      </c>
    </row>
    <row r="395" spans="1:4" x14ac:dyDescent="0.2">
      <c r="A395" s="2" t="s">
        <v>24</v>
      </c>
      <c r="B395" s="2">
        <v>2019</v>
      </c>
      <c r="C395" s="2" t="s">
        <v>28</v>
      </c>
      <c r="D395" s="3">
        <v>194.2</v>
      </c>
    </row>
    <row r="396" spans="1:4" x14ac:dyDescent="0.2">
      <c r="A396" s="2" t="s">
        <v>25</v>
      </c>
      <c r="B396" s="2">
        <v>2019</v>
      </c>
      <c r="C396" s="2" t="s">
        <v>28</v>
      </c>
      <c r="D396" s="3">
        <v>121</v>
      </c>
    </row>
    <row r="397" spans="1:4" x14ac:dyDescent="0.2">
      <c r="A397" s="2" t="s">
        <v>26</v>
      </c>
      <c r="B397" s="2">
        <v>2019</v>
      </c>
      <c r="C397" s="2" t="s">
        <v>28</v>
      </c>
      <c r="D397" s="3">
        <v>14.6</v>
      </c>
    </row>
    <row r="398" spans="1:4" x14ac:dyDescent="0.2">
      <c r="A398" s="2" t="s">
        <v>4</v>
      </c>
      <c r="B398" s="2">
        <v>2012</v>
      </c>
      <c r="C398" s="2" t="s">
        <v>29</v>
      </c>
      <c r="D398" s="3">
        <v>1525</v>
      </c>
    </row>
    <row r="399" spans="1:4" x14ac:dyDescent="0.2">
      <c r="A399" s="2" t="s">
        <v>6</v>
      </c>
      <c r="B399" s="2">
        <v>2012</v>
      </c>
      <c r="C399" s="2" t="s">
        <v>29</v>
      </c>
      <c r="D399" s="3">
        <v>231.6</v>
      </c>
    </row>
    <row r="400" spans="1:4" x14ac:dyDescent="0.2">
      <c r="A400" s="2" t="s">
        <v>7</v>
      </c>
      <c r="B400" s="2">
        <v>2012</v>
      </c>
      <c r="C400" s="2" t="s">
        <v>29</v>
      </c>
      <c r="D400" s="3">
        <v>163.30000000000001</v>
      </c>
    </row>
    <row r="401" spans="1:4" x14ac:dyDescent="0.2">
      <c r="A401" s="2" t="s">
        <v>8</v>
      </c>
      <c r="B401" s="2">
        <v>2012</v>
      </c>
      <c r="C401" s="2" t="s">
        <v>29</v>
      </c>
      <c r="D401" s="3">
        <v>85.2</v>
      </c>
    </row>
    <row r="402" spans="1:4" x14ac:dyDescent="0.2">
      <c r="A402" s="2" t="s">
        <v>9</v>
      </c>
      <c r="B402" s="2">
        <v>2012</v>
      </c>
      <c r="C402" s="2" t="s">
        <v>29</v>
      </c>
      <c r="D402" s="3">
        <v>138.19999999999999</v>
      </c>
    </row>
    <row r="403" spans="1:4" x14ac:dyDescent="0.2">
      <c r="A403" s="2" t="s">
        <v>10</v>
      </c>
      <c r="B403" s="2">
        <v>2012</v>
      </c>
      <c r="C403" s="2" t="s">
        <v>29</v>
      </c>
      <c r="D403" s="3">
        <v>155.4</v>
      </c>
    </row>
    <row r="404" spans="1:4" x14ac:dyDescent="0.2">
      <c r="A404" s="2" t="s">
        <v>11</v>
      </c>
      <c r="B404" s="2">
        <v>2012</v>
      </c>
      <c r="C404" s="2" t="s">
        <v>29</v>
      </c>
      <c r="D404" s="3">
        <v>362.5</v>
      </c>
    </row>
    <row r="405" spans="1:4" x14ac:dyDescent="0.2">
      <c r="A405" s="2" t="s">
        <v>12</v>
      </c>
      <c r="B405" s="2">
        <v>2012</v>
      </c>
      <c r="C405" s="2" t="s">
        <v>29</v>
      </c>
      <c r="D405" s="3">
        <v>199.6</v>
      </c>
    </row>
    <row r="406" spans="1:4" x14ac:dyDescent="0.2">
      <c r="A406" s="2" t="s">
        <v>13</v>
      </c>
      <c r="B406" s="2">
        <v>2012</v>
      </c>
      <c r="C406" s="2" t="s">
        <v>29</v>
      </c>
      <c r="D406" s="3">
        <v>192.6</v>
      </c>
    </row>
    <row r="407" spans="1:4" x14ac:dyDescent="0.2">
      <c r="A407" s="2" t="s">
        <v>14</v>
      </c>
      <c r="B407" s="2">
        <v>2012</v>
      </c>
      <c r="C407" s="2" t="s">
        <v>29</v>
      </c>
      <c r="D407" s="3">
        <v>99.4</v>
      </c>
    </row>
    <row r="408" spans="1:4" x14ac:dyDescent="0.2">
      <c r="A408" s="2" t="s">
        <v>15</v>
      </c>
      <c r="B408" s="2">
        <v>2012</v>
      </c>
      <c r="C408" s="2" t="s">
        <v>29</v>
      </c>
      <c r="D408" s="3">
        <v>202.3</v>
      </c>
    </row>
    <row r="409" spans="1:4" x14ac:dyDescent="0.2">
      <c r="A409" s="2" t="s">
        <v>16</v>
      </c>
      <c r="B409" s="2">
        <v>2012</v>
      </c>
      <c r="C409" s="2" t="s">
        <v>29</v>
      </c>
      <c r="D409" s="3">
        <v>350</v>
      </c>
    </row>
    <row r="410" spans="1:4" x14ac:dyDescent="0.2">
      <c r="A410" s="2" t="s">
        <v>17</v>
      </c>
      <c r="B410" s="2">
        <v>2012</v>
      </c>
      <c r="C410" s="2" t="s">
        <v>29</v>
      </c>
      <c r="D410" s="3">
        <v>312.3</v>
      </c>
    </row>
    <row r="411" spans="1:4" x14ac:dyDescent="0.2">
      <c r="A411" s="2" t="s">
        <v>18</v>
      </c>
      <c r="B411" s="2">
        <v>2012</v>
      </c>
      <c r="C411" s="2" t="s">
        <v>29</v>
      </c>
      <c r="D411" s="3">
        <v>318.39999999999998</v>
      </c>
    </row>
    <row r="412" spans="1:4" x14ac:dyDescent="0.2">
      <c r="A412" s="2" t="s">
        <v>19</v>
      </c>
      <c r="B412" s="2">
        <v>2012</v>
      </c>
      <c r="C412" s="2" t="s">
        <v>29</v>
      </c>
      <c r="D412" s="3">
        <v>57.6</v>
      </c>
    </row>
    <row r="413" spans="1:4" x14ac:dyDescent="0.2">
      <c r="A413" s="2" t="s">
        <v>20</v>
      </c>
      <c r="B413" s="2">
        <v>2012</v>
      </c>
      <c r="C413" s="2" t="s">
        <v>29</v>
      </c>
      <c r="D413" s="3">
        <v>135.5</v>
      </c>
    </row>
    <row r="414" spans="1:4" x14ac:dyDescent="0.2">
      <c r="A414" s="2" t="s">
        <v>21</v>
      </c>
      <c r="B414" s="2">
        <v>2012</v>
      </c>
      <c r="C414" s="2" t="s">
        <v>29</v>
      </c>
      <c r="D414" s="3">
        <v>212.9</v>
      </c>
    </row>
    <row r="415" spans="1:4" x14ac:dyDescent="0.2">
      <c r="A415" s="2" t="s">
        <v>22</v>
      </c>
      <c r="B415" s="2">
        <v>2012</v>
      </c>
      <c r="C415" s="2" t="s">
        <v>29</v>
      </c>
      <c r="D415" s="3">
        <v>272.8</v>
      </c>
    </row>
    <row r="416" spans="1:4" x14ac:dyDescent="0.2">
      <c r="A416" s="2" t="s">
        <v>23</v>
      </c>
      <c r="B416" s="2">
        <v>2012</v>
      </c>
      <c r="C416" s="2" t="s">
        <v>29</v>
      </c>
      <c r="D416" s="3">
        <v>105.4</v>
      </c>
    </row>
    <row r="417" spans="1:4" x14ac:dyDescent="0.2">
      <c r="A417" s="2" t="s">
        <v>24</v>
      </c>
      <c r="B417" s="2">
        <v>2012</v>
      </c>
      <c r="C417" s="2" t="s">
        <v>29</v>
      </c>
      <c r="D417" s="3">
        <v>633.6</v>
      </c>
    </row>
    <row r="418" spans="1:4" x14ac:dyDescent="0.2">
      <c r="A418" s="2" t="s">
        <v>25</v>
      </c>
      <c r="B418" s="2">
        <v>2012</v>
      </c>
      <c r="C418" s="2" t="s">
        <v>29</v>
      </c>
      <c r="D418" s="3">
        <v>502.5</v>
      </c>
    </row>
    <row r="419" spans="1:4" x14ac:dyDescent="0.2">
      <c r="A419" s="2" t="s">
        <v>26</v>
      </c>
      <c r="B419" s="2">
        <v>2012</v>
      </c>
      <c r="C419" s="2" t="s">
        <v>29</v>
      </c>
      <c r="D419" s="3">
        <v>17.600000000000001</v>
      </c>
    </row>
    <row r="420" spans="1:4" x14ac:dyDescent="0.2">
      <c r="A420" s="2" t="s">
        <v>4</v>
      </c>
      <c r="B420" s="2">
        <v>2019</v>
      </c>
      <c r="C420" s="2" t="s">
        <v>29</v>
      </c>
      <c r="D420" s="3">
        <v>1574.6</v>
      </c>
    </row>
    <row r="421" spans="1:4" x14ac:dyDescent="0.2">
      <c r="A421" s="2" t="s">
        <v>6</v>
      </c>
      <c r="B421" s="2">
        <v>2019</v>
      </c>
      <c r="C421" s="2" t="s">
        <v>29</v>
      </c>
      <c r="D421" s="3">
        <v>244.29999999999998</v>
      </c>
    </row>
    <row r="422" spans="1:4" x14ac:dyDescent="0.2">
      <c r="A422" s="2" t="s">
        <v>7</v>
      </c>
      <c r="B422" s="2">
        <v>2019</v>
      </c>
      <c r="C422" s="2" t="s">
        <v>29</v>
      </c>
      <c r="D422" s="3">
        <v>151.39999999999998</v>
      </c>
    </row>
    <row r="423" spans="1:4" x14ac:dyDescent="0.2">
      <c r="A423" s="2" t="s">
        <v>8</v>
      </c>
      <c r="B423" s="2">
        <v>2019</v>
      </c>
      <c r="C423" s="2" t="s">
        <v>29</v>
      </c>
      <c r="D423" s="3">
        <v>91.7</v>
      </c>
    </row>
    <row r="424" spans="1:4" x14ac:dyDescent="0.2">
      <c r="A424" s="2" t="s">
        <v>9</v>
      </c>
      <c r="B424" s="2">
        <v>2019</v>
      </c>
      <c r="C424" s="2" t="s">
        <v>29</v>
      </c>
      <c r="D424" s="3">
        <v>114.7</v>
      </c>
    </row>
    <row r="425" spans="1:4" x14ac:dyDescent="0.2">
      <c r="A425" s="2" t="s">
        <v>10</v>
      </c>
      <c r="B425" s="2">
        <v>2019</v>
      </c>
      <c r="C425" s="2" t="s">
        <v>29</v>
      </c>
      <c r="D425" s="3">
        <v>154.69999999999999</v>
      </c>
    </row>
    <row r="426" spans="1:4" x14ac:dyDescent="0.2">
      <c r="A426" s="2" t="s">
        <v>11</v>
      </c>
      <c r="B426" s="2">
        <v>2019</v>
      </c>
      <c r="C426" s="2" t="s">
        <v>29</v>
      </c>
      <c r="D426" s="3">
        <v>343.1</v>
      </c>
    </row>
    <row r="427" spans="1:4" x14ac:dyDescent="0.2">
      <c r="A427" s="2" t="s">
        <v>12</v>
      </c>
      <c r="B427" s="2">
        <v>2019</v>
      </c>
      <c r="C427" s="2" t="s">
        <v>29</v>
      </c>
      <c r="D427" s="3">
        <v>202.6</v>
      </c>
    </row>
    <row r="428" spans="1:4" x14ac:dyDescent="0.2">
      <c r="A428" s="2" t="s">
        <v>13</v>
      </c>
      <c r="B428" s="2">
        <v>2019</v>
      </c>
      <c r="C428" s="2" t="s">
        <v>29</v>
      </c>
      <c r="D428" s="3">
        <v>199.20000000000002</v>
      </c>
    </row>
    <row r="429" spans="1:4" x14ac:dyDescent="0.2">
      <c r="A429" s="2" t="s">
        <v>14</v>
      </c>
      <c r="B429" s="2">
        <v>2019</v>
      </c>
      <c r="C429" s="2" t="s">
        <v>29</v>
      </c>
      <c r="D429" s="3">
        <v>103.9</v>
      </c>
    </row>
    <row r="430" spans="1:4" x14ac:dyDescent="0.2">
      <c r="A430" s="2" t="s">
        <v>15</v>
      </c>
      <c r="B430" s="2">
        <v>2019</v>
      </c>
      <c r="C430" s="2" t="s">
        <v>29</v>
      </c>
      <c r="D430" s="3">
        <v>235.7</v>
      </c>
    </row>
    <row r="431" spans="1:4" x14ac:dyDescent="0.2">
      <c r="A431" s="2" t="s">
        <v>16</v>
      </c>
      <c r="B431" s="2">
        <v>2019</v>
      </c>
      <c r="C431" s="2" t="s">
        <v>29</v>
      </c>
      <c r="D431" s="3">
        <v>374.3</v>
      </c>
    </row>
    <row r="432" spans="1:4" x14ac:dyDescent="0.2">
      <c r="A432" s="2" t="s">
        <v>17</v>
      </c>
      <c r="B432" s="2">
        <v>2019</v>
      </c>
      <c r="C432" s="2" t="s">
        <v>29</v>
      </c>
      <c r="D432" s="3">
        <v>340.20000000000005</v>
      </c>
    </row>
    <row r="433" spans="1:4" x14ac:dyDescent="0.2">
      <c r="A433" s="2" t="s">
        <v>18</v>
      </c>
      <c r="B433" s="2">
        <v>2019</v>
      </c>
      <c r="C433" s="2" t="s">
        <v>29</v>
      </c>
      <c r="D433" s="3">
        <v>342.1</v>
      </c>
    </row>
    <row r="434" spans="1:4" x14ac:dyDescent="0.2">
      <c r="A434" s="2" t="s">
        <v>19</v>
      </c>
      <c r="B434" s="2">
        <v>2019</v>
      </c>
      <c r="C434" s="2" t="s">
        <v>29</v>
      </c>
      <c r="D434" s="3">
        <v>53.9</v>
      </c>
    </row>
    <row r="435" spans="1:4" x14ac:dyDescent="0.2">
      <c r="A435" s="2" t="s">
        <v>20</v>
      </c>
      <c r="B435" s="2">
        <v>2019</v>
      </c>
      <c r="C435" s="2" t="s">
        <v>29</v>
      </c>
      <c r="D435" s="3">
        <v>142.69999999999999</v>
      </c>
    </row>
    <row r="436" spans="1:4" x14ac:dyDescent="0.2">
      <c r="A436" s="2" t="s">
        <v>21</v>
      </c>
      <c r="B436" s="2">
        <v>2019</v>
      </c>
      <c r="C436" s="2" t="s">
        <v>29</v>
      </c>
      <c r="D436" s="3">
        <v>245.3</v>
      </c>
    </row>
    <row r="437" spans="1:4" x14ac:dyDescent="0.2">
      <c r="A437" s="2" t="s">
        <v>22</v>
      </c>
      <c r="B437" s="2">
        <v>2019</v>
      </c>
      <c r="C437" s="2" t="s">
        <v>29</v>
      </c>
      <c r="D437" s="3">
        <v>282.89999999999998</v>
      </c>
    </row>
    <row r="438" spans="1:4" x14ac:dyDescent="0.2">
      <c r="A438" s="2" t="s">
        <v>23</v>
      </c>
      <c r="B438" s="2">
        <v>2019</v>
      </c>
      <c r="C438" s="2" t="s">
        <v>29</v>
      </c>
      <c r="D438" s="3">
        <v>106</v>
      </c>
    </row>
    <row r="439" spans="1:4" x14ac:dyDescent="0.2">
      <c r="A439" s="2" t="s">
        <v>24</v>
      </c>
      <c r="B439" s="2">
        <v>2019</v>
      </c>
      <c r="C439" s="2" t="s">
        <v>29</v>
      </c>
      <c r="D439" s="3">
        <v>666.1</v>
      </c>
    </row>
    <row r="440" spans="1:4" x14ac:dyDescent="0.2">
      <c r="A440" s="2" t="s">
        <v>25</v>
      </c>
      <c r="B440" s="2">
        <v>2019</v>
      </c>
      <c r="C440" s="2" t="s">
        <v>29</v>
      </c>
      <c r="D440" s="3">
        <v>468.40000000000003</v>
      </c>
    </row>
    <row r="441" spans="1:4" x14ac:dyDescent="0.2">
      <c r="A441" s="2" t="s">
        <v>26</v>
      </c>
      <c r="B441" s="2">
        <v>2019</v>
      </c>
      <c r="C441" s="2" t="s">
        <v>29</v>
      </c>
      <c r="D441" s="3">
        <v>36.9</v>
      </c>
    </row>
    <row r="442" spans="1:4" x14ac:dyDescent="0.2">
      <c r="A442" s="2" t="s">
        <v>4</v>
      </c>
      <c r="B442" s="2">
        <v>2012</v>
      </c>
      <c r="C442" s="2" t="s">
        <v>30</v>
      </c>
      <c r="D442" s="3">
        <v>1113.9000000000001</v>
      </c>
    </row>
    <row r="443" spans="1:4" x14ac:dyDescent="0.2">
      <c r="A443" s="2" t="s">
        <v>6</v>
      </c>
      <c r="B443" s="2">
        <v>2012</v>
      </c>
      <c r="C443" s="2" t="s">
        <v>30</v>
      </c>
      <c r="D443" s="3">
        <v>123.60000000000001</v>
      </c>
    </row>
    <row r="444" spans="1:4" x14ac:dyDescent="0.2">
      <c r="A444" s="2" t="s">
        <v>7</v>
      </c>
      <c r="B444" s="2">
        <v>2012</v>
      </c>
      <c r="C444" s="2" t="s">
        <v>30</v>
      </c>
      <c r="D444" s="3">
        <v>68.099999999999994</v>
      </c>
    </row>
    <row r="445" spans="1:4" x14ac:dyDescent="0.2">
      <c r="A445" s="2" t="s">
        <v>8</v>
      </c>
      <c r="B445" s="2">
        <v>2012</v>
      </c>
      <c r="C445" s="2" t="s">
        <v>30</v>
      </c>
      <c r="D445" s="3">
        <v>34.200000000000003</v>
      </c>
    </row>
    <row r="446" spans="1:4" x14ac:dyDescent="0.2">
      <c r="A446" s="2" t="s">
        <v>9</v>
      </c>
      <c r="B446" s="2">
        <v>2012</v>
      </c>
      <c r="C446" s="2" t="s">
        <v>30</v>
      </c>
      <c r="D446" s="3">
        <v>53.5</v>
      </c>
    </row>
    <row r="447" spans="1:4" x14ac:dyDescent="0.2">
      <c r="A447" s="2" t="s">
        <v>10</v>
      </c>
      <c r="B447" s="2">
        <v>2012</v>
      </c>
      <c r="C447" s="2" t="s">
        <v>30</v>
      </c>
      <c r="D447" s="3">
        <v>74.099999999999994</v>
      </c>
    </row>
    <row r="448" spans="1:4" x14ac:dyDescent="0.2">
      <c r="A448" s="2" t="s">
        <v>11</v>
      </c>
      <c r="B448" s="2">
        <v>2012</v>
      </c>
      <c r="C448" s="2" t="s">
        <v>30</v>
      </c>
      <c r="D448" s="3">
        <v>169.5</v>
      </c>
    </row>
    <row r="449" spans="1:4" x14ac:dyDescent="0.2">
      <c r="A449" s="2" t="s">
        <v>12</v>
      </c>
      <c r="B449" s="2">
        <v>2012</v>
      </c>
      <c r="C449" s="2" t="s">
        <v>30</v>
      </c>
      <c r="D449" s="3">
        <v>70.900000000000006</v>
      </c>
    </row>
    <row r="450" spans="1:4" x14ac:dyDescent="0.2">
      <c r="A450" s="2" t="s">
        <v>13</v>
      </c>
      <c r="B450" s="2">
        <v>2012</v>
      </c>
      <c r="C450" s="2" t="s">
        <v>30</v>
      </c>
      <c r="D450" s="3">
        <v>87.9</v>
      </c>
    </row>
    <row r="451" spans="1:4" x14ac:dyDescent="0.2">
      <c r="A451" s="2" t="s">
        <v>14</v>
      </c>
      <c r="B451" s="2">
        <v>2012</v>
      </c>
      <c r="C451" s="2" t="s">
        <v>30</v>
      </c>
      <c r="D451" s="3">
        <v>47.800000000000004</v>
      </c>
    </row>
    <row r="452" spans="1:4" x14ac:dyDescent="0.2">
      <c r="A452" s="2" t="s">
        <v>15</v>
      </c>
      <c r="B452" s="2">
        <v>2012</v>
      </c>
      <c r="C452" s="2" t="s">
        <v>30</v>
      </c>
      <c r="D452" s="3">
        <v>98.9</v>
      </c>
    </row>
    <row r="453" spans="1:4" x14ac:dyDescent="0.2">
      <c r="A453" s="2" t="s">
        <v>16</v>
      </c>
      <c r="B453" s="2">
        <v>2012</v>
      </c>
      <c r="C453" s="2" t="s">
        <v>30</v>
      </c>
      <c r="D453" s="3">
        <v>174.9</v>
      </c>
    </row>
    <row r="454" spans="1:4" x14ac:dyDescent="0.2">
      <c r="A454" s="2" t="s">
        <v>17</v>
      </c>
      <c r="B454" s="2">
        <v>2012</v>
      </c>
      <c r="C454" s="2" t="s">
        <v>30</v>
      </c>
      <c r="D454" s="3">
        <v>140</v>
      </c>
    </row>
    <row r="455" spans="1:4" x14ac:dyDescent="0.2">
      <c r="A455" s="2" t="s">
        <v>18</v>
      </c>
      <c r="B455" s="2">
        <v>2012</v>
      </c>
      <c r="C455" s="2" t="s">
        <v>30</v>
      </c>
      <c r="D455" s="3">
        <v>156.1</v>
      </c>
    </row>
    <row r="456" spans="1:4" x14ac:dyDescent="0.2">
      <c r="A456" s="2" t="s">
        <v>19</v>
      </c>
      <c r="B456" s="2">
        <v>2012</v>
      </c>
      <c r="C456" s="2" t="s">
        <v>30</v>
      </c>
      <c r="D456" s="3">
        <v>13.8</v>
      </c>
    </row>
    <row r="457" spans="1:4" x14ac:dyDescent="0.2">
      <c r="A457" s="2" t="s">
        <v>20</v>
      </c>
      <c r="B457" s="2">
        <v>2012</v>
      </c>
      <c r="C457" s="2" t="s">
        <v>30</v>
      </c>
      <c r="D457" s="3">
        <v>84</v>
      </c>
    </row>
    <row r="458" spans="1:4" x14ac:dyDescent="0.2">
      <c r="A458" s="2" t="s">
        <v>21</v>
      </c>
      <c r="B458" s="2">
        <v>2012</v>
      </c>
      <c r="C458" s="2" t="s">
        <v>30</v>
      </c>
      <c r="D458" s="3">
        <v>99.199999999999989</v>
      </c>
    </row>
    <row r="459" spans="1:4" x14ac:dyDescent="0.2">
      <c r="A459" s="2" t="s">
        <v>22</v>
      </c>
      <c r="B459" s="2">
        <v>2012</v>
      </c>
      <c r="C459" s="2" t="s">
        <v>30</v>
      </c>
      <c r="D459" s="3">
        <v>162.19999999999999</v>
      </c>
    </row>
    <row r="460" spans="1:4" x14ac:dyDescent="0.2">
      <c r="A460" s="2" t="s">
        <v>23</v>
      </c>
      <c r="B460" s="2">
        <v>2012</v>
      </c>
      <c r="C460" s="2" t="s">
        <v>30</v>
      </c>
      <c r="D460" s="3">
        <v>51.7</v>
      </c>
    </row>
    <row r="461" spans="1:4" x14ac:dyDescent="0.2">
      <c r="A461" s="2" t="s">
        <v>24</v>
      </c>
      <c r="B461" s="2">
        <v>2012</v>
      </c>
      <c r="C461" s="2" t="s">
        <v>30</v>
      </c>
      <c r="D461" s="3">
        <v>359.2</v>
      </c>
    </row>
    <row r="462" spans="1:4" x14ac:dyDescent="0.2">
      <c r="A462" s="2" t="s">
        <v>25</v>
      </c>
      <c r="B462" s="2">
        <v>2012</v>
      </c>
      <c r="C462" s="2" t="s">
        <v>30</v>
      </c>
      <c r="D462" s="3">
        <v>280.2</v>
      </c>
    </row>
    <row r="463" spans="1:4" x14ac:dyDescent="0.2">
      <c r="A463" s="2" t="s">
        <v>26</v>
      </c>
      <c r="B463" s="2">
        <v>2012</v>
      </c>
      <c r="C463" s="2" t="s">
        <v>30</v>
      </c>
      <c r="D463" s="3">
        <v>7.5</v>
      </c>
    </row>
    <row r="464" spans="1:4" x14ac:dyDescent="0.2">
      <c r="A464" s="2" t="s">
        <v>4</v>
      </c>
      <c r="B464" s="2">
        <v>2019</v>
      </c>
      <c r="C464" s="2" t="s">
        <v>30</v>
      </c>
      <c r="D464" s="3">
        <v>1215.5999999999999</v>
      </c>
    </row>
    <row r="465" spans="1:4" x14ac:dyDescent="0.2">
      <c r="A465" s="2" t="s">
        <v>6</v>
      </c>
      <c r="B465" s="2">
        <v>2019</v>
      </c>
      <c r="C465" s="2" t="s">
        <v>30</v>
      </c>
      <c r="D465" s="3">
        <v>118.1</v>
      </c>
    </row>
    <row r="466" spans="1:4" x14ac:dyDescent="0.2">
      <c r="A466" s="2" t="s">
        <v>7</v>
      </c>
      <c r="B466" s="2">
        <v>2019</v>
      </c>
      <c r="C466" s="2" t="s">
        <v>30</v>
      </c>
      <c r="D466" s="3">
        <v>65.3</v>
      </c>
    </row>
    <row r="467" spans="1:4" x14ac:dyDescent="0.2">
      <c r="A467" s="2" t="s">
        <v>8</v>
      </c>
      <c r="B467" s="2">
        <v>2019</v>
      </c>
      <c r="C467" s="2" t="s">
        <v>30</v>
      </c>
      <c r="D467" s="3">
        <v>39.6</v>
      </c>
    </row>
    <row r="468" spans="1:4" x14ac:dyDescent="0.2">
      <c r="A468" s="2" t="s">
        <v>9</v>
      </c>
      <c r="B468" s="2">
        <v>2019</v>
      </c>
      <c r="C468" s="2" t="s">
        <v>30</v>
      </c>
      <c r="D468" s="3">
        <v>47.3</v>
      </c>
    </row>
    <row r="469" spans="1:4" x14ac:dyDescent="0.2">
      <c r="A469" s="2" t="s">
        <v>10</v>
      </c>
      <c r="B469" s="2">
        <v>2019</v>
      </c>
      <c r="C469" s="2" t="s">
        <v>30</v>
      </c>
      <c r="D469" s="3">
        <v>85.6</v>
      </c>
    </row>
    <row r="470" spans="1:4" x14ac:dyDescent="0.2">
      <c r="A470" s="2" t="s">
        <v>11</v>
      </c>
      <c r="B470" s="2">
        <v>2019</v>
      </c>
      <c r="C470" s="2" t="s">
        <v>30</v>
      </c>
      <c r="D470" s="3">
        <v>164.3</v>
      </c>
    </row>
    <row r="471" spans="1:4" x14ac:dyDescent="0.2">
      <c r="A471" s="2" t="s">
        <v>12</v>
      </c>
      <c r="B471" s="2">
        <v>2019</v>
      </c>
      <c r="C471" s="2" t="s">
        <v>30</v>
      </c>
      <c r="D471" s="3">
        <v>61.400000000000006</v>
      </c>
    </row>
    <row r="472" spans="1:4" x14ac:dyDescent="0.2">
      <c r="A472" s="2" t="s">
        <v>13</v>
      </c>
      <c r="B472" s="2">
        <v>2019</v>
      </c>
      <c r="C472" s="2" t="s">
        <v>30</v>
      </c>
      <c r="D472" s="3">
        <v>114.6</v>
      </c>
    </row>
    <row r="473" spans="1:4" x14ac:dyDescent="0.2">
      <c r="A473" s="2" t="s">
        <v>14</v>
      </c>
      <c r="B473" s="2">
        <v>2019</v>
      </c>
      <c r="C473" s="2" t="s">
        <v>30</v>
      </c>
      <c r="D473" s="3">
        <v>48.8</v>
      </c>
    </row>
    <row r="474" spans="1:4" x14ac:dyDescent="0.2">
      <c r="A474" s="2" t="s">
        <v>15</v>
      </c>
      <c r="B474" s="2">
        <v>2019</v>
      </c>
      <c r="C474" s="2" t="s">
        <v>30</v>
      </c>
      <c r="D474" s="3">
        <v>112.19999999999999</v>
      </c>
    </row>
    <row r="475" spans="1:4" x14ac:dyDescent="0.2">
      <c r="A475" s="2" t="s">
        <v>16</v>
      </c>
      <c r="B475" s="2">
        <v>2019</v>
      </c>
      <c r="C475" s="2" t="s">
        <v>30</v>
      </c>
      <c r="D475" s="3">
        <v>205.20000000000002</v>
      </c>
    </row>
    <row r="476" spans="1:4" x14ac:dyDescent="0.2">
      <c r="A476" s="2" t="s">
        <v>17</v>
      </c>
      <c r="B476" s="2">
        <v>2019</v>
      </c>
      <c r="C476" s="2" t="s">
        <v>30</v>
      </c>
      <c r="D476" s="3">
        <v>150.69999999999999</v>
      </c>
    </row>
    <row r="477" spans="1:4" x14ac:dyDescent="0.2">
      <c r="A477" s="2" t="s">
        <v>18</v>
      </c>
      <c r="B477" s="2">
        <v>2019</v>
      </c>
      <c r="C477" s="2" t="s">
        <v>30</v>
      </c>
      <c r="D477" s="3">
        <v>165.4</v>
      </c>
    </row>
    <row r="478" spans="1:4" x14ac:dyDescent="0.2">
      <c r="A478" s="2" t="s">
        <v>19</v>
      </c>
      <c r="B478" s="2">
        <v>2019</v>
      </c>
      <c r="C478" s="2" t="s">
        <v>30</v>
      </c>
      <c r="D478" s="3">
        <v>22.7</v>
      </c>
    </row>
    <row r="479" spans="1:4" x14ac:dyDescent="0.2">
      <c r="A479" s="2" t="s">
        <v>20</v>
      </c>
      <c r="B479" s="2">
        <v>2019</v>
      </c>
      <c r="C479" s="2" t="s">
        <v>30</v>
      </c>
      <c r="D479" s="3">
        <v>77.8</v>
      </c>
    </row>
    <row r="480" spans="1:4" x14ac:dyDescent="0.2">
      <c r="A480" s="2" t="s">
        <v>21</v>
      </c>
      <c r="B480" s="2">
        <v>2019</v>
      </c>
      <c r="C480" s="2" t="s">
        <v>30</v>
      </c>
      <c r="D480" s="3">
        <v>112.4</v>
      </c>
    </row>
    <row r="481" spans="1:4" x14ac:dyDescent="0.2">
      <c r="A481" s="2" t="s">
        <v>22</v>
      </c>
      <c r="B481" s="2">
        <v>2019</v>
      </c>
      <c r="C481" s="2" t="s">
        <v>30</v>
      </c>
      <c r="D481" s="3">
        <v>183.5</v>
      </c>
    </row>
    <row r="482" spans="1:4" x14ac:dyDescent="0.2">
      <c r="A482" s="2" t="s">
        <v>23</v>
      </c>
      <c r="B482" s="2">
        <v>2019</v>
      </c>
      <c r="C482" s="2" t="s">
        <v>30</v>
      </c>
      <c r="D482" s="3">
        <v>54.699999999999996</v>
      </c>
    </row>
    <row r="483" spans="1:4" x14ac:dyDescent="0.2">
      <c r="A483" s="2" t="s">
        <v>24</v>
      </c>
      <c r="B483" s="2">
        <v>2019</v>
      </c>
      <c r="C483" s="2" t="s">
        <v>30</v>
      </c>
      <c r="D483" s="3">
        <v>442.9</v>
      </c>
    </row>
    <row r="484" spans="1:4" x14ac:dyDescent="0.2">
      <c r="A484" s="2" t="s">
        <v>25</v>
      </c>
      <c r="B484" s="2">
        <v>2019</v>
      </c>
      <c r="C484" s="2" t="s">
        <v>30</v>
      </c>
      <c r="D484" s="3">
        <v>277.39999999999998</v>
      </c>
    </row>
    <row r="485" spans="1:4" x14ac:dyDescent="0.2">
      <c r="A485" s="2" t="s">
        <v>26</v>
      </c>
      <c r="B485" s="2">
        <v>2019</v>
      </c>
      <c r="C485" s="2" t="s">
        <v>30</v>
      </c>
      <c r="D485" s="3">
        <v>12.6</v>
      </c>
    </row>
    <row r="486" spans="1:4" x14ac:dyDescent="0.2">
      <c r="A486" s="2" t="s">
        <v>4</v>
      </c>
      <c r="B486" s="2">
        <v>2012</v>
      </c>
      <c r="C486" s="2" t="s">
        <v>31</v>
      </c>
      <c r="D486" s="3">
        <v>1743.5</v>
      </c>
    </row>
    <row r="487" spans="1:4" x14ac:dyDescent="0.2">
      <c r="A487" s="2" t="s">
        <v>6</v>
      </c>
      <c r="B487" s="2">
        <v>2012</v>
      </c>
      <c r="C487" s="2" t="s">
        <v>31</v>
      </c>
      <c r="D487" s="3">
        <v>363.5</v>
      </c>
    </row>
    <row r="488" spans="1:4" x14ac:dyDescent="0.2">
      <c r="A488" s="2" t="s">
        <v>7</v>
      </c>
      <c r="B488" s="2">
        <v>2012</v>
      </c>
      <c r="C488" s="2" t="s">
        <v>31</v>
      </c>
      <c r="D488" s="3">
        <v>228.3</v>
      </c>
    </row>
    <row r="489" spans="1:4" x14ac:dyDescent="0.2">
      <c r="A489" s="2" t="s">
        <v>8</v>
      </c>
      <c r="B489" s="2">
        <v>2012</v>
      </c>
      <c r="C489" s="2" t="s">
        <v>31</v>
      </c>
      <c r="D489" s="3">
        <v>173.1</v>
      </c>
    </row>
    <row r="490" spans="1:4" x14ac:dyDescent="0.2">
      <c r="A490" s="2" t="s">
        <v>9</v>
      </c>
      <c r="B490" s="2">
        <v>2012</v>
      </c>
      <c r="C490" s="2" t="s">
        <v>31</v>
      </c>
      <c r="D490" s="3">
        <v>215.8</v>
      </c>
    </row>
    <row r="491" spans="1:4" x14ac:dyDescent="0.2">
      <c r="A491" s="2" t="s">
        <v>10</v>
      </c>
      <c r="B491" s="2">
        <v>2012</v>
      </c>
      <c r="C491" s="2" t="s">
        <v>31</v>
      </c>
      <c r="D491" s="3">
        <v>275.5</v>
      </c>
    </row>
    <row r="492" spans="1:4" x14ac:dyDescent="0.2">
      <c r="A492" s="2" t="s">
        <v>11</v>
      </c>
      <c r="B492" s="2">
        <v>2012</v>
      </c>
      <c r="C492" s="2" t="s">
        <v>31</v>
      </c>
      <c r="D492" s="3">
        <v>595.70000000000005</v>
      </c>
    </row>
    <row r="493" spans="1:4" x14ac:dyDescent="0.2">
      <c r="A493" s="2" t="s">
        <v>12</v>
      </c>
      <c r="B493" s="2">
        <v>2012</v>
      </c>
      <c r="C493" s="2" t="s">
        <v>31</v>
      </c>
      <c r="D493" s="3">
        <v>273</v>
      </c>
    </row>
    <row r="494" spans="1:4" x14ac:dyDescent="0.2">
      <c r="A494" s="2" t="s">
        <v>13</v>
      </c>
      <c r="B494" s="2">
        <v>2012</v>
      </c>
      <c r="C494" s="2" t="s">
        <v>31</v>
      </c>
      <c r="D494" s="3">
        <v>287.5</v>
      </c>
    </row>
    <row r="495" spans="1:4" x14ac:dyDescent="0.2">
      <c r="A495" s="2" t="s">
        <v>14</v>
      </c>
      <c r="B495" s="2">
        <v>2012</v>
      </c>
      <c r="C495" s="2" t="s">
        <v>31</v>
      </c>
      <c r="D495" s="3">
        <v>187.5</v>
      </c>
    </row>
    <row r="496" spans="1:4" x14ac:dyDescent="0.2">
      <c r="A496" s="2" t="s">
        <v>15</v>
      </c>
      <c r="B496" s="2">
        <v>2012</v>
      </c>
      <c r="C496" s="2" t="s">
        <v>31</v>
      </c>
      <c r="D496" s="3">
        <v>366.4</v>
      </c>
    </row>
    <row r="497" spans="1:4" x14ac:dyDescent="0.2">
      <c r="A497" s="2" t="s">
        <v>16</v>
      </c>
      <c r="B497" s="2">
        <v>2012</v>
      </c>
      <c r="C497" s="2" t="s">
        <v>31</v>
      </c>
      <c r="D497" s="3">
        <v>515.9</v>
      </c>
    </row>
    <row r="498" spans="1:4" x14ac:dyDescent="0.2">
      <c r="A498" s="2" t="s">
        <v>17</v>
      </c>
      <c r="B498" s="2">
        <v>2012</v>
      </c>
      <c r="C498" s="2" t="s">
        <v>31</v>
      </c>
      <c r="D498" s="3">
        <v>478.8</v>
      </c>
    </row>
    <row r="499" spans="1:4" x14ac:dyDescent="0.2">
      <c r="A499" s="2" t="s">
        <v>18</v>
      </c>
      <c r="B499" s="2">
        <v>2012</v>
      </c>
      <c r="C499" s="2" t="s">
        <v>31</v>
      </c>
      <c r="D499" s="3">
        <v>513.70000000000005</v>
      </c>
    </row>
    <row r="500" spans="1:4" x14ac:dyDescent="0.2">
      <c r="A500" s="2" t="s">
        <v>19</v>
      </c>
      <c r="B500" s="2">
        <v>2012</v>
      </c>
      <c r="C500" s="2" t="s">
        <v>31</v>
      </c>
      <c r="D500" s="3">
        <v>129</v>
      </c>
    </row>
    <row r="501" spans="1:4" x14ac:dyDescent="0.2">
      <c r="A501" s="2" t="s">
        <v>20</v>
      </c>
      <c r="B501" s="2">
        <v>2012</v>
      </c>
      <c r="C501" s="2" t="s">
        <v>31</v>
      </c>
      <c r="D501" s="3">
        <v>264.8</v>
      </c>
    </row>
    <row r="502" spans="1:4" x14ac:dyDescent="0.2">
      <c r="A502" s="2" t="s">
        <v>21</v>
      </c>
      <c r="B502" s="2">
        <v>2012</v>
      </c>
      <c r="C502" s="2" t="s">
        <v>31</v>
      </c>
      <c r="D502" s="3">
        <v>411.2</v>
      </c>
    </row>
    <row r="503" spans="1:4" x14ac:dyDescent="0.2">
      <c r="A503" s="2" t="s">
        <v>22</v>
      </c>
      <c r="B503" s="2">
        <v>2012</v>
      </c>
      <c r="C503" s="2" t="s">
        <v>31</v>
      </c>
      <c r="D503" s="3">
        <v>458.4</v>
      </c>
    </row>
    <row r="504" spans="1:4" x14ac:dyDescent="0.2">
      <c r="A504" s="2" t="s">
        <v>23</v>
      </c>
      <c r="B504" s="2">
        <v>2012</v>
      </c>
      <c r="C504" s="2" t="s">
        <v>31</v>
      </c>
      <c r="D504" s="3">
        <v>202</v>
      </c>
    </row>
    <row r="505" spans="1:4" x14ac:dyDescent="0.2">
      <c r="A505" s="2" t="s">
        <v>24</v>
      </c>
      <c r="B505" s="2">
        <v>2012</v>
      </c>
      <c r="C505" s="2" t="s">
        <v>31</v>
      </c>
      <c r="D505" s="3">
        <v>909.2</v>
      </c>
    </row>
    <row r="506" spans="1:4" x14ac:dyDescent="0.2">
      <c r="A506" s="2" t="s">
        <v>25</v>
      </c>
      <c r="B506" s="2">
        <v>2012</v>
      </c>
      <c r="C506" s="2" t="s">
        <v>31</v>
      </c>
      <c r="D506" s="3">
        <v>753.6</v>
      </c>
    </row>
    <row r="507" spans="1:4" x14ac:dyDescent="0.2">
      <c r="A507" s="2" t="s">
        <v>26</v>
      </c>
      <c r="B507" s="2">
        <v>2012</v>
      </c>
      <c r="C507" s="2" t="s">
        <v>31</v>
      </c>
      <c r="D507" s="3">
        <v>25.4</v>
      </c>
    </row>
    <row r="508" spans="1:4" x14ac:dyDescent="0.2">
      <c r="A508" s="2" t="s">
        <v>4</v>
      </c>
      <c r="B508" s="2">
        <v>2019</v>
      </c>
      <c r="C508" s="2" t="s">
        <v>31</v>
      </c>
      <c r="D508" s="3">
        <v>1800.5</v>
      </c>
    </row>
    <row r="509" spans="1:4" x14ac:dyDescent="0.2">
      <c r="A509" s="2" t="s">
        <v>6</v>
      </c>
      <c r="B509" s="2">
        <v>2019</v>
      </c>
      <c r="C509" s="2" t="s">
        <v>31</v>
      </c>
      <c r="D509" s="3">
        <v>368.5</v>
      </c>
    </row>
    <row r="510" spans="1:4" x14ac:dyDescent="0.2">
      <c r="A510" s="2" t="s">
        <v>7</v>
      </c>
      <c r="B510" s="2">
        <v>2019</v>
      </c>
      <c r="C510" s="2" t="s">
        <v>31</v>
      </c>
      <c r="D510" s="3">
        <v>243</v>
      </c>
    </row>
    <row r="511" spans="1:4" x14ac:dyDescent="0.2">
      <c r="A511" s="2" t="s">
        <v>8</v>
      </c>
      <c r="B511" s="2">
        <v>2019</v>
      </c>
      <c r="C511" s="2" t="s">
        <v>31</v>
      </c>
      <c r="D511" s="3">
        <v>153.30000000000001</v>
      </c>
    </row>
    <row r="512" spans="1:4" x14ac:dyDescent="0.2">
      <c r="A512" s="2" t="s">
        <v>9</v>
      </c>
      <c r="B512" s="2">
        <v>2019</v>
      </c>
      <c r="C512" s="2" t="s">
        <v>31</v>
      </c>
      <c r="D512" s="3">
        <v>206.1</v>
      </c>
    </row>
    <row r="513" spans="1:4" x14ac:dyDescent="0.2">
      <c r="A513" s="2" t="s">
        <v>10</v>
      </c>
      <c r="B513" s="2">
        <v>2019</v>
      </c>
      <c r="C513" s="2" t="s">
        <v>31</v>
      </c>
      <c r="D513" s="3">
        <v>260.5</v>
      </c>
    </row>
    <row r="514" spans="1:4" x14ac:dyDescent="0.2">
      <c r="A514" s="2" t="s">
        <v>11</v>
      </c>
      <c r="B514" s="2">
        <v>2019</v>
      </c>
      <c r="C514" s="2" t="s">
        <v>31</v>
      </c>
      <c r="D514" s="3">
        <v>614.5</v>
      </c>
    </row>
    <row r="515" spans="1:4" x14ac:dyDescent="0.2">
      <c r="A515" s="2" t="s">
        <v>12</v>
      </c>
      <c r="B515" s="2">
        <v>2019</v>
      </c>
      <c r="C515" s="2" t="s">
        <v>31</v>
      </c>
      <c r="D515" s="3">
        <v>288.89999999999998</v>
      </c>
    </row>
    <row r="516" spans="1:4" x14ac:dyDescent="0.2">
      <c r="A516" s="2" t="s">
        <v>13</v>
      </c>
      <c r="B516" s="2">
        <v>2019</v>
      </c>
      <c r="C516" s="2" t="s">
        <v>31</v>
      </c>
      <c r="D516" s="3">
        <v>288.10000000000002</v>
      </c>
    </row>
    <row r="517" spans="1:4" x14ac:dyDescent="0.2">
      <c r="A517" s="2" t="s">
        <v>14</v>
      </c>
      <c r="B517" s="2">
        <v>2019</v>
      </c>
      <c r="C517" s="2" t="s">
        <v>31</v>
      </c>
      <c r="D517" s="3">
        <v>172.20000000000002</v>
      </c>
    </row>
    <row r="518" spans="1:4" x14ac:dyDescent="0.2">
      <c r="A518" s="2" t="s">
        <v>15</v>
      </c>
      <c r="B518" s="2">
        <v>2019</v>
      </c>
      <c r="C518" s="2" t="s">
        <v>31</v>
      </c>
      <c r="D518" s="3">
        <v>311.60000000000002</v>
      </c>
    </row>
    <row r="519" spans="1:4" x14ac:dyDescent="0.2">
      <c r="A519" s="2" t="s">
        <v>16</v>
      </c>
      <c r="B519" s="2">
        <v>2019</v>
      </c>
      <c r="C519" s="2" t="s">
        <v>31</v>
      </c>
      <c r="D519" s="3">
        <v>500.9</v>
      </c>
    </row>
    <row r="520" spans="1:4" x14ac:dyDescent="0.2">
      <c r="A520" s="2" t="s">
        <v>17</v>
      </c>
      <c r="B520" s="2">
        <v>2019</v>
      </c>
      <c r="C520" s="2" t="s">
        <v>31</v>
      </c>
      <c r="D520" s="3">
        <v>475.29999999999995</v>
      </c>
    </row>
    <row r="521" spans="1:4" x14ac:dyDescent="0.2">
      <c r="A521" s="2" t="s">
        <v>18</v>
      </c>
      <c r="B521" s="2">
        <v>2019</v>
      </c>
      <c r="C521" s="2" t="s">
        <v>31</v>
      </c>
      <c r="D521" s="3">
        <v>548</v>
      </c>
    </row>
    <row r="522" spans="1:4" x14ac:dyDescent="0.2">
      <c r="A522" s="2" t="s">
        <v>19</v>
      </c>
      <c r="B522" s="2">
        <v>2019</v>
      </c>
      <c r="C522" s="2" t="s">
        <v>31</v>
      </c>
      <c r="D522" s="3">
        <v>125.1</v>
      </c>
    </row>
    <row r="523" spans="1:4" x14ac:dyDescent="0.2">
      <c r="A523" s="2" t="s">
        <v>20</v>
      </c>
      <c r="B523" s="2">
        <v>2019</v>
      </c>
      <c r="C523" s="2" t="s">
        <v>31</v>
      </c>
      <c r="D523" s="3">
        <v>269.2</v>
      </c>
    </row>
    <row r="524" spans="1:4" x14ac:dyDescent="0.2">
      <c r="A524" s="2" t="s">
        <v>21</v>
      </c>
      <c r="B524" s="2">
        <v>2019</v>
      </c>
      <c r="C524" s="2" t="s">
        <v>31</v>
      </c>
      <c r="D524" s="3">
        <v>411.7</v>
      </c>
    </row>
    <row r="525" spans="1:4" x14ac:dyDescent="0.2">
      <c r="A525" s="2" t="s">
        <v>22</v>
      </c>
      <c r="B525" s="2">
        <v>2019</v>
      </c>
      <c r="C525" s="2" t="s">
        <v>31</v>
      </c>
      <c r="D525" s="3">
        <v>457.3</v>
      </c>
    </row>
    <row r="526" spans="1:4" x14ac:dyDescent="0.2">
      <c r="A526" s="2" t="s">
        <v>23</v>
      </c>
      <c r="B526" s="2">
        <v>2019</v>
      </c>
      <c r="C526" s="2" t="s">
        <v>31</v>
      </c>
      <c r="D526" s="3">
        <v>221.8</v>
      </c>
    </row>
    <row r="527" spans="1:4" x14ac:dyDescent="0.2">
      <c r="A527" s="2" t="s">
        <v>24</v>
      </c>
      <c r="B527" s="2">
        <v>2019</v>
      </c>
      <c r="C527" s="2" t="s">
        <v>31</v>
      </c>
      <c r="D527" s="3">
        <v>947.69999999999993</v>
      </c>
    </row>
    <row r="528" spans="1:4" x14ac:dyDescent="0.2">
      <c r="A528" s="2" t="s">
        <v>25</v>
      </c>
      <c r="B528" s="2">
        <v>2019</v>
      </c>
      <c r="C528" s="2" t="s">
        <v>31</v>
      </c>
      <c r="D528" s="3">
        <v>802.40000000000009</v>
      </c>
    </row>
    <row r="529" spans="1:4" x14ac:dyDescent="0.2">
      <c r="A529" s="2" t="s">
        <v>26</v>
      </c>
      <c r="B529" s="2">
        <v>2019</v>
      </c>
      <c r="C529" s="2" t="s">
        <v>31</v>
      </c>
      <c r="D529" s="3">
        <v>45.5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22871-667F-A740-BB97-B282AF7AE01E}">
  <dimension ref="A1:C25"/>
  <sheetViews>
    <sheetView tabSelected="1" workbookViewId="0">
      <selection activeCell="H21" sqref="H21"/>
    </sheetView>
  </sheetViews>
  <sheetFormatPr baseColWidth="10" defaultRowHeight="16" x14ac:dyDescent="0.2"/>
  <cols>
    <col min="3" max="3" width="17.5" style="5" bestFit="1" customWidth="1"/>
  </cols>
  <sheetData>
    <row r="1" spans="1:3" x14ac:dyDescent="0.2">
      <c r="A1" t="s">
        <v>1</v>
      </c>
      <c r="B1" t="s">
        <v>32</v>
      </c>
      <c r="C1" s="6" t="s">
        <v>33</v>
      </c>
    </row>
    <row r="2" spans="1:3" x14ac:dyDescent="0.2">
      <c r="A2">
        <v>1999</v>
      </c>
      <c r="B2" t="s">
        <v>34</v>
      </c>
      <c r="C2" s="6">
        <v>64781273</v>
      </c>
    </row>
    <row r="3" spans="1:3" x14ac:dyDescent="0.2">
      <c r="A3">
        <v>1999</v>
      </c>
      <c r="B3" t="s">
        <v>27</v>
      </c>
      <c r="C3" s="6">
        <v>7950620767</v>
      </c>
    </row>
    <row r="4" spans="1:3" x14ac:dyDescent="0.2">
      <c r="A4">
        <v>1999</v>
      </c>
      <c r="B4" t="s">
        <v>28</v>
      </c>
      <c r="C4" s="6">
        <v>0</v>
      </c>
    </row>
    <row r="5" spans="1:3" x14ac:dyDescent="0.2">
      <c r="A5">
        <v>1999</v>
      </c>
      <c r="B5" t="s">
        <v>29</v>
      </c>
      <c r="C5" s="6">
        <v>0</v>
      </c>
    </row>
    <row r="6" spans="1:3" x14ac:dyDescent="0.2">
      <c r="A6">
        <v>1999</v>
      </c>
      <c r="B6" t="s">
        <v>30</v>
      </c>
      <c r="C6" s="6">
        <v>6167</v>
      </c>
    </row>
    <row r="7" spans="1:3" x14ac:dyDescent="0.2">
      <c r="A7">
        <v>1999</v>
      </c>
      <c r="B7" t="s">
        <v>31</v>
      </c>
      <c r="C7" s="6">
        <v>4395468</v>
      </c>
    </row>
    <row r="8" spans="1:3" x14ac:dyDescent="0.2">
      <c r="A8">
        <v>2011</v>
      </c>
      <c r="B8" t="s">
        <v>34</v>
      </c>
      <c r="C8" s="6">
        <v>212799718</v>
      </c>
    </row>
    <row r="9" spans="1:3" x14ac:dyDescent="0.2">
      <c r="A9">
        <v>2011</v>
      </c>
      <c r="B9" t="s">
        <v>27</v>
      </c>
      <c r="C9" s="6">
        <v>57137720223</v>
      </c>
    </row>
    <row r="10" spans="1:3" x14ac:dyDescent="0.2">
      <c r="A10">
        <v>2011</v>
      </c>
      <c r="B10" t="s">
        <v>28</v>
      </c>
      <c r="C10" s="6">
        <v>0</v>
      </c>
    </row>
    <row r="11" spans="1:3" x14ac:dyDescent="0.2">
      <c r="A11">
        <v>2011</v>
      </c>
      <c r="B11" t="s">
        <v>29</v>
      </c>
      <c r="C11" s="6">
        <v>0</v>
      </c>
    </row>
    <row r="12" spans="1:3" x14ac:dyDescent="0.2">
      <c r="A12">
        <v>2011</v>
      </c>
      <c r="B12" t="s">
        <v>30</v>
      </c>
      <c r="C12" s="6">
        <v>402637</v>
      </c>
    </row>
    <row r="13" spans="1:3" x14ac:dyDescent="0.2">
      <c r="A13">
        <v>2011</v>
      </c>
      <c r="B13" t="s">
        <v>31</v>
      </c>
      <c r="C13" s="6">
        <v>13944005</v>
      </c>
    </row>
    <row r="14" spans="1:3" x14ac:dyDescent="0.2">
      <c r="A14">
        <v>2012</v>
      </c>
      <c r="B14" t="s">
        <v>34</v>
      </c>
      <c r="C14" s="6">
        <v>171416323</v>
      </c>
    </row>
    <row r="15" spans="1:3" x14ac:dyDescent="0.2">
      <c r="A15">
        <v>2012</v>
      </c>
      <c r="B15" t="s">
        <v>27</v>
      </c>
      <c r="C15" s="6">
        <v>53252880888</v>
      </c>
    </row>
    <row r="16" spans="1:3" x14ac:dyDescent="0.2">
      <c r="A16">
        <v>2012</v>
      </c>
      <c r="B16" t="s">
        <v>28</v>
      </c>
      <c r="C16" s="6">
        <v>0</v>
      </c>
    </row>
    <row r="17" spans="1:3" x14ac:dyDescent="0.2">
      <c r="A17">
        <v>2012</v>
      </c>
      <c r="B17" t="s">
        <v>29</v>
      </c>
      <c r="C17" s="6">
        <v>0</v>
      </c>
    </row>
    <row r="18" spans="1:3" x14ac:dyDescent="0.2">
      <c r="A18">
        <v>2012</v>
      </c>
      <c r="B18" t="s">
        <v>30</v>
      </c>
      <c r="C18" s="6">
        <v>353055</v>
      </c>
    </row>
    <row r="19" spans="1:3" x14ac:dyDescent="0.2">
      <c r="A19">
        <v>2012</v>
      </c>
      <c r="B19" t="s">
        <v>31</v>
      </c>
      <c r="C19" s="6">
        <v>10839454</v>
      </c>
    </row>
    <row r="20" spans="1:3" x14ac:dyDescent="0.2">
      <c r="A20">
        <v>2019</v>
      </c>
      <c r="B20" s="2" t="s">
        <v>34</v>
      </c>
      <c r="C20" s="6">
        <v>435897408.29799998</v>
      </c>
    </row>
    <row r="21" spans="1:3" x14ac:dyDescent="0.2">
      <c r="A21">
        <v>2019</v>
      </c>
      <c r="B21" s="2" t="s">
        <v>27</v>
      </c>
      <c r="C21" s="6">
        <v>59390308440.186005</v>
      </c>
    </row>
    <row r="22" spans="1:3" x14ac:dyDescent="0.2">
      <c r="A22">
        <v>2019</v>
      </c>
      <c r="B22" s="2" t="s">
        <v>28</v>
      </c>
      <c r="C22" s="6">
        <v>0</v>
      </c>
    </row>
    <row r="23" spans="1:3" x14ac:dyDescent="0.2">
      <c r="A23">
        <v>2019</v>
      </c>
      <c r="B23" s="2" t="s">
        <v>29</v>
      </c>
      <c r="C23" s="6">
        <v>0</v>
      </c>
    </row>
    <row r="24" spans="1:3" x14ac:dyDescent="0.2">
      <c r="A24">
        <v>2019</v>
      </c>
      <c r="B24" s="2" t="s">
        <v>30</v>
      </c>
      <c r="C24" s="6">
        <v>260291.07</v>
      </c>
    </row>
    <row r="25" spans="1:3" x14ac:dyDescent="0.2">
      <c r="A25">
        <v>2019</v>
      </c>
      <c r="B25" s="2" t="s">
        <v>31</v>
      </c>
      <c r="C25" s="6">
        <v>7639184.6460000006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05E5-1A34-FC41-8DE1-C8F408899FC2}">
  <dimension ref="A1:C25"/>
  <sheetViews>
    <sheetView workbookViewId="0">
      <selection activeCell="G19" sqref="G19"/>
    </sheetView>
  </sheetViews>
  <sheetFormatPr baseColWidth="10" defaultRowHeight="16" x14ac:dyDescent="0.2"/>
  <cols>
    <col min="1" max="3" width="10.83203125" style="2"/>
  </cols>
  <sheetData>
    <row r="1" spans="1:3" x14ac:dyDescent="0.2">
      <c r="A1" s="2" t="s">
        <v>1</v>
      </c>
      <c r="B1" s="2" t="s">
        <v>32</v>
      </c>
      <c r="C1" s="2" t="s">
        <v>35</v>
      </c>
    </row>
    <row r="2" spans="1:3" x14ac:dyDescent="0.2">
      <c r="A2" s="2">
        <v>1999</v>
      </c>
      <c r="B2" s="2" t="s">
        <v>5</v>
      </c>
      <c r="C2" s="3">
        <f>SUM(employment!D2:D23)</f>
        <v>919.79999999999984</v>
      </c>
    </row>
    <row r="3" spans="1:3" x14ac:dyDescent="0.2">
      <c r="A3" s="2">
        <v>1999</v>
      </c>
      <c r="B3" s="2" t="s">
        <v>27</v>
      </c>
      <c r="C3" s="3">
        <f>SUM(employment!D46:D67)</f>
        <v>4463.5</v>
      </c>
    </row>
    <row r="4" spans="1:3" x14ac:dyDescent="0.2">
      <c r="A4" s="2">
        <v>1999</v>
      </c>
      <c r="B4" s="2" t="s">
        <v>28</v>
      </c>
      <c r="C4" s="3">
        <f>SUM(employment!D90:D111)</f>
        <v>1435</v>
      </c>
    </row>
    <row r="5" spans="1:3" x14ac:dyDescent="0.2">
      <c r="A5" s="2">
        <v>1999</v>
      </c>
      <c r="B5" s="2" t="s">
        <v>29</v>
      </c>
      <c r="C5" s="3">
        <f>SUM(employment!D134:D155)</f>
        <v>5179.8</v>
      </c>
    </row>
    <row r="6" spans="1:3" x14ac:dyDescent="0.2">
      <c r="A6" s="2">
        <v>1999</v>
      </c>
      <c r="B6" s="2" t="s">
        <v>30</v>
      </c>
      <c r="C6" s="3">
        <f>SUM(employment!D178:D199)</f>
        <v>2769.7000000000003</v>
      </c>
    </row>
    <row r="7" spans="1:3" x14ac:dyDescent="0.2">
      <c r="A7" s="2">
        <v>1999</v>
      </c>
      <c r="B7" s="2" t="s">
        <v>31</v>
      </c>
      <c r="C7" s="3">
        <f>SUM(employment!D222:D243)</f>
        <v>7617.4</v>
      </c>
    </row>
    <row r="8" spans="1:3" x14ac:dyDescent="0.2">
      <c r="A8" s="2">
        <v>2011</v>
      </c>
      <c r="B8" s="2" t="s">
        <v>5</v>
      </c>
      <c r="C8" s="3">
        <f>SUM(employment!D24:D45)</f>
        <v>722.4</v>
      </c>
    </row>
    <row r="9" spans="1:3" x14ac:dyDescent="0.2">
      <c r="A9" s="2">
        <v>2011</v>
      </c>
      <c r="B9" s="2" t="s">
        <v>27</v>
      </c>
      <c r="C9" s="3">
        <f>SUM(employment!D68:D89)</f>
        <v>3791.2</v>
      </c>
    </row>
    <row r="10" spans="1:3" x14ac:dyDescent="0.2">
      <c r="A10" s="2">
        <v>2011</v>
      </c>
      <c r="B10" s="2" t="s">
        <v>28</v>
      </c>
      <c r="C10" s="3">
        <f>SUM(employment!D112:D133)</f>
        <v>1881.3000000000002</v>
      </c>
    </row>
    <row r="11" spans="1:3" x14ac:dyDescent="0.2">
      <c r="A11" s="2">
        <v>2011</v>
      </c>
      <c r="B11" s="2" t="s">
        <v>29</v>
      </c>
      <c r="C11" s="3">
        <f>SUM(employment!D156:D177)</f>
        <v>6255.699999999998</v>
      </c>
    </row>
    <row r="12" spans="1:3" x14ac:dyDescent="0.2">
      <c r="A12" s="2">
        <v>2011</v>
      </c>
      <c r="B12" s="2" t="s">
        <v>30</v>
      </c>
      <c r="C12" s="3">
        <f>SUM(employment!D200:D221)</f>
        <v>3445.9999999999995</v>
      </c>
    </row>
    <row r="13" spans="1:3" x14ac:dyDescent="0.2">
      <c r="A13" s="2">
        <v>2011</v>
      </c>
      <c r="B13" s="2" t="s">
        <v>31</v>
      </c>
      <c r="C13" s="3">
        <f>SUM(employment!D244:D265)</f>
        <v>9313.1999999999989</v>
      </c>
    </row>
    <row r="14" spans="1:3" x14ac:dyDescent="0.2">
      <c r="A14" s="2">
        <v>2012</v>
      </c>
      <c r="B14" s="2" t="s">
        <v>5</v>
      </c>
      <c r="C14" s="3">
        <f>SUM(employment!D266:D287)</f>
        <v>721.19999999999993</v>
      </c>
    </row>
    <row r="15" spans="1:3" x14ac:dyDescent="0.2">
      <c r="A15" s="2">
        <v>2012</v>
      </c>
      <c r="B15" s="2" t="s">
        <v>27</v>
      </c>
      <c r="C15" s="3">
        <f>SUM(employment!D310:D331)</f>
        <v>3716.3999999999996</v>
      </c>
    </row>
    <row r="16" spans="1:3" x14ac:dyDescent="0.2">
      <c r="A16" s="2">
        <v>2012</v>
      </c>
      <c r="B16" s="2" t="s">
        <v>28</v>
      </c>
      <c r="C16" s="3">
        <f>SUM(employment!D354:D375)</f>
        <v>1856.0999999999997</v>
      </c>
    </row>
    <row r="17" spans="1:3" x14ac:dyDescent="0.2">
      <c r="A17" s="2">
        <v>2012</v>
      </c>
      <c r="B17" s="2" t="s">
        <v>29</v>
      </c>
      <c r="C17" s="3">
        <f>SUM(employment!D398:D419)</f>
        <v>6273.7000000000007</v>
      </c>
    </row>
    <row r="18" spans="1:3" x14ac:dyDescent="0.2">
      <c r="A18" s="2">
        <v>2012</v>
      </c>
      <c r="B18" s="2" t="s">
        <v>30</v>
      </c>
      <c r="C18" s="3">
        <f>SUM(employment!D442:D463)</f>
        <v>3471.1999999999994</v>
      </c>
    </row>
    <row r="19" spans="1:3" x14ac:dyDescent="0.2">
      <c r="A19" s="2">
        <v>2012</v>
      </c>
      <c r="B19" s="2" t="s">
        <v>31</v>
      </c>
      <c r="C19" s="3">
        <f>SUM(employment!D486:D507)</f>
        <v>9371.7999999999993</v>
      </c>
    </row>
    <row r="20" spans="1:3" x14ac:dyDescent="0.2">
      <c r="A20" s="2">
        <v>2019</v>
      </c>
      <c r="B20" s="2" t="s">
        <v>5</v>
      </c>
      <c r="C20" s="3">
        <f>SUM(employment!D288:D309)</f>
        <v>618.40000000000009</v>
      </c>
    </row>
    <row r="21" spans="1:3" x14ac:dyDescent="0.2">
      <c r="A21" s="2">
        <v>2019</v>
      </c>
      <c r="B21" s="2" t="s">
        <v>27</v>
      </c>
      <c r="C21" s="3">
        <f>SUM(employment!D332:D353)</f>
        <v>3586.3</v>
      </c>
    </row>
    <row r="22" spans="1:3" x14ac:dyDescent="0.2">
      <c r="A22" s="2">
        <v>2019</v>
      </c>
      <c r="B22" s="2" t="s">
        <v>28</v>
      </c>
      <c r="C22" s="3">
        <f>SUM(employment!D376:D397)</f>
        <v>1748.3</v>
      </c>
    </row>
    <row r="23" spans="1:3" x14ac:dyDescent="0.2">
      <c r="A23" s="2">
        <v>2019</v>
      </c>
      <c r="B23" s="2" t="s">
        <v>29</v>
      </c>
      <c r="C23" s="3">
        <f>SUM(employment!D420:D441)</f>
        <v>6474.699999999998</v>
      </c>
    </row>
    <row r="24" spans="1:3" x14ac:dyDescent="0.2">
      <c r="A24" s="2">
        <v>2019</v>
      </c>
      <c r="B24" s="2" t="s">
        <v>30</v>
      </c>
      <c r="C24" s="3">
        <f>SUM(employment!D464:D485)</f>
        <v>3778.099999999999</v>
      </c>
    </row>
    <row r="25" spans="1:3" x14ac:dyDescent="0.2">
      <c r="A25" s="2">
        <v>2019</v>
      </c>
      <c r="B25" s="2" t="s">
        <v>31</v>
      </c>
      <c r="C25" s="3">
        <f>SUM(employment!D508:D529)</f>
        <v>9512.1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B1125-2C84-0F45-A336-55893E338218}">
  <dimension ref="A1:C13"/>
  <sheetViews>
    <sheetView workbookViewId="0">
      <selection sqref="A1:B13"/>
    </sheetView>
  </sheetViews>
  <sheetFormatPr baseColWidth="10" defaultRowHeight="16" x14ac:dyDescent="0.2"/>
  <cols>
    <col min="1" max="2" width="10.83203125" style="2"/>
    <col min="3" max="3" width="17.5" style="6" bestFit="1" customWidth="1"/>
  </cols>
  <sheetData>
    <row r="1" spans="1:3" x14ac:dyDescent="0.2">
      <c r="A1" s="2" t="s">
        <v>36</v>
      </c>
      <c r="B1" s="2" t="s">
        <v>32</v>
      </c>
      <c r="C1" s="6" t="s">
        <v>39</v>
      </c>
    </row>
    <row r="2" spans="1:3" x14ac:dyDescent="0.2">
      <c r="A2" s="2" t="s">
        <v>37</v>
      </c>
      <c r="B2" s="2" t="s">
        <v>5</v>
      </c>
      <c r="C2" s="6">
        <f>import!C8-import!C2</f>
        <v>148018445</v>
      </c>
    </row>
    <row r="3" spans="1:3" x14ac:dyDescent="0.2">
      <c r="A3" s="2" t="s">
        <v>37</v>
      </c>
      <c r="B3" s="2" t="s">
        <v>27</v>
      </c>
      <c r="C3" s="6">
        <f>import!C9-import!C3</f>
        <v>49187099456</v>
      </c>
    </row>
    <row r="4" spans="1:3" x14ac:dyDescent="0.2">
      <c r="A4" s="2" t="s">
        <v>37</v>
      </c>
      <c r="B4" s="2" t="s">
        <v>28</v>
      </c>
      <c r="C4" s="6">
        <f>import!C10-import!C4</f>
        <v>0</v>
      </c>
    </row>
    <row r="5" spans="1:3" x14ac:dyDescent="0.2">
      <c r="A5" s="2" t="s">
        <v>37</v>
      </c>
      <c r="B5" s="2" t="s">
        <v>29</v>
      </c>
      <c r="C5" s="6">
        <f>import!C11-import!C5</f>
        <v>0</v>
      </c>
    </row>
    <row r="6" spans="1:3" x14ac:dyDescent="0.2">
      <c r="A6" s="2" t="s">
        <v>37</v>
      </c>
      <c r="B6" s="2" t="s">
        <v>30</v>
      </c>
      <c r="C6" s="6">
        <f>import!C12-import!C6</f>
        <v>396470</v>
      </c>
    </row>
    <row r="7" spans="1:3" x14ac:dyDescent="0.2">
      <c r="A7" s="2" t="s">
        <v>37</v>
      </c>
      <c r="B7" s="2" t="s">
        <v>31</v>
      </c>
      <c r="C7" s="6">
        <f>import!C13-import!C7</f>
        <v>9548537</v>
      </c>
    </row>
    <row r="8" spans="1:3" x14ac:dyDescent="0.2">
      <c r="A8" s="2" t="s">
        <v>38</v>
      </c>
      <c r="B8" s="2" t="s">
        <v>5</v>
      </c>
      <c r="C8" s="6">
        <f>import!C20-import!C14</f>
        <v>264481085.29799998</v>
      </c>
    </row>
    <row r="9" spans="1:3" x14ac:dyDescent="0.2">
      <c r="A9" s="2" t="s">
        <v>38</v>
      </c>
      <c r="B9" s="2" t="s">
        <v>27</v>
      </c>
      <c r="C9" s="6">
        <f>import!C21-import!C15</f>
        <v>6137427552.1860046</v>
      </c>
    </row>
    <row r="10" spans="1:3" x14ac:dyDescent="0.2">
      <c r="A10" s="2" t="s">
        <v>38</v>
      </c>
      <c r="B10" s="2" t="s">
        <v>28</v>
      </c>
      <c r="C10" s="6">
        <f>import!C22-import!C16</f>
        <v>0</v>
      </c>
    </row>
    <row r="11" spans="1:3" x14ac:dyDescent="0.2">
      <c r="A11" s="2" t="s">
        <v>38</v>
      </c>
      <c r="B11" s="2" t="s">
        <v>29</v>
      </c>
      <c r="C11" s="6">
        <f>import!C23-import!C17</f>
        <v>0</v>
      </c>
    </row>
    <row r="12" spans="1:3" x14ac:dyDescent="0.2">
      <c r="A12" s="2" t="s">
        <v>38</v>
      </c>
      <c r="B12" s="2" t="s">
        <v>30</v>
      </c>
      <c r="C12" s="6">
        <f>import!C24-import!C18</f>
        <v>-92763.93</v>
      </c>
    </row>
    <row r="13" spans="1:3" x14ac:dyDescent="0.2">
      <c r="A13" s="2" t="s">
        <v>38</v>
      </c>
      <c r="B13" s="2" t="s">
        <v>31</v>
      </c>
      <c r="C13" s="6">
        <f>import!C25-import!C19</f>
        <v>-3200269.3539999994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94F00-349E-EC4B-B720-38C570B2BA2C}">
  <dimension ref="A1:I13"/>
  <sheetViews>
    <sheetView workbookViewId="0">
      <selection sqref="A1:C13"/>
    </sheetView>
  </sheetViews>
  <sheetFormatPr baseColWidth="10" defaultRowHeight="16" x14ac:dyDescent="0.2"/>
  <cols>
    <col min="3" max="3" width="10.83203125" style="2"/>
    <col min="4" max="4" width="18.1640625" style="6" bestFit="1" customWidth="1"/>
    <col min="5" max="5" width="14" style="5" bestFit="1" customWidth="1"/>
  </cols>
  <sheetData>
    <row r="1" spans="1:9" x14ac:dyDescent="0.2">
      <c r="A1" s="2" t="s">
        <v>36</v>
      </c>
      <c r="B1" t="s">
        <v>32</v>
      </c>
      <c r="C1" s="2" t="s">
        <v>41</v>
      </c>
      <c r="D1" s="6" t="s">
        <v>39</v>
      </c>
      <c r="E1" s="5" t="s">
        <v>40</v>
      </c>
    </row>
    <row r="2" spans="1:9" x14ac:dyDescent="0.2">
      <c r="A2" s="2" t="s">
        <v>37</v>
      </c>
      <c r="B2" s="2" t="s">
        <v>5</v>
      </c>
      <c r="C2" s="3">
        <f>L_i!C2</f>
        <v>919.79999999999984</v>
      </c>
      <c r="D2" s="6">
        <f>delta_M!C2</f>
        <v>148018445</v>
      </c>
      <c r="E2" s="6">
        <f>D2/C2</f>
        <v>160924.59773863887</v>
      </c>
    </row>
    <row r="3" spans="1:9" x14ac:dyDescent="0.2">
      <c r="A3" s="2" t="s">
        <v>37</v>
      </c>
      <c r="B3" s="2" t="s">
        <v>27</v>
      </c>
      <c r="C3" s="3">
        <f>L_i!C3</f>
        <v>4463.5</v>
      </c>
      <c r="D3" s="6">
        <f>delta_M!C3</f>
        <v>49187099456</v>
      </c>
      <c r="E3" s="6">
        <f t="shared" ref="E3:E13" si="0">D3/C3</f>
        <v>11019849.771703821</v>
      </c>
    </row>
    <row r="4" spans="1:9" x14ac:dyDescent="0.2">
      <c r="A4" s="2" t="s">
        <v>37</v>
      </c>
      <c r="B4" s="2" t="s">
        <v>28</v>
      </c>
      <c r="C4" s="3">
        <f>L_i!C4</f>
        <v>1435</v>
      </c>
      <c r="D4" s="6">
        <f>delta_M!C4</f>
        <v>0</v>
      </c>
      <c r="E4" s="6">
        <f t="shared" si="0"/>
        <v>0</v>
      </c>
    </row>
    <row r="5" spans="1:9" x14ac:dyDescent="0.2">
      <c r="A5" s="2" t="s">
        <v>37</v>
      </c>
      <c r="B5" s="2" t="s">
        <v>29</v>
      </c>
      <c r="C5" s="3">
        <f>L_i!C5</f>
        <v>5179.8</v>
      </c>
      <c r="D5" s="6">
        <f>delta_M!C5</f>
        <v>0</v>
      </c>
      <c r="E5" s="6">
        <f t="shared" si="0"/>
        <v>0</v>
      </c>
    </row>
    <row r="6" spans="1:9" x14ac:dyDescent="0.2">
      <c r="A6" s="2" t="s">
        <v>37</v>
      </c>
      <c r="B6" s="2" t="s">
        <v>30</v>
      </c>
      <c r="C6" s="3">
        <f>L_i!C6</f>
        <v>2769.7000000000003</v>
      </c>
      <c r="D6" s="6">
        <f>delta_M!C6</f>
        <v>396470</v>
      </c>
      <c r="E6" s="6">
        <f t="shared" si="0"/>
        <v>143.1454670180886</v>
      </c>
    </row>
    <row r="7" spans="1:9" x14ac:dyDescent="0.2">
      <c r="A7" s="2" t="s">
        <v>37</v>
      </c>
      <c r="B7" s="2" t="s">
        <v>31</v>
      </c>
      <c r="C7" s="3">
        <f>L_i!C7</f>
        <v>7617.4</v>
      </c>
      <c r="D7" s="6">
        <f>delta_M!C7</f>
        <v>9548537</v>
      </c>
      <c r="E7" s="6">
        <f t="shared" si="0"/>
        <v>1253.5165542048469</v>
      </c>
    </row>
    <row r="8" spans="1:9" x14ac:dyDescent="0.2">
      <c r="A8" s="2" t="s">
        <v>38</v>
      </c>
      <c r="B8" s="2" t="s">
        <v>5</v>
      </c>
      <c r="C8" s="3">
        <f>L_i!C14</f>
        <v>721.19999999999993</v>
      </c>
      <c r="D8" s="6">
        <f>delta_M!C8</f>
        <v>264481085.29799998</v>
      </c>
      <c r="E8" s="6">
        <f t="shared" si="0"/>
        <v>366723.63463394344</v>
      </c>
      <c r="I8" s="5"/>
    </row>
    <row r="9" spans="1:9" x14ac:dyDescent="0.2">
      <c r="A9" s="2" t="s">
        <v>38</v>
      </c>
      <c r="B9" s="2" t="s">
        <v>27</v>
      </c>
      <c r="C9" s="3">
        <f>L_i!C15</f>
        <v>3716.3999999999996</v>
      </c>
      <c r="D9" s="6">
        <f>delta_M!C9</f>
        <v>6137427552.1860046</v>
      </c>
      <c r="E9" s="6">
        <f t="shared" si="0"/>
        <v>1651444.288070715</v>
      </c>
    </row>
    <row r="10" spans="1:9" x14ac:dyDescent="0.2">
      <c r="A10" s="2" t="s">
        <v>38</v>
      </c>
      <c r="B10" s="2" t="s">
        <v>28</v>
      </c>
      <c r="C10" s="3">
        <f>L_i!C16</f>
        <v>1856.0999999999997</v>
      </c>
      <c r="D10" s="6">
        <f>delta_M!C10</f>
        <v>0</v>
      </c>
      <c r="E10" s="6">
        <f t="shared" si="0"/>
        <v>0</v>
      </c>
    </row>
    <row r="11" spans="1:9" x14ac:dyDescent="0.2">
      <c r="A11" s="2" t="s">
        <v>38</v>
      </c>
      <c r="B11" s="2" t="s">
        <v>29</v>
      </c>
      <c r="C11" s="3">
        <f>L_i!C17</f>
        <v>6273.7000000000007</v>
      </c>
      <c r="D11" s="6">
        <f>delta_M!C11</f>
        <v>0</v>
      </c>
      <c r="E11" s="6">
        <f t="shared" si="0"/>
        <v>0</v>
      </c>
    </row>
    <row r="12" spans="1:9" x14ac:dyDescent="0.2">
      <c r="A12" s="2" t="s">
        <v>38</v>
      </c>
      <c r="B12" s="2" t="s">
        <v>30</v>
      </c>
      <c r="C12" s="3">
        <f>L_i!C18</f>
        <v>3471.1999999999994</v>
      </c>
      <c r="D12" s="6">
        <f>delta_M!C12</f>
        <v>-92763.93</v>
      </c>
      <c r="E12" s="6">
        <f t="shared" si="0"/>
        <v>-26.723879350080665</v>
      </c>
    </row>
    <row r="13" spans="1:9" x14ac:dyDescent="0.2">
      <c r="A13" s="2" t="s">
        <v>38</v>
      </c>
      <c r="B13" s="2" t="s">
        <v>31</v>
      </c>
      <c r="C13" s="3">
        <f>L_i!C19</f>
        <v>9371.7999999999993</v>
      </c>
      <c r="D13" s="6">
        <f>delta_M!C13</f>
        <v>-3200269.3539999994</v>
      </c>
      <c r="E13" s="6">
        <f t="shared" si="0"/>
        <v>-341.47862246313406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3782F-FD83-5940-A973-8243C5D4AE8D}">
  <dimension ref="A1:S24"/>
  <sheetViews>
    <sheetView workbookViewId="0">
      <selection activeCell="B2" sqref="B2:G2"/>
    </sheetView>
  </sheetViews>
  <sheetFormatPr baseColWidth="10" defaultRowHeight="16" x14ac:dyDescent="0.2"/>
  <cols>
    <col min="1" max="1" width="23.83203125" bestFit="1" customWidth="1"/>
    <col min="12" max="12" width="23.83203125" bestFit="1" customWidth="1"/>
  </cols>
  <sheetData>
    <row r="1" spans="1:19" x14ac:dyDescent="0.2">
      <c r="A1" s="9">
        <v>1999</v>
      </c>
      <c r="B1" s="9"/>
      <c r="C1" s="9"/>
      <c r="D1" s="9"/>
      <c r="E1" s="9"/>
      <c r="F1" s="9"/>
      <c r="G1" s="9"/>
      <c r="H1" s="9"/>
      <c r="L1" s="9">
        <v>2012</v>
      </c>
      <c r="M1" s="9"/>
      <c r="N1" s="9"/>
      <c r="O1" s="9"/>
      <c r="P1" s="9"/>
      <c r="Q1" s="9"/>
      <c r="R1" s="9"/>
      <c r="S1" s="9"/>
    </row>
    <row r="2" spans="1:19" x14ac:dyDescent="0.2">
      <c r="B2" t="s">
        <v>5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42</v>
      </c>
      <c r="M2" t="s">
        <v>5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43</v>
      </c>
    </row>
    <row r="3" spans="1:19" x14ac:dyDescent="0.2">
      <c r="A3" s="2" t="s">
        <v>4</v>
      </c>
      <c r="B3" s="1">
        <f>employment!D2</f>
        <v>22.6</v>
      </c>
      <c r="C3" s="1">
        <f>employment!D46</f>
        <v>700.8</v>
      </c>
      <c r="D3" s="1">
        <f>employment!D90</f>
        <v>250.9</v>
      </c>
      <c r="E3" s="1">
        <f>employment!D134</f>
        <v>1179.4000000000001</v>
      </c>
      <c r="F3" s="1">
        <f>employment!D178</f>
        <v>1074.9000000000001</v>
      </c>
      <c r="G3" s="1">
        <f>employment!D222</f>
        <v>1601.9</v>
      </c>
      <c r="H3" s="1">
        <f>SUM(B3:G3)</f>
        <v>4830.5</v>
      </c>
      <c r="L3" s="2" t="s">
        <v>4</v>
      </c>
      <c r="M3" s="1">
        <f>employment!D266</f>
        <v>8.6</v>
      </c>
      <c r="N3" s="1">
        <f>employment!D310</f>
        <v>470.5</v>
      </c>
      <c r="O3" s="1">
        <f>employment!D354</f>
        <v>302.5</v>
      </c>
      <c r="P3" s="1">
        <f>employment!D398</f>
        <v>1525</v>
      </c>
      <c r="Q3" s="1">
        <f>employment!D442</f>
        <v>1113.9000000000001</v>
      </c>
      <c r="R3" s="1">
        <f>employment!D486</f>
        <v>1743.5</v>
      </c>
      <c r="S3" s="1">
        <f>SUM(M3:R3)</f>
        <v>5164</v>
      </c>
    </row>
    <row r="4" spans="1:19" x14ac:dyDescent="0.2">
      <c r="A4" s="2" t="s">
        <v>6</v>
      </c>
      <c r="B4" s="1">
        <f>employment!D3</f>
        <v>53.8</v>
      </c>
      <c r="C4" s="1">
        <f>employment!D47</f>
        <v>233.5</v>
      </c>
      <c r="D4" s="1">
        <f>employment!D91</f>
        <v>54.5</v>
      </c>
      <c r="E4" s="1">
        <f>employment!D135</f>
        <v>182.6</v>
      </c>
      <c r="F4" s="1">
        <f>employment!D179</f>
        <v>92.4</v>
      </c>
      <c r="G4" s="1">
        <f>employment!D223</f>
        <v>302.2</v>
      </c>
      <c r="H4" s="1">
        <f t="shared" ref="H4:H24" si="0">SUM(B4:G4)</f>
        <v>919</v>
      </c>
      <c r="L4" s="2" t="s">
        <v>6</v>
      </c>
      <c r="M4" s="1">
        <f>employment!D267</f>
        <v>39.9</v>
      </c>
      <c r="N4" s="1">
        <f>employment!D311</f>
        <v>174.9</v>
      </c>
      <c r="O4" s="1">
        <f>employment!D355</f>
        <v>75.599999999999994</v>
      </c>
      <c r="P4" s="1">
        <f>employment!D399</f>
        <v>231.6</v>
      </c>
      <c r="Q4" s="1">
        <f>employment!D443</f>
        <v>123.60000000000001</v>
      </c>
      <c r="R4" s="1">
        <f>employment!D487</f>
        <v>363.5</v>
      </c>
      <c r="S4" s="1">
        <f t="shared" ref="S4:S24" si="1">SUM(M4:R4)</f>
        <v>1009.1</v>
      </c>
    </row>
    <row r="5" spans="1:19" x14ac:dyDescent="0.2">
      <c r="A5" s="2" t="s">
        <v>7</v>
      </c>
      <c r="B5" s="1">
        <f>employment!D4</f>
        <v>41.1</v>
      </c>
      <c r="C5" s="1">
        <f>employment!D48</f>
        <v>150.4</v>
      </c>
      <c r="D5" s="1">
        <f>employment!D92</f>
        <v>37.1</v>
      </c>
      <c r="E5" s="1">
        <f>employment!D136</f>
        <v>137</v>
      </c>
      <c r="F5" s="1">
        <f>employment!D180</f>
        <v>42</v>
      </c>
      <c r="G5" s="1">
        <f>employment!D224</f>
        <v>215.1</v>
      </c>
      <c r="H5" s="1">
        <f t="shared" si="0"/>
        <v>622.70000000000005</v>
      </c>
      <c r="L5" s="2" t="s">
        <v>7</v>
      </c>
      <c r="M5" s="1">
        <f>employment!D268</f>
        <v>36.4</v>
      </c>
      <c r="N5" s="1">
        <f>employment!D312</f>
        <v>104.4</v>
      </c>
      <c r="O5" s="1">
        <f>employment!D356</f>
        <v>41.9</v>
      </c>
      <c r="P5" s="1">
        <f>employment!D400</f>
        <v>163.30000000000001</v>
      </c>
      <c r="Q5" s="1">
        <f>employment!D444</f>
        <v>68.099999999999994</v>
      </c>
      <c r="R5" s="1">
        <f>employment!D488</f>
        <v>228.3</v>
      </c>
      <c r="S5" s="1">
        <f t="shared" si="1"/>
        <v>642.40000000000009</v>
      </c>
    </row>
    <row r="6" spans="1:19" x14ac:dyDescent="0.2">
      <c r="A6" s="2" t="s">
        <v>8</v>
      </c>
      <c r="B6" s="1">
        <f>employment!D5</f>
        <v>20.7</v>
      </c>
      <c r="C6" s="1">
        <f>employment!D49</f>
        <v>143.9</v>
      </c>
      <c r="D6" s="1">
        <f>employment!D93</f>
        <v>26.2</v>
      </c>
      <c r="E6" s="1">
        <f>employment!D137</f>
        <v>81.400000000000006</v>
      </c>
      <c r="F6" s="1">
        <f>employment!D181</f>
        <v>29.5</v>
      </c>
      <c r="G6" s="1">
        <f>employment!D225</f>
        <v>141.6</v>
      </c>
      <c r="H6" s="1">
        <f t="shared" si="0"/>
        <v>443.29999999999995</v>
      </c>
      <c r="L6" s="2" t="s">
        <v>8</v>
      </c>
      <c r="M6" s="1">
        <f>employment!D269</f>
        <v>15.8</v>
      </c>
      <c r="N6" s="1">
        <f>employment!D313</f>
        <v>128.4</v>
      </c>
      <c r="O6" s="1">
        <f>employment!D357</f>
        <v>33.200000000000003</v>
      </c>
      <c r="P6" s="1">
        <f>employment!D401</f>
        <v>85.2</v>
      </c>
      <c r="Q6" s="1">
        <f>employment!D445</f>
        <v>34.200000000000003</v>
      </c>
      <c r="R6" s="1">
        <f>employment!D489</f>
        <v>173.1</v>
      </c>
      <c r="S6" s="1">
        <f t="shared" si="1"/>
        <v>469.9</v>
      </c>
    </row>
    <row r="7" spans="1:19" x14ac:dyDescent="0.2">
      <c r="A7" s="2" t="s">
        <v>9</v>
      </c>
      <c r="B7" s="1">
        <f>employment!D6</f>
        <v>44.7</v>
      </c>
      <c r="C7" s="1">
        <f>employment!D50</f>
        <v>97.4</v>
      </c>
      <c r="D7" s="1">
        <f>employment!D94</f>
        <v>31.6</v>
      </c>
      <c r="E7" s="1">
        <f>employment!D138</f>
        <v>101</v>
      </c>
      <c r="F7" s="1">
        <f>employment!D182</f>
        <v>47.6</v>
      </c>
      <c r="G7" s="1">
        <f>employment!D226</f>
        <v>172.7</v>
      </c>
      <c r="H7" s="1">
        <f t="shared" si="0"/>
        <v>495.00000000000006</v>
      </c>
      <c r="L7" s="2" t="s">
        <v>9</v>
      </c>
      <c r="M7" s="1">
        <f>employment!D270</f>
        <v>31.8</v>
      </c>
      <c r="N7" s="1">
        <f>employment!D314</f>
        <v>90.8</v>
      </c>
      <c r="O7" s="1">
        <f>employment!D358</f>
        <v>45.2</v>
      </c>
      <c r="P7" s="1">
        <f>employment!D402</f>
        <v>138.19999999999999</v>
      </c>
      <c r="Q7" s="1">
        <f>employment!D446</f>
        <v>53.5</v>
      </c>
      <c r="R7" s="1">
        <f>employment!D490</f>
        <v>215.8</v>
      </c>
      <c r="S7" s="1">
        <f t="shared" si="1"/>
        <v>575.29999999999995</v>
      </c>
    </row>
    <row r="8" spans="1:19" x14ac:dyDescent="0.2">
      <c r="A8" s="2" t="s">
        <v>10</v>
      </c>
      <c r="B8" s="1">
        <f>employment!D7</f>
        <v>16.600000000000001</v>
      </c>
      <c r="C8" s="1">
        <f>employment!D51</f>
        <v>174.4</v>
      </c>
      <c r="D8" s="1">
        <f>employment!D95</f>
        <v>56.5</v>
      </c>
      <c r="E8" s="1">
        <f>employment!D139</f>
        <v>157.1</v>
      </c>
      <c r="F8" s="1">
        <f>employment!D183</f>
        <v>67.8</v>
      </c>
      <c r="G8" s="1">
        <f>employment!D227</f>
        <v>235.1</v>
      </c>
      <c r="H8" s="1">
        <f t="shared" si="0"/>
        <v>707.5</v>
      </c>
      <c r="L8" s="2" t="s">
        <v>10</v>
      </c>
      <c r="M8" s="1">
        <f>employment!D271</f>
        <v>10.8</v>
      </c>
      <c r="N8" s="1">
        <f>employment!D315</f>
        <v>148.4</v>
      </c>
      <c r="O8" s="1">
        <f>employment!D359</f>
        <v>56.3</v>
      </c>
      <c r="P8" s="1">
        <f>employment!D403</f>
        <v>155.4</v>
      </c>
      <c r="Q8" s="1">
        <f>employment!D447</f>
        <v>74.099999999999994</v>
      </c>
      <c r="R8" s="1">
        <f>employment!D491</f>
        <v>275.5</v>
      </c>
      <c r="S8" s="1">
        <f t="shared" si="1"/>
        <v>720.5</v>
      </c>
    </row>
    <row r="9" spans="1:19" x14ac:dyDescent="0.2">
      <c r="A9" s="2" t="s">
        <v>11</v>
      </c>
      <c r="B9" s="1">
        <f>employment!D8</f>
        <v>22.1</v>
      </c>
      <c r="C9" s="1">
        <f>employment!D52</f>
        <v>304.89999999999998</v>
      </c>
      <c r="D9" s="1">
        <f>employment!D96</f>
        <v>82.1</v>
      </c>
      <c r="E9" s="1">
        <f>employment!D140</f>
        <v>326.60000000000002</v>
      </c>
      <c r="F9" s="1">
        <f>employment!D184</f>
        <v>125.1</v>
      </c>
      <c r="G9" s="1">
        <f>employment!D228</f>
        <v>458.9</v>
      </c>
      <c r="H9" s="1">
        <f t="shared" si="0"/>
        <v>1319.7</v>
      </c>
      <c r="L9" s="2" t="s">
        <v>11</v>
      </c>
      <c r="M9" s="1">
        <f>employment!D272</f>
        <v>16.100000000000001</v>
      </c>
      <c r="N9" s="1">
        <f>employment!D316</f>
        <v>253.4</v>
      </c>
      <c r="O9" s="1">
        <f>employment!D360</f>
        <v>103.8</v>
      </c>
      <c r="P9" s="1">
        <f>employment!D404</f>
        <v>362.5</v>
      </c>
      <c r="Q9" s="1">
        <f>employment!D448</f>
        <v>169.5</v>
      </c>
      <c r="R9" s="1">
        <f>employment!D492</f>
        <v>595.70000000000005</v>
      </c>
      <c r="S9" s="1">
        <f t="shared" si="1"/>
        <v>1501</v>
      </c>
    </row>
    <row r="10" spans="1:19" x14ac:dyDescent="0.2">
      <c r="A10" s="2" t="s">
        <v>12</v>
      </c>
      <c r="B10" s="1">
        <f>employment!D9</f>
        <v>25.5</v>
      </c>
      <c r="C10" s="1">
        <f>employment!D53</f>
        <v>168.7</v>
      </c>
      <c r="D10" s="1">
        <f>employment!D97</f>
        <v>44.2</v>
      </c>
      <c r="E10" s="1">
        <f>employment!D141</f>
        <v>155.30000000000001</v>
      </c>
      <c r="F10" s="1">
        <f>employment!D185</f>
        <v>54.9</v>
      </c>
      <c r="G10" s="1">
        <f>employment!D229</f>
        <v>212.3</v>
      </c>
      <c r="H10" s="1">
        <f t="shared" si="0"/>
        <v>660.9</v>
      </c>
      <c r="L10" s="2" t="s">
        <v>12</v>
      </c>
      <c r="M10" s="1">
        <f>employment!D273</f>
        <v>22.5</v>
      </c>
      <c r="N10" s="1">
        <f>employment!D317</f>
        <v>129.6</v>
      </c>
      <c r="O10" s="1">
        <f>employment!D361</f>
        <v>53.3</v>
      </c>
      <c r="P10" s="1">
        <f>employment!D405</f>
        <v>199.6</v>
      </c>
      <c r="Q10" s="1">
        <f>employment!D449</f>
        <v>70.900000000000006</v>
      </c>
      <c r="R10" s="1">
        <f>employment!D493</f>
        <v>273</v>
      </c>
      <c r="S10" s="1">
        <f t="shared" si="1"/>
        <v>748.9</v>
      </c>
    </row>
    <row r="11" spans="1:19" x14ac:dyDescent="0.2">
      <c r="A11" s="2" t="s">
        <v>13</v>
      </c>
      <c r="B11" s="1">
        <f>employment!D10</f>
        <v>14</v>
      </c>
      <c r="C11" s="1">
        <f>employment!D54</f>
        <v>216.6</v>
      </c>
      <c r="D11" s="1">
        <f>employment!D98</f>
        <v>58.4</v>
      </c>
      <c r="E11" s="1">
        <f>employment!D142</f>
        <v>165.2</v>
      </c>
      <c r="F11" s="1">
        <f>employment!D186</f>
        <v>74</v>
      </c>
      <c r="G11" s="1">
        <f>employment!D230</f>
        <v>212.7</v>
      </c>
      <c r="H11" s="1">
        <f t="shared" si="0"/>
        <v>740.90000000000009</v>
      </c>
      <c r="L11" s="2" t="s">
        <v>13</v>
      </c>
      <c r="M11" s="1">
        <f>employment!D274</f>
        <v>7.3</v>
      </c>
      <c r="N11" s="1">
        <f>employment!D318</f>
        <v>172.7</v>
      </c>
      <c r="O11" s="1">
        <f>employment!D362</f>
        <v>57.3</v>
      </c>
      <c r="P11" s="1">
        <f>employment!D406</f>
        <v>192.6</v>
      </c>
      <c r="Q11" s="1">
        <f>employment!D450</f>
        <v>87.9</v>
      </c>
      <c r="R11" s="1">
        <f>employment!D494</f>
        <v>287.5</v>
      </c>
      <c r="S11" s="1">
        <f t="shared" si="1"/>
        <v>805.3</v>
      </c>
    </row>
    <row r="12" spans="1:19" x14ac:dyDescent="0.2">
      <c r="A12" s="2" t="s">
        <v>14</v>
      </c>
      <c r="B12" s="1">
        <f>employment!D11</f>
        <v>39.9</v>
      </c>
      <c r="C12" s="1">
        <f>employment!D55</f>
        <v>103</v>
      </c>
      <c r="D12" s="1">
        <f>employment!D99</f>
        <v>30.2</v>
      </c>
      <c r="E12" s="1">
        <f>employment!D143</f>
        <v>101.4</v>
      </c>
      <c r="F12" s="1">
        <f>employment!D187</f>
        <v>39.4</v>
      </c>
      <c r="G12" s="1">
        <f>employment!D231</f>
        <v>157.69999999999999</v>
      </c>
      <c r="H12" s="1">
        <f t="shared" si="0"/>
        <v>471.59999999999997</v>
      </c>
      <c r="L12" s="2" t="s">
        <v>14</v>
      </c>
      <c r="M12" s="1">
        <f>employment!D275</f>
        <v>29</v>
      </c>
      <c r="N12" s="1">
        <f>employment!D319</f>
        <v>97.3</v>
      </c>
      <c r="O12" s="1">
        <f>employment!D363</f>
        <v>40.299999999999997</v>
      </c>
      <c r="P12" s="1">
        <f>employment!D407</f>
        <v>99.4</v>
      </c>
      <c r="Q12" s="1">
        <f>employment!D451</f>
        <v>47.800000000000004</v>
      </c>
      <c r="R12" s="1">
        <f>employment!D495</f>
        <v>187.5</v>
      </c>
      <c r="S12" s="1">
        <f t="shared" si="1"/>
        <v>501.3</v>
      </c>
    </row>
    <row r="13" spans="1:19" x14ac:dyDescent="0.2">
      <c r="A13" s="2" t="s">
        <v>15</v>
      </c>
      <c r="B13" s="1">
        <f>employment!D12</f>
        <v>24.7</v>
      </c>
      <c r="C13" s="1">
        <f>employment!D56</f>
        <v>211.6</v>
      </c>
      <c r="D13" s="1">
        <f>employment!D100</f>
        <v>66</v>
      </c>
      <c r="E13" s="1">
        <f>employment!D144</f>
        <v>188.2</v>
      </c>
      <c r="F13" s="1">
        <f>employment!D188</f>
        <v>75.7</v>
      </c>
      <c r="G13" s="1">
        <f>employment!D232</f>
        <v>294.7</v>
      </c>
      <c r="H13" s="1">
        <f t="shared" si="0"/>
        <v>860.89999999999986</v>
      </c>
      <c r="L13" s="2" t="s">
        <v>15</v>
      </c>
      <c r="M13" s="1">
        <f>employment!D276</f>
        <v>17.600000000000001</v>
      </c>
      <c r="N13" s="1">
        <f>employment!D320</f>
        <v>158.80000000000001</v>
      </c>
      <c r="O13" s="1">
        <f>employment!D364</f>
        <v>68.8</v>
      </c>
      <c r="P13" s="1">
        <f>employment!D408</f>
        <v>202.3</v>
      </c>
      <c r="Q13" s="1">
        <f>employment!D452</f>
        <v>98.9</v>
      </c>
      <c r="R13" s="1">
        <f>employment!D496</f>
        <v>366.4</v>
      </c>
      <c r="S13" s="1">
        <f t="shared" si="1"/>
        <v>912.8</v>
      </c>
    </row>
    <row r="14" spans="1:19" x14ac:dyDescent="0.2">
      <c r="A14" s="2" t="s">
        <v>16</v>
      </c>
      <c r="B14" s="1">
        <f>employment!D13</f>
        <v>83.9</v>
      </c>
      <c r="C14" s="1">
        <f>employment!D57</f>
        <v>326.89999999999998</v>
      </c>
      <c r="D14" s="1">
        <f>employment!D101</f>
        <v>89.1</v>
      </c>
      <c r="E14" s="1">
        <f>employment!D145</f>
        <v>265.8</v>
      </c>
      <c r="F14" s="1">
        <f>employment!D189</f>
        <v>109.4</v>
      </c>
      <c r="G14" s="1">
        <f>employment!D233</f>
        <v>409.5</v>
      </c>
      <c r="H14" s="1">
        <f t="shared" si="0"/>
        <v>1284.5999999999999</v>
      </c>
      <c r="L14" s="2" t="s">
        <v>16</v>
      </c>
      <c r="M14" s="1">
        <f>employment!D277</f>
        <v>60.3</v>
      </c>
      <c r="N14" s="1">
        <f>employment!D321</f>
        <v>284.5</v>
      </c>
      <c r="O14" s="1">
        <f>employment!D365</f>
        <v>120</v>
      </c>
      <c r="P14" s="1">
        <f>employment!D409</f>
        <v>350</v>
      </c>
      <c r="Q14" s="1">
        <f>employment!D453</f>
        <v>174.9</v>
      </c>
      <c r="R14" s="1">
        <f>employment!D497</f>
        <v>515.9</v>
      </c>
      <c r="S14" s="1">
        <f t="shared" si="1"/>
        <v>1505.6</v>
      </c>
    </row>
    <row r="15" spans="1:19" x14ac:dyDescent="0.2">
      <c r="A15" s="2" t="s">
        <v>17</v>
      </c>
      <c r="B15" s="1">
        <f>employment!D14</f>
        <v>89.8</v>
      </c>
      <c r="C15" s="1">
        <f>employment!D58</f>
        <v>240.1</v>
      </c>
      <c r="D15" s="1">
        <f>employment!D102</f>
        <v>75.599999999999994</v>
      </c>
      <c r="E15" s="1">
        <f>employment!D146</f>
        <v>242.5</v>
      </c>
      <c r="F15" s="1">
        <f>employment!D190</f>
        <v>95.3</v>
      </c>
      <c r="G15" s="1">
        <f>employment!D234</f>
        <v>421.1</v>
      </c>
      <c r="H15" s="1">
        <f t="shared" si="0"/>
        <v>1164.4000000000001</v>
      </c>
      <c r="L15" s="2" t="s">
        <v>17</v>
      </c>
      <c r="M15" s="1">
        <f>employment!D278</f>
        <v>76.900000000000006</v>
      </c>
      <c r="N15" s="1">
        <f>employment!D322</f>
        <v>192</v>
      </c>
      <c r="O15" s="1">
        <f>employment!D366</f>
        <v>88.7</v>
      </c>
      <c r="P15" s="1">
        <f>employment!D410</f>
        <v>312.3</v>
      </c>
      <c r="Q15" s="1">
        <f>employment!D454</f>
        <v>140</v>
      </c>
      <c r="R15" s="1">
        <f>employment!D498</f>
        <v>478.8</v>
      </c>
      <c r="S15" s="1">
        <f t="shared" si="1"/>
        <v>1288.7</v>
      </c>
    </row>
    <row r="16" spans="1:19" x14ac:dyDescent="0.2">
      <c r="A16" s="2" t="s">
        <v>18</v>
      </c>
      <c r="B16" s="1">
        <f>employment!D15</f>
        <v>85.1</v>
      </c>
      <c r="C16" s="1">
        <f>employment!D59</f>
        <v>172</v>
      </c>
      <c r="D16" s="1">
        <f>employment!D103</f>
        <v>79.3</v>
      </c>
      <c r="E16" s="1">
        <f>employment!D147</f>
        <v>289.8</v>
      </c>
      <c r="F16" s="1">
        <f>employment!D191</f>
        <v>117.3</v>
      </c>
      <c r="G16" s="1">
        <f>employment!D235</f>
        <v>398.2</v>
      </c>
      <c r="H16" s="1">
        <f t="shared" si="0"/>
        <v>1141.7</v>
      </c>
      <c r="L16" s="2" t="s">
        <v>18</v>
      </c>
      <c r="M16" s="1">
        <f>employment!D279</f>
        <v>52.2</v>
      </c>
      <c r="N16" s="1">
        <f>employment!D323</f>
        <v>144.9</v>
      </c>
      <c r="O16" s="1">
        <f>employment!D367</f>
        <v>114.2</v>
      </c>
      <c r="P16" s="1">
        <f>employment!D411</f>
        <v>318.39999999999998</v>
      </c>
      <c r="Q16" s="1">
        <f>employment!D455</f>
        <v>156.1</v>
      </c>
      <c r="R16" s="1">
        <f>employment!D499</f>
        <v>513.70000000000005</v>
      </c>
      <c r="S16" s="1">
        <f t="shared" si="1"/>
        <v>1299.5</v>
      </c>
    </row>
    <row r="17" spans="1:19" x14ac:dyDescent="0.2">
      <c r="A17" s="2" t="s">
        <v>19</v>
      </c>
      <c r="B17" s="1">
        <f>employment!D16</f>
        <v>23.1</v>
      </c>
      <c r="C17" s="1">
        <f>employment!D60</f>
        <v>46.5</v>
      </c>
      <c r="D17" s="1">
        <f>employment!D104</f>
        <v>16.7</v>
      </c>
      <c r="E17" s="1">
        <f>employment!D148</f>
        <v>56.5</v>
      </c>
      <c r="F17" s="1">
        <f>employment!D192</f>
        <v>16</v>
      </c>
      <c r="G17" s="1">
        <f>employment!D236</f>
        <v>88</v>
      </c>
      <c r="H17" s="1">
        <f t="shared" si="0"/>
        <v>246.8</v>
      </c>
      <c r="L17" s="2" t="s">
        <v>19</v>
      </c>
      <c r="M17" s="1">
        <f>employment!D280</f>
        <v>16</v>
      </c>
      <c r="N17" s="1">
        <f>employment!D324</f>
        <v>40.6</v>
      </c>
      <c r="O17" s="1">
        <f>employment!D368</f>
        <v>19.7</v>
      </c>
      <c r="P17" s="1">
        <f>employment!D412</f>
        <v>57.6</v>
      </c>
      <c r="Q17" s="1">
        <f>employment!D456</f>
        <v>13.8</v>
      </c>
      <c r="R17" s="1">
        <f>employment!D500</f>
        <v>129</v>
      </c>
      <c r="S17" s="1">
        <f t="shared" si="1"/>
        <v>276.70000000000005</v>
      </c>
    </row>
    <row r="18" spans="1:19" x14ac:dyDescent="0.2">
      <c r="A18" s="2" t="s">
        <v>20</v>
      </c>
      <c r="B18" s="1">
        <f>employment!D17</f>
        <v>53.7</v>
      </c>
      <c r="C18" s="1">
        <f>employment!D61</f>
        <v>125.7</v>
      </c>
      <c r="D18" s="1">
        <f>employment!D105</f>
        <v>39.9</v>
      </c>
      <c r="E18" s="1">
        <f>employment!D149</f>
        <v>124.3</v>
      </c>
      <c r="F18" s="1">
        <f>employment!D193</f>
        <v>53</v>
      </c>
      <c r="G18" s="1">
        <f>employment!D237</f>
        <v>222.8</v>
      </c>
      <c r="H18" s="1">
        <f t="shared" si="0"/>
        <v>619.40000000000009</v>
      </c>
      <c r="L18" s="2" t="s">
        <v>20</v>
      </c>
      <c r="M18" s="1">
        <f>employment!D281</f>
        <v>32.700000000000003</v>
      </c>
      <c r="N18" s="1">
        <f>employment!D325</f>
        <v>129.6</v>
      </c>
      <c r="O18" s="1">
        <f>employment!D369</f>
        <v>60.1</v>
      </c>
      <c r="P18" s="1">
        <f>employment!D413</f>
        <v>135.5</v>
      </c>
      <c r="Q18" s="1">
        <f>employment!D457</f>
        <v>84</v>
      </c>
      <c r="R18" s="1">
        <f>employment!D501</f>
        <v>264.8</v>
      </c>
      <c r="S18" s="1">
        <f t="shared" si="1"/>
        <v>706.7</v>
      </c>
    </row>
    <row r="19" spans="1:19" x14ac:dyDescent="0.2">
      <c r="A19" s="2" t="s">
        <v>21</v>
      </c>
      <c r="B19" s="1">
        <f>employment!D18</f>
        <v>46.3</v>
      </c>
      <c r="C19" s="1">
        <f>employment!D62</f>
        <v>73.900000000000006</v>
      </c>
      <c r="D19" s="1">
        <f>employment!D106</f>
        <v>53.8</v>
      </c>
      <c r="E19" s="1">
        <f>employment!D150</f>
        <v>171.6</v>
      </c>
      <c r="F19" s="1">
        <f>employment!D194</f>
        <v>74.599999999999994</v>
      </c>
      <c r="G19" s="1">
        <f>employment!D238</f>
        <v>265.10000000000002</v>
      </c>
      <c r="H19" s="1">
        <f t="shared" si="0"/>
        <v>685.30000000000007</v>
      </c>
      <c r="L19" s="2" t="s">
        <v>21</v>
      </c>
      <c r="M19" s="1">
        <f>employment!D282</f>
        <v>33.9</v>
      </c>
      <c r="N19" s="1">
        <f>employment!D326</f>
        <v>86</v>
      </c>
      <c r="O19" s="1">
        <f>employment!D370</f>
        <v>72.7</v>
      </c>
      <c r="P19" s="1">
        <f>employment!D414</f>
        <v>212.9</v>
      </c>
      <c r="Q19" s="1">
        <f>employment!D458</f>
        <v>99.199999999999989</v>
      </c>
      <c r="R19" s="1">
        <f>employment!D502</f>
        <v>411.2</v>
      </c>
      <c r="S19" s="1">
        <f t="shared" si="1"/>
        <v>915.9</v>
      </c>
    </row>
    <row r="20" spans="1:19" x14ac:dyDescent="0.2">
      <c r="A20" s="2" t="s">
        <v>22</v>
      </c>
      <c r="B20" s="1">
        <f>employment!D19</f>
        <v>64.3</v>
      </c>
      <c r="C20" s="1">
        <f>employment!D63</f>
        <v>164</v>
      </c>
      <c r="D20" s="1">
        <f>employment!D107</f>
        <v>60.8</v>
      </c>
      <c r="E20" s="1">
        <f>employment!D151</f>
        <v>209.3</v>
      </c>
      <c r="F20" s="1">
        <f>employment!D195</f>
        <v>101.5</v>
      </c>
      <c r="G20" s="1">
        <f>employment!D239</f>
        <v>338.9</v>
      </c>
      <c r="H20" s="1">
        <f t="shared" si="0"/>
        <v>938.80000000000007</v>
      </c>
      <c r="L20" s="2" t="s">
        <v>22</v>
      </c>
      <c r="M20" s="1">
        <f>employment!D283</f>
        <v>60.5</v>
      </c>
      <c r="N20" s="1">
        <f>employment!D327</f>
        <v>164.8</v>
      </c>
      <c r="O20" s="1">
        <f>employment!D371</f>
        <v>87.3</v>
      </c>
      <c r="P20" s="1">
        <f>employment!D415</f>
        <v>272.8</v>
      </c>
      <c r="Q20" s="1">
        <f>employment!D459</f>
        <v>162.19999999999999</v>
      </c>
      <c r="R20" s="1">
        <f>employment!D503</f>
        <v>458.4</v>
      </c>
      <c r="S20" s="1">
        <f t="shared" si="1"/>
        <v>1206</v>
      </c>
    </row>
    <row r="21" spans="1:19" x14ac:dyDescent="0.2">
      <c r="A21" s="2" t="s">
        <v>23</v>
      </c>
      <c r="B21" s="1">
        <f>employment!D20</f>
        <v>36.4</v>
      </c>
      <c r="C21" s="1">
        <f>employment!D64</f>
        <v>98.7</v>
      </c>
      <c r="D21" s="1">
        <f>employment!D108</f>
        <v>31.2</v>
      </c>
      <c r="E21" s="1">
        <f>employment!D152</f>
        <v>98.6</v>
      </c>
      <c r="F21" s="1">
        <f>employment!D196</f>
        <v>35.5</v>
      </c>
      <c r="G21" s="1">
        <f>employment!D240</f>
        <v>169</v>
      </c>
      <c r="H21" s="1">
        <f t="shared" si="0"/>
        <v>469.4</v>
      </c>
      <c r="L21" s="2" t="s">
        <v>23</v>
      </c>
      <c r="M21" s="1">
        <f>employment!D284</f>
        <v>38.6</v>
      </c>
      <c r="N21" s="1">
        <f>employment!D328</f>
        <v>95.5</v>
      </c>
      <c r="O21" s="1">
        <f>employment!D372</f>
        <v>40.5</v>
      </c>
      <c r="P21" s="1">
        <f>employment!D416</f>
        <v>105.4</v>
      </c>
      <c r="Q21" s="1">
        <f>employment!D460</f>
        <v>51.7</v>
      </c>
      <c r="R21" s="1">
        <f>employment!D504</f>
        <v>202</v>
      </c>
      <c r="S21" s="1">
        <f t="shared" si="1"/>
        <v>533.70000000000005</v>
      </c>
    </row>
    <row r="22" spans="1:19" x14ac:dyDescent="0.2">
      <c r="A22" s="2" t="s">
        <v>24</v>
      </c>
      <c r="B22" s="1">
        <f>employment!D21</f>
        <v>75.900000000000006</v>
      </c>
      <c r="C22" s="1">
        <f>employment!D65</f>
        <v>522.79999999999995</v>
      </c>
      <c r="D22" s="1">
        <f>employment!D109</f>
        <v>139.80000000000001</v>
      </c>
      <c r="E22" s="1">
        <f>employment!D153</f>
        <v>507.2</v>
      </c>
      <c r="F22" s="1">
        <f>employment!D197</f>
        <v>269.8</v>
      </c>
      <c r="G22" s="1">
        <f>employment!D241</f>
        <v>696.4</v>
      </c>
      <c r="H22" s="1">
        <f t="shared" si="0"/>
        <v>2211.9</v>
      </c>
      <c r="L22" s="2" t="s">
        <v>24</v>
      </c>
      <c r="M22" s="1">
        <f>employment!D285</f>
        <v>71.5</v>
      </c>
      <c r="N22" s="1">
        <f>employment!D329</f>
        <v>446.7</v>
      </c>
      <c r="O22" s="1">
        <f>employment!D373</f>
        <v>220.2</v>
      </c>
      <c r="P22" s="1">
        <f>employment!D417</f>
        <v>633.6</v>
      </c>
      <c r="Q22" s="1">
        <f>employment!D461</f>
        <v>359.2</v>
      </c>
      <c r="R22" s="1">
        <f>employment!D505</f>
        <v>909.2</v>
      </c>
      <c r="S22" s="1">
        <f t="shared" si="1"/>
        <v>2640.4</v>
      </c>
    </row>
    <row r="23" spans="1:19" x14ac:dyDescent="0.2">
      <c r="A23" s="2" t="s">
        <v>25</v>
      </c>
      <c r="B23" s="1">
        <f>employment!D22</f>
        <v>35.6</v>
      </c>
      <c r="C23" s="1">
        <f>employment!D66</f>
        <v>187.7</v>
      </c>
      <c r="D23" s="1">
        <f>employment!D110</f>
        <v>111.1</v>
      </c>
      <c r="E23" s="1">
        <f>employment!D154</f>
        <v>419.6</v>
      </c>
      <c r="F23" s="1">
        <f>employment!D198</f>
        <v>174</v>
      </c>
      <c r="G23" s="1">
        <f>employment!D242</f>
        <v>574.4</v>
      </c>
      <c r="H23" s="1">
        <f t="shared" si="0"/>
        <v>1502.4</v>
      </c>
      <c r="L23" s="2" t="s">
        <v>25</v>
      </c>
      <c r="M23" s="1">
        <f>employment!D286</f>
        <v>42.8</v>
      </c>
      <c r="N23" s="1">
        <f>employment!D330</f>
        <v>191.7</v>
      </c>
      <c r="O23" s="1">
        <f>employment!D374</f>
        <v>147.80000000000001</v>
      </c>
      <c r="P23" s="1">
        <f>employment!D418</f>
        <v>502.5</v>
      </c>
      <c r="Q23" s="1">
        <f>employment!D462</f>
        <v>280.2</v>
      </c>
      <c r="R23" s="1">
        <f>employment!D506</f>
        <v>753.6</v>
      </c>
      <c r="S23" s="1">
        <f t="shared" si="1"/>
        <v>1918.6</v>
      </c>
    </row>
    <row r="24" spans="1:19" x14ac:dyDescent="0.2">
      <c r="A24" s="2" t="s">
        <v>26</v>
      </c>
      <c r="B24" s="1">
        <f>employment!D23</f>
        <v>0</v>
      </c>
      <c r="C24" s="1">
        <f>employment!D67</f>
        <v>0</v>
      </c>
      <c r="D24" s="1">
        <f>employment!D111</f>
        <v>0</v>
      </c>
      <c r="E24" s="1">
        <f>employment!D155</f>
        <v>19.399999999999999</v>
      </c>
      <c r="F24" s="1">
        <f>employment!D199</f>
        <v>0</v>
      </c>
      <c r="G24" s="1">
        <f>employment!D243</f>
        <v>29.1</v>
      </c>
      <c r="H24" s="1">
        <f t="shared" si="0"/>
        <v>48.5</v>
      </c>
      <c r="L24" s="2" t="s">
        <v>26</v>
      </c>
      <c r="M24" s="1">
        <f>employment!D287</f>
        <v>0</v>
      </c>
      <c r="N24" s="1">
        <f>employment!D331</f>
        <v>10.9</v>
      </c>
      <c r="O24" s="1">
        <f>employment!D375</f>
        <v>6.7</v>
      </c>
      <c r="P24" s="1">
        <f>employment!D419</f>
        <v>17.600000000000001</v>
      </c>
      <c r="Q24" s="1">
        <f>employment!D463</f>
        <v>7.5</v>
      </c>
      <c r="R24" s="1">
        <f>employment!D507</f>
        <v>25.4</v>
      </c>
      <c r="S24" s="1">
        <f t="shared" si="1"/>
        <v>68.099999999999994</v>
      </c>
    </row>
  </sheetData>
  <mergeCells count="2">
    <mergeCell ref="A1:H1"/>
    <mergeCell ref="L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E70E2-D5D0-C242-A148-A602E0DF3947}">
  <dimension ref="A1:P24"/>
  <sheetViews>
    <sheetView workbookViewId="0">
      <selection activeCell="O31" sqref="O31"/>
    </sheetView>
  </sheetViews>
  <sheetFormatPr baseColWidth="10" defaultRowHeight="16" x14ac:dyDescent="0.2"/>
  <cols>
    <col min="1" max="1" width="23.83203125" bestFit="1" customWidth="1"/>
    <col min="10" max="10" width="23.83203125" bestFit="1" customWidth="1"/>
  </cols>
  <sheetData>
    <row r="1" spans="1:16" x14ac:dyDescent="0.2">
      <c r="A1" s="9">
        <v>1999</v>
      </c>
      <c r="B1" s="9"/>
      <c r="C1" s="9"/>
      <c r="D1" s="9"/>
      <c r="E1" s="9"/>
      <c r="F1" s="9"/>
      <c r="G1" s="9"/>
      <c r="J1" s="9">
        <v>2012</v>
      </c>
      <c r="K1" s="9"/>
      <c r="L1" s="9"/>
      <c r="M1" s="9"/>
      <c r="N1" s="9"/>
      <c r="O1" s="9"/>
      <c r="P1" s="9"/>
    </row>
    <row r="2" spans="1:16" x14ac:dyDescent="0.2">
      <c r="B2" t="s">
        <v>5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K2" t="s">
        <v>5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x14ac:dyDescent="0.2">
      <c r="A3" s="2" t="s">
        <v>4</v>
      </c>
      <c r="B3" s="7">
        <f>L_r!B3/L_r!$H3</f>
        <v>4.6786046993064906E-3</v>
      </c>
      <c r="C3" s="7">
        <f>L_r!C3/L_r!$H3</f>
        <v>0.14507814925991097</v>
      </c>
      <c r="D3" s="7">
        <f>L_r!D3/L_r!$H3</f>
        <v>5.1940792878583997E-2</v>
      </c>
      <c r="E3" s="7">
        <f>L_r!E3/L_r!$H3</f>
        <v>0.24415691957354313</v>
      </c>
      <c r="F3" s="7">
        <f>L_r!F3/L_r!$H3</f>
        <v>0.22252354828692683</v>
      </c>
      <c r="G3" s="7">
        <f>L_r!G3/L_r!$H3</f>
        <v>0.33162198530172859</v>
      </c>
      <c r="J3" s="2" t="s">
        <v>4</v>
      </c>
      <c r="K3" s="7">
        <f>L_r!M3/L_r!$S3</f>
        <v>1.6653756777691711E-3</v>
      </c>
      <c r="L3" s="7">
        <f>L_r!N3/L_r!$S3</f>
        <v>9.1111541440743612E-2</v>
      </c>
      <c r="M3" s="7">
        <f>L_r!O3/L_r!$S3</f>
        <v>5.8578621223857472E-2</v>
      </c>
      <c r="N3" s="7">
        <f>L_r!P3/L_r!$S3</f>
        <v>0.29531371030209141</v>
      </c>
      <c r="O3" s="7">
        <f>L_r!Q3/L_r!$S3</f>
        <v>0.21570487993803256</v>
      </c>
      <c r="P3" s="7">
        <f>L_r!R3/L_r!$S3</f>
        <v>0.33762587141750583</v>
      </c>
    </row>
    <row r="4" spans="1:16" x14ac:dyDescent="0.2">
      <c r="A4" s="2" t="s">
        <v>6</v>
      </c>
      <c r="B4" s="7">
        <f>L_r!B4/L_r!$H4</f>
        <v>5.8541893362350376E-2</v>
      </c>
      <c r="C4" s="7">
        <f>L_r!C4/L_r!$H4</f>
        <v>0.25408052230685529</v>
      </c>
      <c r="D4" s="7">
        <f>L_r!D4/L_r!$H4</f>
        <v>5.930359085963003E-2</v>
      </c>
      <c r="E4" s="7">
        <f>L_r!E4/L_r!$H4</f>
        <v>0.19869423286180629</v>
      </c>
      <c r="F4" s="7">
        <f>L_r!F4/L_r!$H4</f>
        <v>0.10054406964091404</v>
      </c>
      <c r="G4" s="7">
        <f>L_r!G4/L_r!$H4</f>
        <v>0.32883569096844395</v>
      </c>
      <c r="J4" s="2" t="s">
        <v>6</v>
      </c>
      <c r="K4" s="7">
        <f>L_r!M4/L_r!$S4</f>
        <v>3.9540184322663756E-2</v>
      </c>
      <c r="L4" s="7">
        <f>L_r!N4/L_r!$S4</f>
        <v>0.17332276285799228</v>
      </c>
      <c r="M4" s="7">
        <f>L_r!O4/L_r!$S4</f>
        <v>7.4918243979783958E-2</v>
      </c>
      <c r="N4" s="7">
        <f>L_r!P4/L_r!$S4</f>
        <v>0.22951144584283023</v>
      </c>
      <c r="O4" s="7">
        <f>L_r!Q4/L_r!$S4</f>
        <v>0.12248538301456745</v>
      </c>
      <c r="P4" s="7">
        <f>L_r!R4/L_r!$S4</f>
        <v>0.36022197998216232</v>
      </c>
    </row>
    <row r="5" spans="1:16" x14ac:dyDescent="0.2">
      <c r="A5" s="2" t="s">
        <v>7</v>
      </c>
      <c r="B5" s="7">
        <f>L_r!B5/L_r!$H5</f>
        <v>6.6002890637546163E-2</v>
      </c>
      <c r="C5" s="7">
        <f>L_r!C5/L_r!$H5</f>
        <v>0.24152882607997431</v>
      </c>
      <c r="D5" s="7">
        <f>L_r!D5/L_r!$H5</f>
        <v>5.9579251646057492E-2</v>
      </c>
      <c r="E5" s="7">
        <f>L_r!E5/L_r!$H5</f>
        <v>0.22000963545848723</v>
      </c>
      <c r="F5" s="7">
        <f>L_r!F5/L_r!$H5</f>
        <v>6.7448209410631121E-2</v>
      </c>
      <c r="G5" s="7">
        <f>L_r!G5/L_r!$H5</f>
        <v>0.34543118676730367</v>
      </c>
      <c r="J5" s="2" t="s">
        <v>7</v>
      </c>
      <c r="K5" s="7">
        <f>L_r!M5/L_r!$S5</f>
        <v>5.6662515566625146E-2</v>
      </c>
      <c r="L5" s="7">
        <f>L_r!N5/L_r!$S5</f>
        <v>0.16251556662515565</v>
      </c>
      <c r="M5" s="7">
        <f>L_r!O5/L_r!$S5</f>
        <v>6.5224159402241577E-2</v>
      </c>
      <c r="N5" s="7">
        <f>L_r!P5/L_r!$S5</f>
        <v>0.25420298879202985</v>
      </c>
      <c r="O5" s="7">
        <f>L_r!Q5/L_r!$S5</f>
        <v>0.10600871731008715</v>
      </c>
      <c r="P5" s="7">
        <f>L_r!R5/L_r!$S5</f>
        <v>0.3553860523038605</v>
      </c>
    </row>
    <row r="6" spans="1:16" x14ac:dyDescent="0.2">
      <c r="A6" s="2" t="s">
        <v>8</v>
      </c>
      <c r="B6" s="7">
        <f>L_r!B6/L_r!$H6</f>
        <v>4.6695240243627346E-2</v>
      </c>
      <c r="C6" s="7">
        <f>L_r!C6/L_r!$H6</f>
        <v>0.32461087299796981</v>
      </c>
      <c r="D6" s="7">
        <f>L_r!D6/L_r!$H6</f>
        <v>5.9102188134446204E-2</v>
      </c>
      <c r="E6" s="7">
        <f>L_r!E6/L_r!$H6</f>
        <v>0.18362282878411915</v>
      </c>
      <c r="F6" s="7">
        <f>L_r!F6/L_r!$H6</f>
        <v>6.654635686893752E-2</v>
      </c>
      <c r="G6" s="7">
        <f>L_r!G6/L_r!$H6</f>
        <v>0.31942251297090007</v>
      </c>
      <c r="J6" s="2" t="s">
        <v>8</v>
      </c>
      <c r="K6" s="7">
        <f>L_r!M6/L_r!$S6</f>
        <v>3.3624175356458827E-2</v>
      </c>
      <c r="L6" s="7">
        <f>L_r!N6/L_r!$S6</f>
        <v>0.27324962758033627</v>
      </c>
      <c r="M6" s="7">
        <f>L_r!O6/L_r!$S6</f>
        <v>7.0653330495850195E-2</v>
      </c>
      <c r="N6" s="7">
        <f>L_r!P6/L_r!$S6</f>
        <v>0.18131517344115772</v>
      </c>
      <c r="O6" s="7">
        <f>L_r!Q6/L_r!$S6</f>
        <v>7.2781442860183024E-2</v>
      </c>
      <c r="P6" s="7">
        <f>L_r!R6/L_r!$S6</f>
        <v>0.36837625026601406</v>
      </c>
    </row>
    <row r="7" spans="1:16" x14ac:dyDescent="0.2">
      <c r="A7" s="2" t="s">
        <v>9</v>
      </c>
      <c r="B7" s="7">
        <f>L_r!B7/L_r!$H7</f>
        <v>9.0303030303030302E-2</v>
      </c>
      <c r="C7" s="7">
        <f>L_r!C7/L_r!$H7</f>
        <v>0.19676767676767676</v>
      </c>
      <c r="D7" s="7">
        <f>L_r!D7/L_r!$H7</f>
        <v>6.3838383838383833E-2</v>
      </c>
      <c r="E7" s="7">
        <f>L_r!E7/L_r!$H7</f>
        <v>0.20404040404040402</v>
      </c>
      <c r="F7" s="7">
        <f>L_r!F7/L_r!$H7</f>
        <v>9.6161616161616156E-2</v>
      </c>
      <c r="G7" s="7">
        <f>L_r!G7/L_r!$H7</f>
        <v>0.3488888888888888</v>
      </c>
      <c r="J7" s="2" t="s">
        <v>9</v>
      </c>
      <c r="K7" s="7">
        <f>L_r!M7/L_r!$S7</f>
        <v>5.5275508430384153E-2</v>
      </c>
      <c r="L7" s="7">
        <f>L_r!N7/L_r!$S7</f>
        <v>0.15783069702763777</v>
      </c>
      <c r="M7" s="7">
        <f>L_r!O7/L_r!$S7</f>
        <v>7.8567703806709549E-2</v>
      </c>
      <c r="N7" s="7">
        <f>L_r!P7/L_r!$S7</f>
        <v>0.24022249261254996</v>
      </c>
      <c r="O7" s="7">
        <f>L_r!Q7/L_r!$S7</f>
        <v>9.2994959151746923E-2</v>
      </c>
      <c r="P7" s="7">
        <f>L_r!R7/L_r!$S7</f>
        <v>0.37510863897097174</v>
      </c>
    </row>
    <row r="8" spans="1:16" x14ac:dyDescent="0.2">
      <c r="A8" s="2" t="s">
        <v>10</v>
      </c>
      <c r="B8" s="7">
        <f>L_r!B8/L_r!$H8</f>
        <v>2.3462897526501769E-2</v>
      </c>
      <c r="C8" s="7">
        <f>L_r!C8/L_r!$H8</f>
        <v>0.24650176678445229</v>
      </c>
      <c r="D8" s="7">
        <f>L_r!D8/L_r!$H8</f>
        <v>7.9858657243816258E-2</v>
      </c>
      <c r="E8" s="7">
        <f>L_r!E8/L_r!$H8</f>
        <v>0.22204946996466429</v>
      </c>
      <c r="F8" s="7">
        <f>L_r!F8/L_r!$H8</f>
        <v>9.5830388692579496E-2</v>
      </c>
      <c r="G8" s="7">
        <f>L_r!G8/L_r!$H8</f>
        <v>0.33229681978798586</v>
      </c>
      <c r="J8" s="2" t="s">
        <v>10</v>
      </c>
      <c r="K8" s="7">
        <f>L_r!M8/L_r!$S8</f>
        <v>1.4989590562109648E-2</v>
      </c>
      <c r="L8" s="7">
        <f>L_r!N8/L_r!$S8</f>
        <v>0.20596807772380293</v>
      </c>
      <c r="M8" s="7">
        <f>L_r!O8/L_r!$S8</f>
        <v>7.8140180430256764E-2</v>
      </c>
      <c r="N8" s="7">
        <f>L_r!P8/L_r!$S8</f>
        <v>0.21568355308813325</v>
      </c>
      <c r="O8" s="7">
        <f>L_r!Q8/L_r!$S8</f>
        <v>0.10284524635669673</v>
      </c>
      <c r="P8" s="7">
        <f>L_r!R8/L_r!$S8</f>
        <v>0.38237335183900067</v>
      </c>
    </row>
    <row r="9" spans="1:16" x14ac:dyDescent="0.2">
      <c r="A9" s="2" t="s">
        <v>11</v>
      </c>
      <c r="B9" s="7">
        <f>L_r!B9/L_r!$H9</f>
        <v>1.6746230203834204E-2</v>
      </c>
      <c r="C9" s="7">
        <f>L_r!C9/L_r!$H9</f>
        <v>0.23103735697507008</v>
      </c>
      <c r="D9" s="7">
        <f>L_r!D9/L_r!$H9</f>
        <v>6.221110858528453E-2</v>
      </c>
      <c r="E9" s="7">
        <f>L_r!E9/L_r!$H9</f>
        <v>0.24748048798969463</v>
      </c>
      <c r="F9" s="7">
        <f>L_r!F9/L_r!$H9</f>
        <v>9.4794271425323928E-2</v>
      </c>
      <c r="G9" s="7">
        <f>L_r!G9/L_r!$H9</f>
        <v>0.34773054482079258</v>
      </c>
      <c r="J9" s="2" t="s">
        <v>11</v>
      </c>
      <c r="K9" s="7">
        <f>L_r!M9/L_r!$S9</f>
        <v>1.0726182544970021E-2</v>
      </c>
      <c r="L9" s="7">
        <f>L_r!N9/L_r!$S9</f>
        <v>0.16882078614257162</v>
      </c>
      <c r="M9" s="7">
        <f>L_r!O9/L_r!$S9</f>
        <v>6.9153897401732181E-2</v>
      </c>
      <c r="N9" s="7">
        <f>L_r!P9/L_r!$S9</f>
        <v>0.24150566289140574</v>
      </c>
      <c r="O9" s="7">
        <f>L_r!Q9/L_r!$S9</f>
        <v>0.11292471685542971</v>
      </c>
      <c r="P9" s="7">
        <f>L_r!R9/L_r!$S9</f>
        <v>0.39686875416389078</v>
      </c>
    </row>
    <row r="10" spans="1:16" x14ac:dyDescent="0.2">
      <c r="A10" s="2" t="s">
        <v>12</v>
      </c>
      <c r="B10" s="7">
        <f>L_r!B10/L_r!$H10</f>
        <v>3.8583749432591921E-2</v>
      </c>
      <c r="C10" s="7">
        <f>L_r!C10/L_r!$H10</f>
        <v>0.25525798154032381</v>
      </c>
      <c r="D10" s="7">
        <f>L_r!D10/L_r!$H10</f>
        <v>6.6878499016492662E-2</v>
      </c>
      <c r="E10" s="7">
        <f>L_r!E10/L_r!$H10</f>
        <v>0.23498259948555003</v>
      </c>
      <c r="F10" s="7">
        <f>L_r!F10/L_r!$H10</f>
        <v>8.306854289605084E-2</v>
      </c>
      <c r="G10" s="7">
        <f>L_r!G10/L_r!$H10</f>
        <v>0.32122862762899079</v>
      </c>
      <c r="J10" s="2" t="s">
        <v>12</v>
      </c>
      <c r="K10" s="7">
        <f>L_r!M10/L_r!$S10</f>
        <v>3.0044064628121245E-2</v>
      </c>
      <c r="L10" s="7">
        <f>L_r!N10/L_r!$S10</f>
        <v>0.17305381225797836</v>
      </c>
      <c r="M10" s="7">
        <f>L_r!O10/L_r!$S10</f>
        <v>7.1171050874616101E-2</v>
      </c>
      <c r="N10" s="7">
        <f>L_r!P10/L_r!$S10</f>
        <v>0.26652423554546667</v>
      </c>
      <c r="O10" s="7">
        <f>L_r!Q10/L_r!$S10</f>
        <v>9.4672185872613182E-2</v>
      </c>
      <c r="P10" s="7">
        <f>L_r!R10/L_r!$S10</f>
        <v>0.36453465082120445</v>
      </c>
    </row>
    <row r="11" spans="1:16" x14ac:dyDescent="0.2">
      <c r="A11" s="2" t="s">
        <v>13</v>
      </c>
      <c r="B11" s="7">
        <f>L_r!B11/L_r!$H11</f>
        <v>1.8895937373464702E-2</v>
      </c>
      <c r="C11" s="7">
        <f>L_r!C11/L_r!$H11</f>
        <v>0.29234714536374673</v>
      </c>
      <c r="D11" s="7">
        <f>L_r!D11/L_r!$H11</f>
        <v>7.8823053043595617E-2</v>
      </c>
      <c r="E11" s="7">
        <f>L_r!E11/L_r!$H11</f>
        <v>0.22297206100688347</v>
      </c>
      <c r="F11" s="7">
        <f>L_r!F11/L_r!$H11</f>
        <v>9.9878526116884858E-2</v>
      </c>
      <c r="G11" s="7">
        <f>L_r!G11/L_r!$H11</f>
        <v>0.28708327709542442</v>
      </c>
      <c r="J11" s="2" t="s">
        <v>13</v>
      </c>
      <c r="K11" s="7">
        <f>L_r!M11/L_r!$S11</f>
        <v>9.0649447410902778E-3</v>
      </c>
      <c r="L11" s="7">
        <f>L_r!N11/L_r!$S11</f>
        <v>0.21445424065565627</v>
      </c>
      <c r="M11" s="7">
        <f>L_r!O11/L_r!$S11</f>
        <v>7.1153607351297651E-2</v>
      </c>
      <c r="N11" s="7">
        <f>L_r!P11/L_r!$S11</f>
        <v>0.23916552837451882</v>
      </c>
      <c r="O11" s="7">
        <f>L_r!Q11/L_r!$S11</f>
        <v>0.10915186886874458</v>
      </c>
      <c r="P11" s="7">
        <f>L_r!R11/L_r!$S11</f>
        <v>0.35700981000869242</v>
      </c>
    </row>
    <row r="12" spans="1:16" x14ac:dyDescent="0.2">
      <c r="A12" s="2" t="s">
        <v>14</v>
      </c>
      <c r="B12" s="7">
        <f>L_r!B12/L_r!$H12</f>
        <v>8.4605597964376597E-2</v>
      </c>
      <c r="C12" s="7">
        <f>L_r!C12/L_r!$H12</f>
        <v>0.21840542832909246</v>
      </c>
      <c r="D12" s="7">
        <f>L_r!D12/L_r!$H12</f>
        <v>6.4037319762510606E-2</v>
      </c>
      <c r="E12" s="7">
        <f>L_r!E12/L_r!$H12</f>
        <v>0.21501272264631047</v>
      </c>
      <c r="F12" s="7">
        <f>L_r!F12/L_r!$H12</f>
        <v>8.3545377438507207E-2</v>
      </c>
      <c r="G12" s="7">
        <f>L_r!G12/L_r!$H12</f>
        <v>0.33439355385920272</v>
      </c>
      <c r="J12" s="2" t="s">
        <v>14</v>
      </c>
      <c r="K12" s="7">
        <f>L_r!M12/L_r!$S12</f>
        <v>5.7849591063235589E-2</v>
      </c>
      <c r="L12" s="7">
        <f>L_r!N12/L_r!$S12</f>
        <v>0.19409535208458009</v>
      </c>
      <c r="M12" s="7">
        <f>L_r!O12/L_r!$S12</f>
        <v>8.039098344304807E-2</v>
      </c>
      <c r="N12" s="7">
        <f>L_r!P12/L_r!$S12</f>
        <v>0.19828446040295233</v>
      </c>
      <c r="O12" s="7">
        <f>L_r!Q12/L_r!$S12</f>
        <v>9.535208458009177E-2</v>
      </c>
      <c r="P12" s="7">
        <f>L_r!R12/L_r!$S12</f>
        <v>0.37402752842609216</v>
      </c>
    </row>
    <row r="13" spans="1:16" x14ac:dyDescent="0.2">
      <c r="A13" s="2" t="s">
        <v>15</v>
      </c>
      <c r="B13" s="7">
        <f>L_r!B13/L_r!$H13</f>
        <v>2.8690904866999656E-2</v>
      </c>
      <c r="C13" s="7">
        <f>L_r!C13/L_r!$H13</f>
        <v>0.24578929027761648</v>
      </c>
      <c r="D13" s="7">
        <f>L_r!D13/L_r!$H13</f>
        <v>7.6663956324776406E-2</v>
      </c>
      <c r="E13" s="7">
        <f>L_r!E13/L_r!$H13</f>
        <v>0.21860843303519575</v>
      </c>
      <c r="F13" s="7">
        <f>L_r!F13/L_r!$H13</f>
        <v>8.793123475432689E-2</v>
      </c>
      <c r="G13" s="7">
        <f>L_r!G13/L_r!$H13</f>
        <v>0.34231618074108494</v>
      </c>
      <c r="J13" s="2" t="s">
        <v>15</v>
      </c>
      <c r="K13" s="7">
        <f>L_r!M13/L_r!$S13</f>
        <v>1.928133216476775E-2</v>
      </c>
      <c r="L13" s="7">
        <f>L_r!N13/L_r!$S13</f>
        <v>0.17397020157756357</v>
      </c>
      <c r="M13" s="7">
        <f>L_r!O13/L_r!$S13</f>
        <v>7.5372480280455748E-2</v>
      </c>
      <c r="N13" s="7">
        <f>L_r!P13/L_r!$S13</f>
        <v>0.22162576687116567</v>
      </c>
      <c r="O13" s="7">
        <f>L_r!Q13/L_r!$S13</f>
        <v>0.10834794040315514</v>
      </c>
      <c r="P13" s="7">
        <f>L_r!R13/L_r!$S13</f>
        <v>0.40140227870289219</v>
      </c>
    </row>
    <row r="14" spans="1:16" x14ac:dyDescent="0.2">
      <c r="A14" s="2" t="s">
        <v>16</v>
      </c>
      <c r="B14" s="7">
        <f>L_r!B14/L_r!$H14</f>
        <v>6.5312159427059022E-2</v>
      </c>
      <c r="C14" s="7">
        <f>L_r!C14/L_r!$H14</f>
        <v>0.25447610151019773</v>
      </c>
      <c r="D14" s="7">
        <f>L_r!D14/L_r!$H14</f>
        <v>6.9360112097150858E-2</v>
      </c>
      <c r="E14" s="7">
        <f>L_r!E14/L_r!$H14</f>
        <v>0.20691265763661842</v>
      </c>
      <c r="F14" s="7">
        <f>L_r!F14/L_r!$H14</f>
        <v>8.5162696559240247E-2</v>
      </c>
      <c r="G14" s="7">
        <f>L_r!G14/L_r!$H14</f>
        <v>0.3187762727697338</v>
      </c>
      <c r="J14" s="2" t="s">
        <v>16</v>
      </c>
      <c r="K14" s="7">
        <f>L_r!M14/L_r!$S14</f>
        <v>4.0050478214665251E-2</v>
      </c>
      <c r="L14" s="7">
        <f>L_r!N14/L_r!$S14</f>
        <v>0.18896121147715197</v>
      </c>
      <c r="M14" s="7">
        <f>L_r!O14/L_r!$S14</f>
        <v>7.9702444208289064E-2</v>
      </c>
      <c r="N14" s="7">
        <f>L_r!P14/L_r!$S14</f>
        <v>0.23246546227417642</v>
      </c>
      <c r="O14" s="7">
        <f>L_r!Q14/L_r!$S14</f>
        <v>0.1161663124335813</v>
      </c>
      <c r="P14" s="7">
        <f>L_r!R14/L_r!$S14</f>
        <v>0.34265409139213604</v>
      </c>
    </row>
    <row r="15" spans="1:16" x14ac:dyDescent="0.2">
      <c r="A15" s="2" t="s">
        <v>17</v>
      </c>
      <c r="B15" s="7">
        <f>L_r!B15/L_r!$H15</f>
        <v>7.7121264170388171E-2</v>
      </c>
      <c r="C15" s="7">
        <f>L_r!C15/L_r!$H15</f>
        <v>0.20620061834421158</v>
      </c>
      <c r="D15" s="7">
        <f>L_r!D15/L_r!$H15</f>
        <v>6.4926142219168662E-2</v>
      </c>
      <c r="E15" s="7">
        <f>L_r!E15/L_r!$H15</f>
        <v>0.20826176571624869</v>
      </c>
      <c r="F15" s="7">
        <f>L_r!F15/L_r!$H15</f>
        <v>8.1844726897973202E-2</v>
      </c>
      <c r="G15" s="7">
        <f>L_r!G15/L_r!$H15</f>
        <v>0.36164548265200963</v>
      </c>
      <c r="J15" s="2" t="s">
        <v>17</v>
      </c>
      <c r="K15" s="7">
        <f>L_r!M15/L_r!$S15</f>
        <v>5.9672538216807638E-2</v>
      </c>
      <c r="L15" s="7">
        <f>L_r!N15/L_r!$S15</f>
        <v>0.14898735159463025</v>
      </c>
      <c r="M15" s="7">
        <f>L_r!O15/L_r!$S15</f>
        <v>6.8829052533560947E-2</v>
      </c>
      <c r="N15" s="7">
        <f>L_r!P15/L_r!$S15</f>
        <v>0.24233723907814075</v>
      </c>
      <c r="O15" s="7">
        <f>L_r!Q15/L_r!$S15</f>
        <v>0.10863661053775121</v>
      </c>
      <c r="P15" s="7">
        <f>L_r!R15/L_r!$S15</f>
        <v>0.37153720803910917</v>
      </c>
    </row>
    <row r="16" spans="1:16" x14ac:dyDescent="0.2">
      <c r="A16" s="2" t="s">
        <v>18</v>
      </c>
      <c r="B16" s="7">
        <f>L_r!B16/L_r!$H16</f>
        <v>7.453796969431549E-2</v>
      </c>
      <c r="C16" s="7">
        <f>L_r!C16/L_r!$H16</f>
        <v>0.15065253569238854</v>
      </c>
      <c r="D16" s="7">
        <f>L_r!D16/L_r!$H16</f>
        <v>6.9457826048874474E-2</v>
      </c>
      <c r="E16" s="7">
        <f>L_r!E16/L_r!$H16</f>
        <v>0.25383200490496627</v>
      </c>
      <c r="F16" s="7">
        <f>L_r!F16/L_r!$H16</f>
        <v>0.1027415257948673</v>
      </c>
      <c r="G16" s="7">
        <f>L_r!G16/L_r!$H16</f>
        <v>0.34877813786458789</v>
      </c>
      <c r="J16" s="2" t="s">
        <v>18</v>
      </c>
      <c r="K16" s="7">
        <f>L_r!M16/L_r!$S16</f>
        <v>4.016929588303194E-2</v>
      </c>
      <c r="L16" s="7">
        <f>L_r!N16/L_r!$S16</f>
        <v>0.11150442477876106</v>
      </c>
      <c r="M16" s="7">
        <f>L_r!O16/L_r!$S16</f>
        <v>8.7879953828395543E-2</v>
      </c>
      <c r="N16" s="7">
        <f>L_r!P16/L_r!$S16</f>
        <v>0.2450173143516737</v>
      </c>
      <c r="O16" s="7">
        <f>L_r!Q16/L_r!$S16</f>
        <v>0.12012312427856868</v>
      </c>
      <c r="P16" s="7">
        <f>L_r!R16/L_r!$S16</f>
        <v>0.39530588687956908</v>
      </c>
    </row>
    <row r="17" spans="1:16" x14ac:dyDescent="0.2">
      <c r="A17" s="2" t="s">
        <v>19</v>
      </c>
      <c r="B17" s="7">
        <f>L_r!B17/L_r!$H17</f>
        <v>9.3598055105348466E-2</v>
      </c>
      <c r="C17" s="7">
        <f>L_r!C17/L_r!$H17</f>
        <v>0.18841166936790923</v>
      </c>
      <c r="D17" s="7">
        <f>L_r!D17/L_r!$H17</f>
        <v>6.7666126418152339E-2</v>
      </c>
      <c r="E17" s="7">
        <f>L_r!E17/L_r!$H17</f>
        <v>0.22893030794165314</v>
      </c>
      <c r="F17" s="7">
        <f>L_r!F17/L_r!$H17</f>
        <v>6.4829821717990274E-2</v>
      </c>
      <c r="G17" s="7">
        <f>L_r!G17/L_r!$H17</f>
        <v>0.3565640194489465</v>
      </c>
      <c r="J17" s="2" t="s">
        <v>19</v>
      </c>
      <c r="K17" s="7">
        <f>L_r!M17/L_r!$S17</f>
        <v>5.7824358511022758E-2</v>
      </c>
      <c r="L17" s="7">
        <f>L_r!N17/L_r!$S17</f>
        <v>0.14672930972172027</v>
      </c>
      <c r="M17" s="7">
        <f>L_r!O17/L_r!$S17</f>
        <v>7.1196241416696768E-2</v>
      </c>
      <c r="N17" s="7">
        <f>L_r!P17/L_r!$S17</f>
        <v>0.20816769063968193</v>
      </c>
      <c r="O17" s="7">
        <f>L_r!Q17/L_r!$S17</f>
        <v>4.9873509215757131E-2</v>
      </c>
      <c r="P17" s="7">
        <f>L_r!R17/L_r!$S17</f>
        <v>0.46620889049512099</v>
      </c>
    </row>
    <row r="18" spans="1:16" x14ac:dyDescent="0.2">
      <c r="A18" s="2" t="s">
        <v>20</v>
      </c>
      <c r="B18" s="7">
        <f>L_r!B18/L_r!$H18</f>
        <v>8.6696803358088464E-2</v>
      </c>
      <c r="C18" s="7">
        <f>L_r!C18/L_r!$H18</f>
        <v>0.20293832741362605</v>
      </c>
      <c r="D18" s="7">
        <f>L_r!D18/L_r!$H18</f>
        <v>6.4417177914110418E-2</v>
      </c>
      <c r="E18" s="7">
        <f>L_r!E18/L_r!$H18</f>
        <v>0.2006780755569906</v>
      </c>
      <c r="F18" s="7">
        <f>L_r!F18/L_r!$H18</f>
        <v>8.5566677429770727E-2</v>
      </c>
      <c r="G18" s="7">
        <f>L_r!G18/L_r!$H18</f>
        <v>0.35970293832741357</v>
      </c>
      <c r="J18" s="2" t="s">
        <v>20</v>
      </c>
      <c r="K18" s="7">
        <f>L_r!M18/L_r!$S18</f>
        <v>4.62714022923447E-2</v>
      </c>
      <c r="L18" s="7">
        <f>L_r!N18/L_r!$S18</f>
        <v>0.18338757605773309</v>
      </c>
      <c r="M18" s="7">
        <f>L_r!O18/L_r!$S18</f>
        <v>8.5043158341587655E-2</v>
      </c>
      <c r="N18" s="7">
        <f>L_r!P18/L_r!$S18</f>
        <v>0.19173623885665769</v>
      </c>
      <c r="O18" s="7">
        <f>L_r!Q18/L_r!$S18</f>
        <v>0.11886231781519739</v>
      </c>
      <c r="P18" s="7">
        <f>L_r!R18/L_r!$S18</f>
        <v>0.37469930663647938</v>
      </c>
    </row>
    <row r="19" spans="1:16" x14ac:dyDescent="0.2">
      <c r="A19" s="2" t="s">
        <v>21</v>
      </c>
      <c r="B19" s="7">
        <f>L_r!B19/L_r!$H19</f>
        <v>6.756165183131474E-2</v>
      </c>
      <c r="C19" s="7">
        <f>L_r!C19/L_r!$H19</f>
        <v>0.10783598424047862</v>
      </c>
      <c r="D19" s="7">
        <f>L_r!D19/L_r!$H19</f>
        <v>7.8505763899022307E-2</v>
      </c>
      <c r="E19" s="7">
        <f>L_r!E19/L_r!$H19</f>
        <v>0.25040128410914925</v>
      </c>
      <c r="F19" s="7">
        <f>L_r!F19/L_r!$H19</f>
        <v>0.10885743470013132</v>
      </c>
      <c r="G19" s="7">
        <f>L_r!G19/L_r!$H19</f>
        <v>0.3868378812199037</v>
      </c>
      <c r="J19" s="2" t="s">
        <v>21</v>
      </c>
      <c r="K19" s="7">
        <f>L_r!M19/L_r!$S19</f>
        <v>3.7012774320340648E-2</v>
      </c>
      <c r="L19" s="7">
        <f>L_r!N19/L_r!$S19</f>
        <v>9.3896713615023483E-2</v>
      </c>
      <c r="M19" s="7">
        <f>L_r!O19/L_r!$S19</f>
        <v>7.9375477672234962E-2</v>
      </c>
      <c r="N19" s="7">
        <f>L_r!P19/L_r!$S19</f>
        <v>0.23244895730974999</v>
      </c>
      <c r="O19" s="7">
        <f>L_r!Q19/L_r!$S19</f>
        <v>0.10830876733267823</v>
      </c>
      <c r="P19" s="7">
        <f>L_r!R19/L_r!$S19</f>
        <v>0.44895730974997272</v>
      </c>
    </row>
    <row r="20" spans="1:16" x14ac:dyDescent="0.2">
      <c r="A20" s="2" t="s">
        <v>22</v>
      </c>
      <c r="B20" s="7">
        <f>L_r!B20/L_r!$H20</f>
        <v>6.8491691521090747E-2</v>
      </c>
      <c r="C20" s="7">
        <f>L_r!C20/L_r!$H20</f>
        <v>0.17469109501491265</v>
      </c>
      <c r="D20" s="7">
        <f>L_r!D20/L_r!$H20</f>
        <v>6.4763527907967605E-2</v>
      </c>
      <c r="E20" s="7">
        <f>L_r!E20/L_r!$H20</f>
        <v>0.22294418406476352</v>
      </c>
      <c r="F20" s="7">
        <f>L_r!F20/L_r!$H20</f>
        <v>0.10811674478057093</v>
      </c>
      <c r="G20" s="7">
        <f>L_r!G20/L_r!$H20</f>
        <v>0.36099275671069447</v>
      </c>
      <c r="J20" s="2" t="s">
        <v>22</v>
      </c>
      <c r="K20" s="7">
        <f>L_r!M20/L_r!$S20</f>
        <v>5.0165837479270316E-2</v>
      </c>
      <c r="L20" s="7">
        <f>L_r!N20/L_r!$S20</f>
        <v>0.13665008291873965</v>
      </c>
      <c r="M20" s="7">
        <f>L_r!O20/L_r!$S20</f>
        <v>7.2388059701492535E-2</v>
      </c>
      <c r="N20" s="7">
        <f>L_r!P20/L_r!$S20</f>
        <v>0.2262023217247098</v>
      </c>
      <c r="O20" s="7">
        <f>L_r!Q20/L_r!$S20</f>
        <v>0.13449419568822554</v>
      </c>
      <c r="P20" s="7">
        <f>L_r!R20/L_r!$S20</f>
        <v>0.38009950248756219</v>
      </c>
    </row>
    <row r="21" spans="1:16" x14ac:dyDescent="0.2">
      <c r="A21" s="2" t="s">
        <v>23</v>
      </c>
      <c r="B21" s="7">
        <f>L_r!B21/L_r!$H21</f>
        <v>7.7545803152961224E-2</v>
      </c>
      <c r="C21" s="7">
        <f>L_r!C21/L_r!$H21</f>
        <v>0.21026842778014487</v>
      </c>
      <c r="D21" s="7">
        <f>L_r!D21/L_r!$H21</f>
        <v>6.6467831273966771E-2</v>
      </c>
      <c r="E21" s="7">
        <f>L_r!E21/L_r!$H21</f>
        <v>0.21005538985939498</v>
      </c>
      <c r="F21" s="7">
        <f>L_r!F21/L_r!$H21</f>
        <v>7.5628461866212193E-2</v>
      </c>
      <c r="G21" s="7">
        <f>L_r!G21/L_r!$H21</f>
        <v>0.36003408606732001</v>
      </c>
      <c r="J21" s="2" t="s">
        <v>23</v>
      </c>
      <c r="K21" s="7">
        <f>L_r!M21/L_r!$S21</f>
        <v>7.2325276372493905E-2</v>
      </c>
      <c r="L21" s="7">
        <f>L_r!N21/L_r!$S21</f>
        <v>0.17893947910811317</v>
      </c>
      <c r="M21" s="7">
        <f>L_r!O21/L_r!$S21</f>
        <v>7.5885328836424945E-2</v>
      </c>
      <c r="N21" s="7">
        <f>L_r!P21/L_r!$S21</f>
        <v>0.19748922615701706</v>
      </c>
      <c r="O21" s="7">
        <f>L_r!Q21/L_r!$S21</f>
        <v>9.6870901255386915E-2</v>
      </c>
      <c r="P21" s="7">
        <f>L_r!R21/L_r!$S21</f>
        <v>0.37848978827056395</v>
      </c>
    </row>
    <row r="22" spans="1:16" x14ac:dyDescent="0.2">
      <c r="A22" s="2" t="s">
        <v>24</v>
      </c>
      <c r="B22" s="7">
        <f>L_r!B22/L_r!$H22</f>
        <v>3.4314390343143902E-2</v>
      </c>
      <c r="C22" s="7">
        <f>L_r!C22/L_r!$H22</f>
        <v>0.2363578823635788</v>
      </c>
      <c r="D22" s="7">
        <f>L_r!D22/L_r!$H22</f>
        <v>6.3203580632035808E-2</v>
      </c>
      <c r="E22" s="7">
        <f>L_r!E22/L_r!$H22</f>
        <v>0.22930512229305119</v>
      </c>
      <c r="F22" s="7">
        <f>L_r!F22/L_r!$H22</f>
        <v>0.12197658121976582</v>
      </c>
      <c r="G22" s="7">
        <f>L_r!G22/L_r!$H22</f>
        <v>0.31484244314842441</v>
      </c>
      <c r="J22" s="2" t="s">
        <v>24</v>
      </c>
      <c r="K22" s="7">
        <f>L_r!M22/L_r!$S22</f>
        <v>2.7079230419633386E-2</v>
      </c>
      <c r="L22" s="7">
        <f>L_r!N22/L_r!$S22</f>
        <v>0.16917891228601725</v>
      </c>
      <c r="M22" s="7">
        <f>L_r!O22/L_r!$S22</f>
        <v>8.3396455082563242E-2</v>
      </c>
      <c r="N22" s="7">
        <f>L_r!P22/L_r!$S22</f>
        <v>0.23996364187244357</v>
      </c>
      <c r="O22" s="7">
        <f>L_r!Q22/L_r!$S22</f>
        <v>0.13603999394031208</v>
      </c>
      <c r="P22" s="7">
        <f>L_r!R22/L_r!$S22</f>
        <v>0.34434176639903047</v>
      </c>
    </row>
    <row r="23" spans="1:16" x14ac:dyDescent="0.2">
      <c r="A23" s="2" t="s">
        <v>25</v>
      </c>
      <c r="B23" s="7">
        <f>L_r!B23/L_r!$H23</f>
        <v>2.369542066027689E-2</v>
      </c>
      <c r="C23" s="7">
        <f>L_r!C23/L_r!$H23</f>
        <v>0.12493343982960595</v>
      </c>
      <c r="D23" s="7">
        <f>L_r!D23/L_r!$H23</f>
        <v>7.3948349307774219E-2</v>
      </c>
      <c r="E23" s="7">
        <f>L_r!E23/L_r!$H23</f>
        <v>0.27928647497337594</v>
      </c>
      <c r="F23" s="7">
        <f>L_r!F23/L_r!$H23</f>
        <v>0.11581469648562299</v>
      </c>
      <c r="G23" s="7">
        <f>L_r!G23/L_r!$H23</f>
        <v>0.38232161874334397</v>
      </c>
      <c r="J23" s="2" t="s">
        <v>25</v>
      </c>
      <c r="K23" s="7">
        <f>L_r!M23/L_r!$S23</f>
        <v>2.2307932867716044E-2</v>
      </c>
      <c r="L23" s="7">
        <f>L_r!N23/L_r!$S23</f>
        <v>9.9916605858438437E-2</v>
      </c>
      <c r="M23" s="7">
        <f>L_r!O23/L_r!$S23</f>
        <v>7.7035338267486722E-2</v>
      </c>
      <c r="N23" s="7">
        <f>L_r!P23/L_r!$S23</f>
        <v>0.26190972584175964</v>
      </c>
      <c r="O23" s="7">
        <f>L_r!Q23/L_r!$S23</f>
        <v>0.14604399040967372</v>
      </c>
      <c r="P23" s="7">
        <f>L_r!R23/L_r!$S23</f>
        <v>0.39278640675492549</v>
      </c>
    </row>
    <row r="24" spans="1:16" x14ac:dyDescent="0.2">
      <c r="A24" s="2" t="s">
        <v>26</v>
      </c>
      <c r="B24" s="7">
        <f>L_r!B24/L_r!$H24</f>
        <v>0</v>
      </c>
      <c r="C24" s="7">
        <f>L_r!C24/L_r!$H24</f>
        <v>0</v>
      </c>
      <c r="D24" s="7">
        <f>L_r!D24/L_r!$H24</f>
        <v>0</v>
      </c>
      <c r="E24" s="7">
        <f>L_r!E24/L_r!$H24</f>
        <v>0.39999999999999997</v>
      </c>
      <c r="F24" s="7">
        <f>L_r!F24/L_r!$H24</f>
        <v>0</v>
      </c>
      <c r="G24" s="7">
        <f>L_r!G24/L_r!$H24</f>
        <v>0.6</v>
      </c>
      <c r="J24" s="2" t="s">
        <v>26</v>
      </c>
      <c r="K24" s="7">
        <f>L_r!M24/L_r!$S24</f>
        <v>0</v>
      </c>
      <c r="L24" s="7">
        <f>L_r!N24/L_r!$S24</f>
        <v>0.16005873715124819</v>
      </c>
      <c r="M24" s="7">
        <f>L_r!O24/L_r!$S24</f>
        <v>9.8384728340675492E-2</v>
      </c>
      <c r="N24" s="7">
        <f>L_r!P24/L_r!$S24</f>
        <v>0.25844346549192371</v>
      </c>
      <c r="O24" s="7">
        <f>L_r!Q24/L_r!$S24</f>
        <v>0.11013215859030838</v>
      </c>
      <c r="P24" s="7">
        <f>L_r!R24/L_r!$S24</f>
        <v>0.37298091042584436</v>
      </c>
    </row>
  </sheetData>
  <mergeCells count="2">
    <mergeCell ref="A1:G1"/>
    <mergeCell ref="J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6CF14-9361-1F4D-B01E-41DD4D4EA763}">
  <dimension ref="A1:R24"/>
  <sheetViews>
    <sheetView workbookViewId="0">
      <selection sqref="A1:R2"/>
    </sheetView>
  </sheetViews>
  <sheetFormatPr baseColWidth="10" defaultRowHeight="16" x14ac:dyDescent="0.2"/>
  <cols>
    <col min="1" max="1" width="23.83203125" bestFit="1" customWidth="1"/>
    <col min="2" max="2" width="14.6640625" style="2" bestFit="1" customWidth="1"/>
    <col min="3" max="7" width="10.83203125" style="2"/>
    <col min="8" max="8" width="14.6640625" style="2" bestFit="1" customWidth="1"/>
    <col min="11" max="11" width="23.83203125" bestFit="1" customWidth="1"/>
    <col min="18" max="18" width="14.6640625" bestFit="1" customWidth="1"/>
  </cols>
  <sheetData>
    <row r="1" spans="1:18" x14ac:dyDescent="0.2">
      <c r="A1" s="9" t="s">
        <v>47</v>
      </c>
      <c r="B1" s="9"/>
      <c r="C1" s="9"/>
      <c r="D1" s="9"/>
      <c r="E1" s="9"/>
      <c r="F1" s="9"/>
      <c r="G1" s="9"/>
      <c r="H1" s="9"/>
      <c r="K1" s="9" t="s">
        <v>46</v>
      </c>
      <c r="L1" s="9"/>
      <c r="M1" s="9"/>
      <c r="N1" s="9"/>
      <c r="O1" s="9"/>
      <c r="P1" s="9"/>
      <c r="Q1" s="9"/>
      <c r="R1" s="9"/>
    </row>
    <row r="2" spans="1:18" x14ac:dyDescent="0.2">
      <c r="B2" s="2" t="s">
        <v>5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57</v>
      </c>
      <c r="L2" t="s">
        <v>5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56</v>
      </c>
    </row>
    <row r="3" spans="1:18" x14ac:dyDescent="0.2">
      <c r="A3" s="2" t="s">
        <v>4</v>
      </c>
      <c r="B3" s="2">
        <f>s_ri!B3*shock_i!$E$2</f>
        <v>752.90257921400246</v>
      </c>
      <c r="C3" s="2">
        <f>s_ri!C3*shock_i!$E$3</f>
        <v>1598739.4100010428</v>
      </c>
      <c r="D3" s="2">
        <f>s_ri!D3*shock_i!$E$4</f>
        <v>0</v>
      </c>
      <c r="E3" s="2">
        <f>s_ri!E3*shock_i!$E$5</f>
        <v>0</v>
      </c>
      <c r="F3" s="2">
        <f>s_ri!F3*shock_i!$E$6</f>
        <v>31.85323724205433</v>
      </c>
      <c r="G3" s="2">
        <f>s_ri!G3*shock_i!$E$7</f>
        <v>415.69364831399321</v>
      </c>
      <c r="H3" s="2">
        <f>SUM(B3:G3)/1000</f>
        <v>1599.9398594658128</v>
      </c>
      <c r="K3" s="2" t="s">
        <v>4</v>
      </c>
      <c r="L3">
        <f>s_ri!K3*shock_i!$E$8</f>
        <v>610.73262158247735</v>
      </c>
      <c r="M3">
        <f>s_ri!L3*shock_i!$E$9</f>
        <v>150465.63468963429</v>
      </c>
      <c r="N3">
        <f>s_ri!M3*shock_i!$E$10</f>
        <v>0</v>
      </c>
      <c r="O3">
        <f>s_ri!N3*shock_i!$E$11</f>
        <v>0</v>
      </c>
      <c r="P3">
        <f>s_ri!O3*shock_i!$E$12</f>
        <v>-5.7644711866876177</v>
      </c>
      <c r="Q3">
        <f>s_ri!P3*shock_i!$E$13</f>
        <v>-115.29201747956512</v>
      </c>
      <c r="R3">
        <f>SUM(L3:Q3)</f>
        <v>150955.31082255053</v>
      </c>
    </row>
    <row r="4" spans="1:18" x14ac:dyDescent="0.2">
      <c r="A4" s="2" t="s">
        <v>6</v>
      </c>
      <c r="B4" s="2">
        <f>s_ri!B4*shock_i!$E$2</f>
        <v>9420.8306401945265</v>
      </c>
      <c r="C4" s="2">
        <f>s_ri!C4*shock_i!$E$3</f>
        <v>2799929.185737587</v>
      </c>
      <c r="D4" s="2">
        <f>s_ri!D4*shock_i!$E$4</f>
        <v>0</v>
      </c>
      <c r="E4" s="2">
        <f>s_ri!E4*shock_i!$E$5</f>
        <v>0</v>
      </c>
      <c r="F4" s="2">
        <f>s_ri!F4*shock_i!$E$6</f>
        <v>14.392427804647864</v>
      </c>
      <c r="G4" s="2">
        <f>s_ri!G4*shock_i!$E$7</f>
        <v>412.20098224233374</v>
      </c>
      <c r="H4" s="2">
        <f t="shared" ref="H4:H24" si="0">SUM(B4:G4)/1000</f>
        <v>2809.7766097878289</v>
      </c>
      <c r="K4" s="2" t="s">
        <v>6</v>
      </c>
      <c r="L4">
        <f>s_ri!K4*shock_i!$E$8</f>
        <v>14500.320108903321</v>
      </c>
      <c r="M4">
        <f>s_ri!L4*shock_i!$E$9</f>
        <v>286232.88671446644</v>
      </c>
      <c r="N4">
        <f>s_ri!M4*shock_i!$E$10</f>
        <v>0</v>
      </c>
      <c r="O4">
        <f>s_ri!N4*shock_i!$E$11</f>
        <v>0</v>
      </c>
      <c r="P4">
        <f>s_ri!O4*shock_i!$E$12</f>
        <v>-3.2732845978297203</v>
      </c>
      <c r="Q4">
        <f>s_ri!P4*shock_i!$E$13</f>
        <v>-123.00810550525144</v>
      </c>
      <c r="R4">
        <f t="shared" ref="R4:R24" si="1">SUM(L4:Q4)</f>
        <v>300606.92543326668</v>
      </c>
    </row>
    <row r="5" spans="1:18" x14ac:dyDescent="0.2">
      <c r="A5" s="2" t="s">
        <v>7</v>
      </c>
      <c r="B5" s="2">
        <f>s_ri!B5*shock_i!$E$2</f>
        <v>10621.488625434489</v>
      </c>
      <c r="C5" s="2">
        <f>s_ri!C5*shock_i!$E$3</f>
        <v>2661611.3789372966</v>
      </c>
      <c r="D5" s="2">
        <f>s_ri!D5*shock_i!$E$4</f>
        <v>0</v>
      </c>
      <c r="E5" s="2">
        <f>s_ri!E5*shock_i!$E$5</f>
        <v>0</v>
      </c>
      <c r="F5" s="2">
        <f>s_ri!F5*shock_i!$E$6</f>
        <v>9.6549054356186303</v>
      </c>
      <c r="G5" s="2">
        <f>s_ri!G5*shock_i!$E$7</f>
        <v>433.00371095144141</v>
      </c>
      <c r="H5" s="2">
        <f t="shared" si="0"/>
        <v>2672.6755261791186</v>
      </c>
      <c r="K5" s="2" t="s">
        <v>7</v>
      </c>
      <c r="L5">
        <f>s_ri!K5*shock_i!$E$8</f>
        <v>20779.483656095174</v>
      </c>
      <c r="M5">
        <f>s_ri!L5*shock_i!$E$9</f>
        <v>268385.40422568901</v>
      </c>
      <c r="N5">
        <f>s_ri!M5*shock_i!$E$10</f>
        <v>0</v>
      </c>
      <c r="O5">
        <f>s_ri!N5*shock_i!$E$11</f>
        <v>0</v>
      </c>
      <c r="P5">
        <f>s_ri!O5*shock_i!$E$12</f>
        <v>-2.832964171451577</v>
      </c>
      <c r="Q5">
        <f>s_ri!P5*shock_i!$E$13</f>
        <v>-121.35673958333359</v>
      </c>
      <c r="R5">
        <f t="shared" si="1"/>
        <v>289040.69817802944</v>
      </c>
    </row>
    <row r="6" spans="1:18" x14ac:dyDescent="0.2">
      <c r="A6" s="2" t="s">
        <v>8</v>
      </c>
      <c r="B6" s="2">
        <f>s_ri!B6*shock_i!$E$2</f>
        <v>7514.4127525148324</v>
      </c>
      <c r="C6" s="2">
        <f>s_ri!C6*shock_i!$E$3</f>
        <v>3577163.0546992556</v>
      </c>
      <c r="D6" s="2">
        <f>s_ri!D6*shock_i!$E$4</f>
        <v>0</v>
      </c>
      <c r="E6" s="2">
        <f>s_ri!E6*shock_i!$E$5</f>
        <v>0</v>
      </c>
      <c r="F6" s="2">
        <f>s_ri!F6*shock_i!$E$6</f>
        <v>9.5258093323564488</v>
      </c>
      <c r="G6" s="2">
        <f>s_ri!G6*shock_i!$E$7</f>
        <v>400.40140779473569</v>
      </c>
      <c r="H6" s="2">
        <f t="shared" si="0"/>
        <v>3585.0873946688971</v>
      </c>
      <c r="K6" s="2" t="s">
        <v>8</v>
      </c>
      <c r="L6">
        <f>s_ri!K6*shock_i!$E$8</f>
        <v>12330.779798289652</v>
      </c>
      <c r="M6">
        <f>s_ri!L6*shock_i!$E$9</f>
        <v>451256.53668499645</v>
      </c>
      <c r="N6">
        <f>s_ri!M6*shock_i!$E$10</f>
        <v>0</v>
      </c>
      <c r="O6">
        <f>s_ri!N6*shock_i!$E$11</f>
        <v>0</v>
      </c>
      <c r="P6">
        <f>s_ri!O6*shock_i!$E$12</f>
        <v>-1.9450024979203209</v>
      </c>
      <c r="Q6">
        <f>s_ri!P6*shock_i!$E$13</f>
        <v>-125.7926144889732</v>
      </c>
      <c r="R6">
        <f t="shared" si="1"/>
        <v>463459.57886629918</v>
      </c>
    </row>
    <row r="7" spans="1:18" x14ac:dyDescent="0.2">
      <c r="A7" s="2" t="s">
        <v>9</v>
      </c>
      <c r="B7" s="2">
        <f>s_ri!B7*shock_i!$E$2</f>
        <v>14531.978826095268</v>
      </c>
      <c r="C7" s="2">
        <f>s_ri!C7*shock_i!$E$3</f>
        <v>2168350.2379069738</v>
      </c>
      <c r="D7" s="2">
        <f>s_ri!D7*shock_i!$E$4</f>
        <v>0</v>
      </c>
      <c r="E7" s="2">
        <f>s_ri!E7*shock_i!$E$5</f>
        <v>0</v>
      </c>
      <c r="F7" s="2">
        <f>s_ri!F7*shock_i!$E$6</f>
        <v>13.765099454668722</v>
      </c>
      <c r="G7" s="2">
        <f>s_ri!G7*shock_i!$E$7</f>
        <v>437.33799780035758</v>
      </c>
      <c r="H7" s="2">
        <f t="shared" si="0"/>
        <v>2183.3333198303239</v>
      </c>
      <c r="K7" s="2" t="s">
        <v>9</v>
      </c>
      <c r="L7">
        <f>s_ri!K7*shock_i!$E$8</f>
        <v>20270.835357829659</v>
      </c>
      <c r="M7">
        <f>s_ri!L7*shock_i!$E$9</f>
        <v>260648.60308851197</v>
      </c>
      <c r="N7">
        <f>s_ri!M7*shock_i!$E$10</f>
        <v>0</v>
      </c>
      <c r="O7">
        <f>s_ri!N7*shock_i!$E$11</f>
        <v>0</v>
      </c>
      <c r="P7">
        <f>s_ri!O7*shock_i!$E$12</f>
        <v>-2.4851860685369647</v>
      </c>
      <c r="Q7">
        <f>s_ri!P7*shock_i!$E$13</f>
        <v>-128.09158130982851</v>
      </c>
      <c r="R7">
        <f t="shared" si="1"/>
        <v>280788.86167896324</v>
      </c>
    </row>
    <row r="8" spans="1:18" x14ac:dyDescent="0.2">
      <c r="A8" s="2" t="s">
        <v>10</v>
      </c>
      <c r="B8" s="2">
        <f>s_ri!B8*shock_i!$E$2</f>
        <v>3775.757346235202</v>
      </c>
      <c r="C8" s="2">
        <f>s_ri!C8*shock_i!$E$3</f>
        <v>2716412.4384242352</v>
      </c>
      <c r="D8" s="2">
        <f>s_ri!D8*shock_i!$E$4</f>
        <v>0</v>
      </c>
      <c r="E8" s="2">
        <f>s_ri!E8*shock_i!$E$5</f>
        <v>0</v>
      </c>
      <c r="F8" s="2">
        <f>s_ri!F8*shock_i!$E$6</f>
        <v>13.717685743924248</v>
      </c>
      <c r="G8" s="2">
        <f>s_ri!G8*shock_i!$E$7</f>
        <v>416.539564513865</v>
      </c>
      <c r="H8" s="2">
        <f t="shared" si="0"/>
        <v>2720.6184530207283</v>
      </c>
      <c r="K8" s="2" t="s">
        <v>10</v>
      </c>
      <c r="L8">
        <f>s_ri!K8*shock_i!$E$8</f>
        <v>5497.0371326115055</v>
      </c>
      <c r="M8">
        <f>s_ri!L8*shock_i!$E$9</f>
        <v>340144.80548187945</v>
      </c>
      <c r="N8">
        <f>s_ri!M8*shock_i!$E$10</f>
        <v>0</v>
      </c>
      <c r="O8">
        <f>s_ri!N8*shock_i!$E$11</f>
        <v>0</v>
      </c>
      <c r="P8">
        <f>s_ri!O8*shock_i!$E$12</f>
        <v>-2.7484239553656864</v>
      </c>
      <c r="Q8">
        <f>s_ri!P8*shock_i!$E$13</f>
        <v>-130.57232545259325</v>
      </c>
      <c r="R8">
        <f t="shared" si="1"/>
        <v>345508.52186508302</v>
      </c>
    </row>
    <row r="9" spans="1:18" x14ac:dyDescent="0.2">
      <c r="A9" s="2" t="s">
        <v>11</v>
      </c>
      <c r="B9" s="2">
        <f>s_ri!B9*shock_i!$E$2</f>
        <v>2694.8803591906635</v>
      </c>
      <c r="C9" s="2">
        <f>s_ri!C9*shock_i!$E$3</f>
        <v>2545996.96551678</v>
      </c>
      <c r="D9" s="2">
        <f>s_ri!D9*shock_i!$E$4</f>
        <v>0</v>
      </c>
      <c r="E9" s="2">
        <f>s_ri!E9*shock_i!$E$5</f>
        <v>0</v>
      </c>
      <c r="F9" s="2">
        <f>s_ri!F9*shock_i!$E$6</f>
        <v>13.569370253817445</v>
      </c>
      <c r="G9" s="2">
        <f>s_ri!G9*shock_i!$E$7</f>
        <v>435.88599433553401</v>
      </c>
      <c r="H9" s="2">
        <f t="shared" si="0"/>
        <v>2549.1413012405601</v>
      </c>
      <c r="K9" s="2" t="s">
        <v>11</v>
      </c>
      <c r="L9">
        <f>s_ri!K9*shock_i!$E$8</f>
        <v>3933.5446486385677</v>
      </c>
      <c r="M9">
        <f>s_ri!L9*shock_i!$E$9</f>
        <v>278798.12298275763</v>
      </c>
      <c r="N9">
        <f>s_ri!M9*shock_i!$E$10</f>
        <v>0</v>
      </c>
      <c r="O9">
        <f>s_ri!N9*shock_i!$E$11</f>
        <v>0</v>
      </c>
      <c r="P9">
        <f>s_ri!O9*shock_i!$E$12</f>
        <v>-3.0177865088865241</v>
      </c>
      <c r="Q9">
        <f>s_ri!P9*shock_i!$E$13</f>
        <v>-135.52219547054563</v>
      </c>
      <c r="R9">
        <f t="shared" si="1"/>
        <v>282593.1276494168</v>
      </c>
    </row>
    <row r="10" spans="1:18" x14ac:dyDescent="0.2">
      <c r="A10" s="2" t="s">
        <v>12</v>
      </c>
      <c r="B10" s="2">
        <f>s_ri!B10*shock_i!$E$2</f>
        <v>6209.0743566882902</v>
      </c>
      <c r="C10" s="2">
        <f>s_ri!C10*shock_i!$E$3</f>
        <v>2812904.6096027154</v>
      </c>
      <c r="D10" s="2">
        <f>s_ri!D10*shock_i!$E$4</f>
        <v>0</v>
      </c>
      <c r="E10" s="2">
        <f>s_ri!E10*shock_i!$E$5</f>
        <v>0</v>
      </c>
      <c r="F10" s="2">
        <f>s_ri!F10*shock_i!$E$6</f>
        <v>11.890885367367323</v>
      </c>
      <c r="G10" s="2">
        <f>s_ri!G10*shock_i!$E$7</f>
        <v>402.6654024174444</v>
      </c>
      <c r="H10" s="2">
        <f t="shared" si="0"/>
        <v>2819.5282402471885</v>
      </c>
      <c r="K10" s="2" t="s">
        <v>12</v>
      </c>
      <c r="L10">
        <f>s_ri!K10*shock_i!$E$8</f>
        <v>11017.86857960172</v>
      </c>
      <c r="M10">
        <f>s_ri!L10*shock_i!$E$9</f>
        <v>285788.72978230024</v>
      </c>
      <c r="N10">
        <f>s_ri!M10*shock_i!$E$10</f>
        <v>0</v>
      </c>
      <c r="O10">
        <f>s_ri!N10*shock_i!$E$11</f>
        <v>0</v>
      </c>
      <c r="P10">
        <f>s_ri!O10*shock_i!$E$12</f>
        <v>-2.5300080730681258</v>
      </c>
      <c r="Q10">
        <f>s_ri!P10*shock_i!$E$13</f>
        <v>-124.48079040250448</v>
      </c>
      <c r="R10">
        <f t="shared" si="1"/>
        <v>296679.58756342635</v>
      </c>
    </row>
    <row r="11" spans="1:18" x14ac:dyDescent="0.2">
      <c r="A11" s="2" t="s">
        <v>13</v>
      </c>
      <c r="B11" s="2">
        <f>s_ri!B11*shock_i!$E$2</f>
        <v>3040.8211207193194</v>
      </c>
      <c r="C11" s="2">
        <f>s_ri!C11*shock_i!$E$3</f>
        <v>3221621.623094948</v>
      </c>
      <c r="D11" s="2">
        <f>s_ri!D11*shock_i!$E$4</f>
        <v>0</v>
      </c>
      <c r="E11" s="2">
        <f>s_ri!E11*shock_i!$E$5</f>
        <v>0</v>
      </c>
      <c r="F11" s="2">
        <f>s_ri!F11*shock_i!$E$6</f>
        <v>14.297158266079842</v>
      </c>
      <c r="G11" s="2">
        <f>s_ri!G11*shock_i!$E$7</f>
        <v>359.86364027449167</v>
      </c>
      <c r="H11" s="2">
        <f t="shared" si="0"/>
        <v>3225.0366050142079</v>
      </c>
      <c r="K11" s="2" t="s">
        <v>13</v>
      </c>
      <c r="L11">
        <f>s_ri!K11*shock_i!$E$8</f>
        <v>3324.329483208478</v>
      </c>
      <c r="M11">
        <f>s_ri!L11*shock_i!$E$9</f>
        <v>354159.23078332609</v>
      </c>
      <c r="N11">
        <f>s_ri!M11*shock_i!$E$10</f>
        <v>0</v>
      </c>
      <c r="O11">
        <f>s_ri!N11*shock_i!$E$11</f>
        <v>0</v>
      </c>
      <c r="P11">
        <f>s_ri!O11*shock_i!$E$12</f>
        <v>-2.9169613744841558</v>
      </c>
      <c r="Q11">
        <f>s_ri!P11*shock_i!$E$13</f>
        <v>-121.9112181275935</v>
      </c>
      <c r="R11">
        <f t="shared" si="1"/>
        <v>357358.73208703252</v>
      </c>
    </row>
    <row r="12" spans="1:18" x14ac:dyDescent="0.2">
      <c r="A12" s="2" t="s">
        <v>14</v>
      </c>
      <c r="B12" s="2">
        <f>s_ri!B12*shock_i!$E$2</f>
        <v>13615.121818854308</v>
      </c>
      <c r="C12" s="2">
        <f>s_ri!C12*shock_i!$E$3</f>
        <v>2406795.0095112249</v>
      </c>
      <c r="D12" s="2">
        <f>s_ri!D12*shock_i!$E$4</f>
        <v>0</v>
      </c>
      <c r="E12" s="2">
        <f>s_ri!E12*shock_i!$E$5</f>
        <v>0</v>
      </c>
      <c r="F12" s="2">
        <f>s_ri!F12*shock_i!$E$6</f>
        <v>11.959142070637597</v>
      </c>
      <c r="G12" s="2">
        <f>s_ri!G12*shock_i!$E$7</f>
        <v>419.16785538190067</v>
      </c>
      <c r="H12" s="2">
        <f t="shared" si="0"/>
        <v>2420.8412583275322</v>
      </c>
      <c r="K12" s="2" t="s">
        <v>14</v>
      </c>
      <c r="L12">
        <f>s_ri!K12*shock_i!$E$8</f>
        <v>21214.812296797048</v>
      </c>
      <c r="M12">
        <f>s_ri!L12*shock_i!$E$9</f>
        <v>320537.66054115415</v>
      </c>
      <c r="N12">
        <f>s_ri!M12*shock_i!$E$10</f>
        <v>0</v>
      </c>
      <c r="O12">
        <f>s_ri!N12*shock_i!$E$11</f>
        <v>0</v>
      </c>
      <c r="P12">
        <f>s_ri!O12*shock_i!$E$12</f>
        <v>-2.5481776040970594</v>
      </c>
      <c r="Q12">
        <f>s_ri!P12*shock_i!$E$13</f>
        <v>-127.72240517023266</v>
      </c>
      <c r="R12">
        <f t="shared" si="1"/>
        <v>341622.2022551769</v>
      </c>
    </row>
    <row r="13" spans="1:18" x14ac:dyDescent="0.2">
      <c r="A13" s="2" t="s">
        <v>15</v>
      </c>
      <c r="B13" s="2">
        <f>s_ri!B13*shock_i!$E$2</f>
        <v>4617.0723244794754</v>
      </c>
      <c r="C13" s="2">
        <f>s_ri!C13*shock_i!$E$3</f>
        <v>2708561.054353036</v>
      </c>
      <c r="D13" s="2">
        <f>s_ri!D13*shock_i!$E$4</f>
        <v>0</v>
      </c>
      <c r="E13" s="2">
        <f>s_ri!E13*shock_i!$E$5</f>
        <v>0</v>
      </c>
      <c r="F13" s="2">
        <f>s_ri!F13*shock_i!$E$6</f>
        <v>12.586957664385306</v>
      </c>
      <c r="G13" s="2">
        <f>s_ri!G13*shock_i!$E$7</f>
        <v>429.09899933112837</v>
      </c>
      <c r="H13" s="2">
        <f t="shared" si="0"/>
        <v>2713.6198126345107</v>
      </c>
      <c r="K13" s="2" t="s">
        <v>15</v>
      </c>
      <c r="L13">
        <f>s_ri!K13*shock_i!$E$8</f>
        <v>7070.9202120479904</v>
      </c>
      <c r="M13">
        <f>s_ri!L13*shock_i!$E$9</f>
        <v>287302.09568977827</v>
      </c>
      <c r="N13">
        <f>s_ri!M13*shock_i!$E$10</f>
        <v>0</v>
      </c>
      <c r="O13">
        <f>s_ri!N13*shock_i!$E$11</f>
        <v>0</v>
      </c>
      <c r="P13">
        <f>s_ri!O13*shock_i!$E$12</f>
        <v>-2.8954772871636481</v>
      </c>
      <c r="Q13">
        <f>s_ri!P13*shock_i!$E$13</f>
        <v>-137.07029718502665</v>
      </c>
      <c r="R13">
        <f t="shared" si="1"/>
        <v>294233.05012735404</v>
      </c>
    </row>
    <row r="14" spans="1:18" x14ac:dyDescent="0.2">
      <c r="A14" s="2" t="s">
        <v>16</v>
      </c>
      <c r="B14" s="2">
        <f>s_ri!B14*shock_i!$E$2</f>
        <v>10510.332983241324</v>
      </c>
      <c r="C14" s="2">
        <f>s_ri!C14*shock_i!$E$3</f>
        <v>2804288.4091312308</v>
      </c>
      <c r="D14" s="2">
        <f>s_ri!D14*shock_i!$E$4</f>
        <v>0</v>
      </c>
      <c r="E14" s="2">
        <f>s_ri!E14*shock_i!$E$5</f>
        <v>0</v>
      </c>
      <c r="F14" s="2">
        <f>s_ri!F14*shock_i!$E$6</f>
        <v>12.190653971492212</v>
      </c>
      <c r="G14" s="2">
        <f>s_ri!G14*shock_i!$E$7</f>
        <v>399.59133500458108</v>
      </c>
      <c r="H14" s="2">
        <f t="shared" si="0"/>
        <v>2815.2105241034483</v>
      </c>
      <c r="K14" s="2" t="s">
        <v>16</v>
      </c>
      <c r="L14">
        <f>s_ri!K14*shock_i!$E$8</f>
        <v>14687.456939709611</v>
      </c>
      <c r="M14">
        <f>s_ri!L14*shock_i!$E$9</f>
        <v>312058.91336086509</v>
      </c>
      <c r="N14">
        <f>s_ri!M14*shock_i!$E$10</f>
        <v>0</v>
      </c>
      <c r="O14">
        <f>s_ri!N14*shock_i!$E$11</f>
        <v>0</v>
      </c>
      <c r="P14">
        <f>s_ri!O14*shock_i!$E$12</f>
        <v>-3.1044145180188023</v>
      </c>
      <c r="Q14">
        <f>s_ri!P14*shock_i!$E$13</f>
        <v>-117.00904710994345</v>
      </c>
      <c r="R14">
        <f t="shared" si="1"/>
        <v>326626.25683894678</v>
      </c>
    </row>
    <row r="15" spans="1:18" x14ac:dyDescent="0.2">
      <c r="A15" s="2" t="s">
        <v>17</v>
      </c>
      <c r="B15" s="2">
        <f>s_ri!B15*shock_i!$E$2</f>
        <v>12410.70841371502</v>
      </c>
      <c r="C15" s="2">
        <f>s_ri!C15*shock_i!$E$3</f>
        <v>2272299.8369856467</v>
      </c>
      <c r="D15" s="2">
        <f>s_ri!D15*shock_i!$E$4</f>
        <v>0</v>
      </c>
      <c r="E15" s="2">
        <f>s_ri!E15*shock_i!$E$5</f>
        <v>0</v>
      </c>
      <c r="F15" s="2">
        <f>s_ri!F15*shock_i!$E$6</f>
        <v>11.715701654778291</v>
      </c>
      <c r="G15" s="2">
        <f>s_ri!G15*shock_i!$E$7</f>
        <v>453.32859925769583</v>
      </c>
      <c r="H15" s="2">
        <f t="shared" si="0"/>
        <v>2285.175589700274</v>
      </c>
      <c r="K15" s="2" t="s">
        <v>17</v>
      </c>
      <c r="L15">
        <f>s_ri!K15*shock_i!$E$8</f>
        <v>21883.330102700591</v>
      </c>
      <c r="M15">
        <f>s_ri!L15*shock_i!$E$9</f>
        <v>246044.31078573546</v>
      </c>
      <c r="N15">
        <f>s_ri!M15*shock_i!$E$10</f>
        <v>0</v>
      </c>
      <c r="O15">
        <f>s_ri!N15*shock_i!$E$11</f>
        <v>0</v>
      </c>
      <c r="P15">
        <f>s_ri!O15*shock_i!$E$12</f>
        <v>-2.9031916730125653</v>
      </c>
      <c r="Q15">
        <f>s_ri!P15*shock_i!$E$13</f>
        <v>-126.87201399499385</v>
      </c>
      <c r="R15">
        <f t="shared" si="1"/>
        <v>267797.86568276805</v>
      </c>
    </row>
    <row r="16" spans="1:18" x14ac:dyDescent="0.2">
      <c r="A16" s="2" t="s">
        <v>18</v>
      </c>
      <c r="B16" s="2">
        <f>s_ri!B16*shock_i!$E$2</f>
        <v>11994.992789312575</v>
      </c>
      <c r="C16" s="2">
        <f>s_ri!C16*shock_i!$E$3</f>
        <v>1660168.3110563694</v>
      </c>
      <c r="D16" s="2">
        <f>s_ri!D16*shock_i!$E$4</f>
        <v>0</v>
      </c>
      <c r="E16" s="2">
        <f>s_ri!E16*shock_i!$E$5</f>
        <v>0</v>
      </c>
      <c r="F16" s="2">
        <f>s_ri!F16*shock_i!$E$6</f>
        <v>14.706983692057275</v>
      </c>
      <c r="G16" s="2">
        <f>s_ri!G16*shock_i!$E$7</f>
        <v>437.19916955800124</v>
      </c>
      <c r="H16" s="2">
        <f t="shared" si="0"/>
        <v>1672.615209998932</v>
      </c>
      <c r="K16" s="2" t="s">
        <v>18</v>
      </c>
      <c r="L16">
        <f>s_ri!K16*shock_i!$E$8</f>
        <v>14731.030186911774</v>
      </c>
      <c r="M16">
        <f>s_ri!L16*shock_i!$E$9</f>
        <v>184143.34539549565</v>
      </c>
      <c r="N16">
        <f>s_ri!M16*shock_i!$E$10</f>
        <v>0</v>
      </c>
      <c r="O16">
        <f>s_ri!N16*shock_i!$E$11</f>
        <v>0</v>
      </c>
      <c r="P16">
        <f>s_ri!O16*shock_i!$E$12</f>
        <v>-3.2101558803752148</v>
      </c>
      <c r="Q16">
        <f>s_ri!P16*shock_i!$E$13</f>
        <v>-134.98850970320274</v>
      </c>
      <c r="R16">
        <f t="shared" si="1"/>
        <v>198736.17691682387</v>
      </c>
    </row>
    <row r="17" spans="1:18" x14ac:dyDescent="0.2">
      <c r="A17" s="2" t="s">
        <v>19</v>
      </c>
      <c r="B17" s="2">
        <f>s_ri!B17*shock_i!$E$2</f>
        <v>15062.229366947156</v>
      </c>
      <c r="C17" s="2">
        <f>s_ri!C17*shock_i!$E$3</f>
        <v>2076268.2916702903</v>
      </c>
      <c r="D17" s="2">
        <f>s_ri!D17*shock_i!$E$4</f>
        <v>0</v>
      </c>
      <c r="E17" s="2">
        <f>s_ri!E17*shock_i!$E$5</f>
        <v>0</v>
      </c>
      <c r="F17" s="2">
        <f>s_ri!F17*shock_i!$E$6</f>
        <v>9.2800951065211397</v>
      </c>
      <c r="G17" s="2">
        <f>s_ri!G17*shock_i!$E$7</f>
        <v>446.95890101307344</v>
      </c>
      <c r="H17" s="2">
        <f t="shared" si="0"/>
        <v>2091.786760033357</v>
      </c>
      <c r="K17" s="2" t="s">
        <v>19</v>
      </c>
      <c r="L17">
        <f>s_ri!K17*shock_i!$E$8</f>
        <v>21205.558923538469</v>
      </c>
      <c r="M17">
        <f>s_ri!L17*shock_i!$E$9</f>
        <v>242315.28043249378</v>
      </c>
      <c r="N17">
        <f>s_ri!M17*shock_i!$E$10</f>
        <v>0</v>
      </c>
      <c r="O17">
        <f>s_ri!N17*shock_i!$E$11</f>
        <v>0</v>
      </c>
      <c r="P17">
        <f>s_ri!O17*shock_i!$E$12</f>
        <v>-1.3328136430470297</v>
      </c>
      <c r="Q17">
        <f>s_ri!P17*shock_i!$E$13</f>
        <v>-159.20036970634004</v>
      </c>
      <c r="R17">
        <f t="shared" si="1"/>
        <v>263360.3061726829</v>
      </c>
    </row>
    <row r="18" spans="1:18" x14ac:dyDescent="0.2">
      <c r="A18" s="2" t="s">
        <v>20</v>
      </c>
      <c r="B18" s="2">
        <f>s_ri!B18*shock_i!$E$2</f>
        <v>13951.648205626261</v>
      </c>
      <c r="C18" s="2">
        <f>s_ri!C18*shock_i!$E$3</f>
        <v>2236349.8810190023</v>
      </c>
      <c r="D18" s="2">
        <f>s_ri!D18*shock_i!$E$4</f>
        <v>0</v>
      </c>
      <c r="E18" s="2">
        <f>s_ri!E18*shock_i!$E$5</f>
        <v>0</v>
      </c>
      <c r="F18" s="2">
        <f>s_ri!F18*shock_i!$E$6</f>
        <v>12.248482001870672</v>
      </c>
      <c r="G18" s="2">
        <f>s_ri!G18*shock_i!$E$7</f>
        <v>450.893587789538</v>
      </c>
      <c r="H18" s="2">
        <f t="shared" si="0"/>
        <v>2250.7646712944202</v>
      </c>
      <c r="K18" s="2" t="s">
        <v>20</v>
      </c>
      <c r="L18">
        <f>s_ri!K18*shock_i!$E$8</f>
        <v>16968.81682825803</v>
      </c>
      <c r="M18">
        <f>s_ri!L18*shock_i!$E$9</f>
        <v>302854.36498367711</v>
      </c>
      <c r="N18">
        <f>s_ri!M18*shock_i!$E$10</f>
        <v>0</v>
      </c>
      <c r="O18">
        <f>s_ri!N18*shock_i!$E$11</f>
        <v>0</v>
      </c>
      <c r="P18">
        <f>s_ri!O18*shock_i!$E$12</f>
        <v>-3.1764622405642786</v>
      </c>
      <c r="Q18">
        <f>s_ri!P18*shock_i!$E$13</f>
        <v>-127.95180306811645</v>
      </c>
      <c r="R18">
        <f t="shared" si="1"/>
        <v>319692.05354662647</v>
      </c>
    </row>
    <row r="19" spans="1:18" x14ac:dyDescent="0.2">
      <c r="A19" s="2" t="s">
        <v>21</v>
      </c>
      <c r="B19" s="2">
        <f>s_ri!B19*shock_i!$E$2</f>
        <v>10872.331643512298</v>
      </c>
      <c r="C19" s="2">
        <f>s_ri!C19*shock_i!$E$3</f>
        <v>1188336.3463138952</v>
      </c>
      <c r="D19" s="2">
        <f>s_ri!D19*shock_i!$E$4</f>
        <v>0</v>
      </c>
      <c r="E19" s="2">
        <f>s_ri!E19*shock_i!$E$5</f>
        <v>0</v>
      </c>
      <c r="F19" s="2">
        <f>s_ri!F19*shock_i!$E$6</f>
        <v>15.58244832854138</v>
      </c>
      <c r="G19" s="2">
        <f>s_ri!G19*shock_i!$E$7</f>
        <v>484.90768790267754</v>
      </c>
      <c r="H19" s="2">
        <f t="shared" si="0"/>
        <v>1199.7091680936387</v>
      </c>
      <c r="K19" s="2" t="s">
        <v>21</v>
      </c>
      <c r="L19">
        <f>s_ri!K19*shock_i!$E$8</f>
        <v>13573.459126641208</v>
      </c>
      <c r="M19">
        <f>s_ri!L19*shock_i!$E$9</f>
        <v>155065.19136814226</v>
      </c>
      <c r="N19">
        <f>s_ri!M19*shock_i!$E$10</f>
        <v>0</v>
      </c>
      <c r="O19">
        <f>s_ri!N19*shock_i!$E$11</f>
        <v>0</v>
      </c>
      <c r="P19">
        <f>s_ri!O19*shock_i!$E$12</f>
        <v>-2.8944304307544511</v>
      </c>
      <c r="Q19">
        <f>s_ri!P19*shock_i!$E$13</f>
        <v>-153.30932367817528</v>
      </c>
      <c r="R19">
        <f t="shared" si="1"/>
        <v>168482.44674067455</v>
      </c>
    </row>
    <row r="20" spans="1:18" x14ac:dyDescent="0.2">
      <c r="A20" s="2" t="s">
        <v>22</v>
      </c>
      <c r="B20" s="2">
        <f>s_ri!B20*shock_i!$E$2</f>
        <v>11021.997906470471</v>
      </c>
      <c r="C20" s="2">
        <f>s_ri!C20*shock_i!$E$3</f>
        <v>1925069.6235187755</v>
      </c>
      <c r="D20" s="2">
        <f>s_ri!D20*shock_i!$E$4</f>
        <v>0</v>
      </c>
      <c r="E20" s="2">
        <f>s_ri!E20*shock_i!$E$5</f>
        <v>0</v>
      </c>
      <c r="F20" s="2">
        <f>s_ri!F20*shock_i!$E$6</f>
        <v>15.476421924090317</v>
      </c>
      <c r="G20" s="2">
        <f>s_ri!G20*shock_i!$E$7</f>
        <v>452.51039648489837</v>
      </c>
      <c r="H20" s="2">
        <f t="shared" si="0"/>
        <v>1936.559608243655</v>
      </c>
      <c r="K20" s="2" t="s">
        <v>22</v>
      </c>
      <c r="L20">
        <f>s_ri!K20*shock_i!$E$8</f>
        <v>18396.998254853712</v>
      </c>
      <c r="M20">
        <f>s_ri!L20*shock_i!$E$9</f>
        <v>225669.99890054218</v>
      </c>
      <c r="N20">
        <f>s_ri!M20*shock_i!$E$10</f>
        <v>0</v>
      </c>
      <c r="O20">
        <f>s_ri!N20*shock_i!$E$11</f>
        <v>0</v>
      </c>
      <c r="P20">
        <f>s_ri!O20*shock_i!$E$12</f>
        <v>-3.5942066588582784</v>
      </c>
      <c r="Q20">
        <f>s_ri!P20*shock_i!$E$13</f>
        <v>-129.79585450837533</v>
      </c>
      <c r="R20">
        <f t="shared" si="1"/>
        <v>243933.60709422865</v>
      </c>
    </row>
    <row r="21" spans="1:18" x14ac:dyDescent="0.2">
      <c r="A21" s="2" t="s">
        <v>23</v>
      </c>
      <c r="B21" s="2">
        <f>s_ri!B21*shock_i!$E$2</f>
        <v>12479.027178709959</v>
      </c>
      <c r="C21" s="2">
        <f>s_ri!C21*shock_i!$E$3</f>
        <v>2317126.4858695506</v>
      </c>
      <c r="D21" s="2">
        <f>s_ri!D21*shock_i!$E$4</f>
        <v>0</v>
      </c>
      <c r="E21" s="2">
        <f>s_ri!E21*shock_i!$E$5</f>
        <v>0</v>
      </c>
      <c r="F21" s="2">
        <f>s_ri!F21*shock_i!$E$6</f>
        <v>10.825871493698649</v>
      </c>
      <c r="G21" s="2">
        <f>s_ri!G21*shock_i!$E$7</f>
        <v>451.30868696339826</v>
      </c>
      <c r="H21" s="2">
        <f t="shared" si="0"/>
        <v>2330.0676476067174</v>
      </c>
      <c r="K21" s="2" t="s">
        <v>23</v>
      </c>
      <c r="L21">
        <f>s_ri!K21*shock_i!$E$8</f>
        <v>26523.388227225438</v>
      </c>
      <c r="M21">
        <f>s_ri!L21*shock_i!$E$9</f>
        <v>295508.58068344253</v>
      </c>
      <c r="N21">
        <f>s_ri!M21*shock_i!$E$10</f>
        <v>0</v>
      </c>
      <c r="O21">
        <f>s_ri!N21*shock_i!$E$11</f>
        <v>0</v>
      </c>
      <c r="P21">
        <f>s_ri!O21*shock_i!$E$12</f>
        <v>-2.5887662776825375</v>
      </c>
      <c r="Q21">
        <f>s_ri!P21*shock_i!$E$13</f>
        <v>-129.24617151499547</v>
      </c>
      <c r="R21">
        <f t="shared" si="1"/>
        <v>321900.13397287531</v>
      </c>
    </row>
    <row r="22" spans="1:18" x14ac:dyDescent="0.2">
      <c r="A22" s="2" t="s">
        <v>24</v>
      </c>
      <c r="B22" s="2">
        <f>s_ri!B22*shock_i!$E$2</f>
        <v>5522.0294626170671</v>
      </c>
      <c r="C22" s="2">
        <f>s_ri!C22*shock_i!$E$3</f>
        <v>2604628.3560046824</v>
      </c>
      <c r="D22" s="2">
        <f>s_ri!D22*shock_i!$E$4</f>
        <v>0</v>
      </c>
      <c r="E22" s="2">
        <f>s_ri!E22*shock_i!$E$5</f>
        <v>0</v>
      </c>
      <c r="F22" s="2">
        <f>s_ri!F22*shock_i!$E$6</f>
        <v>17.460394683973192</v>
      </c>
      <c r="G22" s="2">
        <f>s_ri!G22*shock_i!$E$7</f>
        <v>394.66021445284838</v>
      </c>
      <c r="H22" s="2">
        <f t="shared" si="0"/>
        <v>2610.562506076436</v>
      </c>
      <c r="K22" s="2" t="s">
        <v>24</v>
      </c>
      <c r="L22">
        <f>s_ri!K22*shock_i!$E$8</f>
        <v>9930.5938025780015</v>
      </c>
      <c r="M22">
        <f>s_ri!L22*shock_i!$E$9</f>
        <v>279389.54835675971</v>
      </c>
      <c r="N22">
        <f>s_ri!M22*shock_i!$E$10</f>
        <v>0</v>
      </c>
      <c r="O22">
        <f>s_ri!N22*shock_i!$E$11</f>
        <v>0</v>
      </c>
      <c r="P22">
        <f>s_ri!O22*shock_i!$E$12</f>
        <v>-3.6355163848466048</v>
      </c>
      <c r="Q22">
        <f>s_ri!P22*shock_i!$E$13</f>
        <v>-117.58535204646323</v>
      </c>
      <c r="R22">
        <f t="shared" si="1"/>
        <v>289198.92129090638</v>
      </c>
    </row>
    <row r="23" spans="1:18" x14ac:dyDescent="0.2">
      <c r="A23" s="2" t="s">
        <v>25</v>
      </c>
      <c r="B23" s="2">
        <f>s_ri!B23*shock_i!$E$2</f>
        <v>3813.1760380028913</v>
      </c>
      <c r="C23" s="2">
        <f>s_ri!C23*shock_i!$E$3</f>
        <v>1376747.7383844561</v>
      </c>
      <c r="D23" s="2">
        <f>s_ri!D23*shock_i!$E$4</f>
        <v>0</v>
      </c>
      <c r="E23" s="2">
        <f>s_ri!E23*shock_i!$E$5</f>
        <v>0</v>
      </c>
      <c r="F23" s="2">
        <f>s_ri!F23*shock_i!$E$6</f>
        <v>16.578348815992687</v>
      </c>
      <c r="G23" s="2">
        <f>s_ri!G23*shock_i!$E$7</f>
        <v>479.24647812517577</v>
      </c>
      <c r="H23" s="2">
        <f t="shared" si="0"/>
        <v>1381.0567392494002</v>
      </c>
      <c r="K23" s="2" t="s">
        <v>25</v>
      </c>
      <c r="L23">
        <f>s_ri!K23*shock_i!$E$8</f>
        <v>8180.846222418837</v>
      </c>
      <c r="M23">
        <f>s_ri!L23*shock_i!$E$9</f>
        <v>165006.70802833111</v>
      </c>
      <c r="N23">
        <f>s_ri!M23*shock_i!$E$10</f>
        <v>0</v>
      </c>
      <c r="O23">
        <f>s_ri!N23*shock_i!$E$11</f>
        <v>0</v>
      </c>
      <c r="P23">
        <f>s_ri!O23*shock_i!$E$12</f>
        <v>-3.9028619795124584</v>
      </c>
      <c r="Q23">
        <f>s_ri!P23*shock_i!$E$13</f>
        <v>-134.1281611009162</v>
      </c>
      <c r="R23">
        <f t="shared" si="1"/>
        <v>173049.52322766953</v>
      </c>
    </row>
    <row r="24" spans="1:18" x14ac:dyDescent="0.2">
      <c r="A24" s="2" t="s">
        <v>26</v>
      </c>
      <c r="B24" s="2">
        <f>s_ri!B24*shock_i!$E$2</f>
        <v>0</v>
      </c>
      <c r="C24" s="2">
        <f>s_ri!C24*shock_i!$E$3</f>
        <v>0</v>
      </c>
      <c r="D24" s="2">
        <f>s_ri!D24*shock_i!$E$4</f>
        <v>0</v>
      </c>
      <c r="E24" s="2">
        <f>s_ri!E24*shock_i!$E$5</f>
        <v>0</v>
      </c>
      <c r="F24" s="2">
        <f>s_ri!F24*shock_i!$E$6</f>
        <v>0</v>
      </c>
      <c r="G24" s="2">
        <f>s_ri!G24*shock_i!$E$7</f>
        <v>752.10993252290814</v>
      </c>
      <c r="H24" s="2">
        <f t="shared" si="0"/>
        <v>0.75210993252290814</v>
      </c>
      <c r="K24" s="2" t="s">
        <v>26</v>
      </c>
      <c r="L24">
        <f>s_ri!K24*shock_i!$E$8</f>
        <v>0</v>
      </c>
      <c r="M24">
        <f>s_ri!L24*shock_i!$E$9</f>
        <v>264328.08722424076</v>
      </c>
      <c r="N24">
        <f>s_ri!M24*shock_i!$E$10</f>
        <v>0</v>
      </c>
      <c r="O24">
        <f>s_ri!N24*shock_i!$E$11</f>
        <v>0</v>
      </c>
      <c r="P24">
        <f>s_ri!O24*shock_i!$E$12</f>
        <v>-2.9431585187313511</v>
      </c>
      <c r="Q24">
        <f>s_ri!P24*shock_i!$E$13</f>
        <v>-127.36500749726292</v>
      </c>
      <c r="R24">
        <f t="shared" si="1"/>
        <v>264197.77905822475</v>
      </c>
    </row>
  </sheetData>
  <mergeCells count="2">
    <mergeCell ref="A1:H1"/>
    <mergeCell ref="K1:R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C8A5-46DF-B341-B3DB-3FF81C4C16D4}">
  <dimension ref="A1:W40"/>
  <sheetViews>
    <sheetView workbookViewId="0">
      <selection activeCell="H22" sqref="H22"/>
    </sheetView>
  </sheetViews>
  <sheetFormatPr baseColWidth="10" defaultRowHeight="16" x14ac:dyDescent="0.2"/>
  <cols>
    <col min="3" max="3" width="17.5" style="6" bestFit="1" customWidth="1"/>
    <col min="5" max="6" width="10.83203125" style="2"/>
    <col min="7" max="7" width="15.6640625" style="6" bestFit="1" customWidth="1"/>
    <col min="8" max="10" width="10.83203125" style="2"/>
    <col min="11" max="11" width="17.83203125" style="6" bestFit="1" customWidth="1"/>
    <col min="12" max="14" width="10.83203125" style="2"/>
    <col min="15" max="15" width="15.6640625" style="2" bestFit="1" customWidth="1"/>
    <col min="16" max="18" width="10.83203125" style="2"/>
    <col min="19" max="19" width="15.6640625" style="2" bestFit="1" customWidth="1"/>
    <col min="20" max="22" width="10.83203125" style="2"/>
    <col min="23" max="23" width="15.6640625" style="2" bestFit="1" customWidth="1"/>
  </cols>
  <sheetData>
    <row r="1" spans="1:23" x14ac:dyDescent="0.2">
      <c r="A1" s="9" t="s">
        <v>48</v>
      </c>
      <c r="B1" s="9"/>
      <c r="C1" s="9"/>
      <c r="E1" s="9" t="s">
        <v>49</v>
      </c>
      <c r="F1" s="9"/>
      <c r="G1" s="9"/>
      <c r="H1" s="4"/>
      <c r="I1" s="9" t="s">
        <v>50</v>
      </c>
      <c r="J1" s="9"/>
      <c r="K1" s="9"/>
      <c r="L1" s="4"/>
      <c r="M1" s="9" t="s">
        <v>51</v>
      </c>
      <c r="N1" s="9"/>
      <c r="O1" s="9"/>
      <c r="P1" s="4"/>
      <c r="Q1" s="9" t="s">
        <v>52</v>
      </c>
      <c r="R1" s="9"/>
      <c r="S1" s="9"/>
      <c r="T1" s="4"/>
      <c r="U1" s="9" t="s">
        <v>53</v>
      </c>
      <c r="V1" s="9"/>
      <c r="W1" s="9"/>
    </row>
    <row r="2" spans="1:23" x14ac:dyDescent="0.2">
      <c r="A2" t="s">
        <v>1</v>
      </c>
      <c r="B2" t="s">
        <v>32</v>
      </c>
      <c r="C2" s="6" t="s">
        <v>33</v>
      </c>
      <c r="E2" s="2" t="s">
        <v>1</v>
      </c>
      <c r="F2" s="2" t="s">
        <v>32</v>
      </c>
      <c r="G2" s="6" t="s">
        <v>33</v>
      </c>
      <c r="I2" s="2" t="s">
        <v>1</v>
      </c>
      <c r="J2" s="2" t="s">
        <v>32</v>
      </c>
      <c r="K2" s="6" t="s">
        <v>33</v>
      </c>
      <c r="M2" s="2" t="s">
        <v>1</v>
      </c>
      <c r="N2" s="2" t="s">
        <v>32</v>
      </c>
      <c r="O2" s="3" t="s">
        <v>33</v>
      </c>
      <c r="Q2" s="2" t="s">
        <v>1</v>
      </c>
      <c r="R2" s="2" t="s">
        <v>32</v>
      </c>
      <c r="S2" s="2" t="s">
        <v>33</v>
      </c>
      <c r="U2" s="2" t="s">
        <v>1</v>
      </c>
      <c r="V2" s="2" t="s">
        <v>32</v>
      </c>
      <c r="W2" s="3" t="s">
        <v>33</v>
      </c>
    </row>
    <row r="3" spans="1:23" x14ac:dyDescent="0.2">
      <c r="A3">
        <v>1999</v>
      </c>
      <c r="B3" t="s">
        <v>5</v>
      </c>
      <c r="C3" s="6">
        <v>31366299</v>
      </c>
      <c r="E3" s="2">
        <v>1999</v>
      </c>
      <c r="F3" s="2" t="s">
        <v>5</v>
      </c>
      <c r="G3" s="6">
        <v>1907415</v>
      </c>
      <c r="I3" s="2">
        <v>1999</v>
      </c>
      <c r="J3" s="2" t="s">
        <v>5</v>
      </c>
      <c r="K3" s="6">
        <v>1643501884</v>
      </c>
      <c r="M3" s="2">
        <v>1999</v>
      </c>
      <c r="N3" s="2" t="s">
        <v>5</v>
      </c>
      <c r="O3" s="6">
        <v>1125099</v>
      </c>
      <c r="Q3" s="2">
        <v>1999</v>
      </c>
      <c r="R3" s="2" t="s">
        <v>5</v>
      </c>
      <c r="S3" s="6">
        <v>8132064</v>
      </c>
      <c r="U3" s="2">
        <v>1999</v>
      </c>
      <c r="V3" s="2" t="s">
        <v>5</v>
      </c>
      <c r="W3" s="6">
        <v>1414721</v>
      </c>
    </row>
    <row r="4" spans="1:23" x14ac:dyDescent="0.2">
      <c r="A4">
        <v>1999</v>
      </c>
      <c r="B4" t="s">
        <v>27</v>
      </c>
      <c r="C4" s="6">
        <v>4170822649</v>
      </c>
      <c r="E4" s="2">
        <v>1999</v>
      </c>
      <c r="F4" s="2" t="s">
        <v>27</v>
      </c>
      <c r="G4" s="6">
        <v>723830435</v>
      </c>
      <c r="I4" s="2">
        <v>1999</v>
      </c>
      <c r="J4" s="2" t="s">
        <v>27</v>
      </c>
      <c r="K4" s="6">
        <v>40528188750</v>
      </c>
      <c r="M4" s="2">
        <v>1999</v>
      </c>
      <c r="N4" s="2" t="s">
        <v>27</v>
      </c>
      <c r="O4" s="6">
        <v>920711827</v>
      </c>
      <c r="Q4" s="2">
        <v>1999</v>
      </c>
      <c r="R4" s="2" t="s">
        <v>27</v>
      </c>
      <c r="S4" s="6">
        <v>745304253</v>
      </c>
      <c r="U4" s="2">
        <v>1999</v>
      </c>
      <c r="V4" s="2" t="s">
        <v>27</v>
      </c>
      <c r="W4" s="6">
        <v>757645750</v>
      </c>
    </row>
    <row r="5" spans="1:23" x14ac:dyDescent="0.2">
      <c r="A5">
        <v>1999</v>
      </c>
      <c r="B5" t="s">
        <v>28</v>
      </c>
      <c r="C5" s="6">
        <v>0</v>
      </c>
      <c r="E5" s="2">
        <v>1999</v>
      </c>
      <c r="F5" s="2" t="s">
        <v>28</v>
      </c>
      <c r="G5" s="6">
        <v>0</v>
      </c>
      <c r="I5" s="2">
        <v>1999</v>
      </c>
      <c r="J5" s="2" t="s">
        <v>28</v>
      </c>
      <c r="K5" s="6">
        <v>0</v>
      </c>
      <c r="M5" s="2">
        <v>1999</v>
      </c>
      <c r="N5" s="2" t="s">
        <v>28</v>
      </c>
      <c r="O5" s="6">
        <v>0</v>
      </c>
      <c r="Q5" s="2">
        <v>1999</v>
      </c>
      <c r="R5" s="2" t="s">
        <v>28</v>
      </c>
      <c r="S5" s="6">
        <v>0</v>
      </c>
      <c r="U5" s="2">
        <v>1999</v>
      </c>
      <c r="V5" s="2" t="s">
        <v>28</v>
      </c>
      <c r="W5" s="6">
        <v>0</v>
      </c>
    </row>
    <row r="6" spans="1:23" x14ac:dyDescent="0.2">
      <c r="A6">
        <v>1999</v>
      </c>
      <c r="B6" t="s">
        <v>29</v>
      </c>
      <c r="C6" s="6">
        <v>0</v>
      </c>
      <c r="E6" s="2">
        <v>1999</v>
      </c>
      <c r="F6" s="2" t="s">
        <v>29</v>
      </c>
      <c r="G6" s="6">
        <v>0</v>
      </c>
      <c r="I6" s="2">
        <v>1999</v>
      </c>
      <c r="J6" s="2" t="s">
        <v>29</v>
      </c>
      <c r="K6" s="6">
        <v>0</v>
      </c>
      <c r="M6" s="2">
        <v>1999</v>
      </c>
      <c r="N6" s="2" t="s">
        <v>29</v>
      </c>
      <c r="O6" s="6">
        <v>0</v>
      </c>
      <c r="Q6" s="2">
        <v>1999</v>
      </c>
      <c r="R6" s="2" t="s">
        <v>29</v>
      </c>
      <c r="S6" s="6">
        <v>0</v>
      </c>
      <c r="U6" s="2">
        <v>1999</v>
      </c>
      <c r="V6" s="2" t="s">
        <v>29</v>
      </c>
      <c r="W6" s="6">
        <v>0</v>
      </c>
    </row>
    <row r="7" spans="1:23" x14ac:dyDescent="0.2">
      <c r="A7">
        <v>1999</v>
      </c>
      <c r="B7" t="s">
        <v>30</v>
      </c>
      <c r="C7" s="6">
        <v>8063</v>
      </c>
      <c r="E7" s="2">
        <v>1999</v>
      </c>
      <c r="F7" s="2" t="s">
        <v>30</v>
      </c>
      <c r="G7" s="6">
        <v>0</v>
      </c>
      <c r="I7" s="2">
        <v>1999</v>
      </c>
      <c r="J7" s="2" t="s">
        <v>30</v>
      </c>
      <c r="K7" s="6">
        <v>399015</v>
      </c>
      <c r="M7" s="2">
        <v>1999</v>
      </c>
      <c r="N7" s="2" t="s">
        <v>30</v>
      </c>
      <c r="O7" s="6">
        <v>4382</v>
      </c>
      <c r="Q7" s="2">
        <v>1999</v>
      </c>
      <c r="R7" s="2" t="s">
        <v>30</v>
      </c>
      <c r="S7" s="6">
        <v>0</v>
      </c>
      <c r="U7" s="2">
        <v>1999</v>
      </c>
      <c r="V7" s="2" t="s">
        <v>30</v>
      </c>
      <c r="W7" s="6">
        <v>1451</v>
      </c>
    </row>
    <row r="8" spans="1:23" x14ac:dyDescent="0.2">
      <c r="A8">
        <v>1999</v>
      </c>
      <c r="B8" t="s">
        <v>31</v>
      </c>
      <c r="C8" s="6">
        <v>8515219</v>
      </c>
      <c r="E8" s="2">
        <v>1999</v>
      </c>
      <c r="F8" s="2" t="s">
        <v>31</v>
      </c>
      <c r="G8" s="6">
        <v>116194</v>
      </c>
      <c r="I8" s="2">
        <v>1999</v>
      </c>
      <c r="J8" s="2" t="s">
        <v>31</v>
      </c>
      <c r="K8" s="6">
        <v>26277368</v>
      </c>
      <c r="M8" s="2">
        <v>1999</v>
      </c>
      <c r="N8" s="2" t="s">
        <v>31</v>
      </c>
      <c r="O8" s="6">
        <v>195790</v>
      </c>
      <c r="Q8" s="2">
        <v>1999</v>
      </c>
      <c r="R8" s="2" t="s">
        <v>31</v>
      </c>
      <c r="S8" s="6">
        <v>422934</v>
      </c>
      <c r="U8" s="2">
        <v>1999</v>
      </c>
      <c r="V8" s="2" t="s">
        <v>31</v>
      </c>
      <c r="W8" s="6">
        <v>170444</v>
      </c>
    </row>
    <row r="9" spans="1:23" x14ac:dyDescent="0.2">
      <c r="A9">
        <v>2011</v>
      </c>
      <c r="B9" t="s">
        <v>5</v>
      </c>
      <c r="C9" s="6">
        <v>126210268</v>
      </c>
      <c r="E9" s="2">
        <v>2011</v>
      </c>
      <c r="F9" s="2" t="s">
        <v>5</v>
      </c>
      <c r="G9" s="6">
        <v>2661830</v>
      </c>
      <c r="I9" s="2">
        <v>2011</v>
      </c>
      <c r="J9" s="2" t="s">
        <v>5</v>
      </c>
      <c r="K9" s="6">
        <v>1871215480</v>
      </c>
      <c r="M9" s="2">
        <v>2011</v>
      </c>
      <c r="N9" s="2" t="s">
        <v>5</v>
      </c>
      <c r="O9" s="6">
        <v>14453257</v>
      </c>
      <c r="Q9" s="8">
        <v>2011</v>
      </c>
      <c r="R9" s="8" t="s">
        <v>5</v>
      </c>
      <c r="S9" s="6">
        <v>23104718.137999993</v>
      </c>
      <c r="U9" s="2">
        <v>2011</v>
      </c>
      <c r="V9" s="2" t="s">
        <v>5</v>
      </c>
      <c r="W9" s="6">
        <v>10454215</v>
      </c>
    </row>
    <row r="10" spans="1:23" x14ac:dyDescent="0.2">
      <c r="A10">
        <v>2011</v>
      </c>
      <c r="B10" t="s">
        <v>27</v>
      </c>
      <c r="C10" s="6">
        <v>42571628341</v>
      </c>
      <c r="E10" s="2">
        <v>2011</v>
      </c>
      <c r="F10" s="2" t="s">
        <v>27</v>
      </c>
      <c r="G10" s="6">
        <v>3030544423</v>
      </c>
      <c r="I10" s="2">
        <v>2011</v>
      </c>
      <c r="J10" s="2" t="s">
        <v>27</v>
      </c>
      <c r="K10" s="6">
        <v>178004922182</v>
      </c>
      <c r="M10" s="2">
        <v>2011</v>
      </c>
      <c r="N10" s="2" t="s">
        <v>27</v>
      </c>
      <c r="O10" s="6">
        <v>8239528662</v>
      </c>
      <c r="Q10" s="8">
        <v>2011</v>
      </c>
      <c r="R10" s="8" t="s">
        <v>27</v>
      </c>
      <c r="S10" s="6">
        <v>5835469332.3119993</v>
      </c>
      <c r="U10" s="2">
        <v>2011</v>
      </c>
      <c r="V10" s="2" t="s">
        <v>27</v>
      </c>
      <c r="W10" s="6">
        <v>6831335381</v>
      </c>
    </row>
    <row r="11" spans="1:23" x14ac:dyDescent="0.2">
      <c r="A11">
        <v>2011</v>
      </c>
      <c r="B11" t="s">
        <v>28</v>
      </c>
      <c r="C11" s="6">
        <v>0</v>
      </c>
      <c r="E11" s="2">
        <v>2011</v>
      </c>
      <c r="F11" s="2" t="s">
        <v>28</v>
      </c>
      <c r="G11" s="6">
        <v>0</v>
      </c>
      <c r="I11" s="2">
        <v>2011</v>
      </c>
      <c r="J11" s="2" t="s">
        <v>28</v>
      </c>
      <c r="K11" s="6">
        <v>0</v>
      </c>
      <c r="M11" s="2">
        <v>2011</v>
      </c>
      <c r="N11" s="2" t="s">
        <v>28</v>
      </c>
      <c r="O11" s="6">
        <v>0</v>
      </c>
      <c r="Q11" s="8">
        <v>2011</v>
      </c>
      <c r="R11" s="8" t="s">
        <v>28</v>
      </c>
      <c r="S11" s="6">
        <v>0</v>
      </c>
      <c r="U11" s="2">
        <v>2011</v>
      </c>
      <c r="V11" s="2" t="s">
        <v>28</v>
      </c>
      <c r="W11" s="6">
        <v>0</v>
      </c>
    </row>
    <row r="12" spans="1:23" x14ac:dyDescent="0.2">
      <c r="A12">
        <v>2011</v>
      </c>
      <c r="B12" t="s">
        <v>29</v>
      </c>
      <c r="C12" s="6">
        <v>0</v>
      </c>
      <c r="E12" s="2">
        <v>2011</v>
      </c>
      <c r="F12" s="2" t="s">
        <v>29</v>
      </c>
      <c r="G12" s="6">
        <v>0</v>
      </c>
      <c r="I12" s="2">
        <v>2011</v>
      </c>
      <c r="J12" s="2" t="s">
        <v>29</v>
      </c>
      <c r="K12" s="6">
        <v>0</v>
      </c>
      <c r="M12" s="2">
        <v>2011</v>
      </c>
      <c r="N12" s="2" t="s">
        <v>29</v>
      </c>
      <c r="O12" s="6">
        <v>0</v>
      </c>
      <c r="Q12" s="8">
        <v>2011</v>
      </c>
      <c r="R12" s="8" t="s">
        <v>29</v>
      </c>
      <c r="S12" s="6">
        <v>0</v>
      </c>
      <c r="U12" s="2">
        <v>2011</v>
      </c>
      <c r="V12" s="2" t="s">
        <v>29</v>
      </c>
      <c r="W12" s="6">
        <v>0</v>
      </c>
    </row>
    <row r="13" spans="1:23" x14ac:dyDescent="0.2">
      <c r="A13">
        <v>2011</v>
      </c>
      <c r="B13" t="s">
        <v>30</v>
      </c>
      <c r="C13" s="6">
        <v>12361</v>
      </c>
      <c r="E13" s="2">
        <v>2011</v>
      </c>
      <c r="F13" s="2" t="s">
        <v>30</v>
      </c>
      <c r="G13" s="6">
        <v>2351</v>
      </c>
      <c r="I13" s="2">
        <v>2011</v>
      </c>
      <c r="J13" s="2" t="s">
        <v>30</v>
      </c>
      <c r="K13" s="6">
        <v>761578</v>
      </c>
      <c r="M13" s="2">
        <v>2011</v>
      </c>
      <c r="N13" s="2" t="s">
        <v>30</v>
      </c>
      <c r="O13" s="6">
        <v>2049</v>
      </c>
      <c r="Q13" s="8">
        <v>2011</v>
      </c>
      <c r="R13" s="8" t="s">
        <v>30</v>
      </c>
      <c r="S13" s="6">
        <v>119105.481</v>
      </c>
      <c r="U13" s="2">
        <v>2011</v>
      </c>
      <c r="V13" s="2" t="s">
        <v>30</v>
      </c>
      <c r="W13" s="6">
        <v>1541</v>
      </c>
    </row>
    <row r="14" spans="1:23" x14ac:dyDescent="0.2">
      <c r="A14">
        <v>2011</v>
      </c>
      <c r="B14" t="s">
        <v>31</v>
      </c>
      <c r="C14" s="6">
        <v>8175074</v>
      </c>
      <c r="E14" s="2">
        <v>2011</v>
      </c>
      <c r="F14" s="2" t="s">
        <v>31</v>
      </c>
      <c r="G14" s="6">
        <v>175153</v>
      </c>
      <c r="I14" s="2">
        <v>2011</v>
      </c>
      <c r="J14" s="2" t="s">
        <v>31</v>
      </c>
      <c r="K14" s="6">
        <v>13813507</v>
      </c>
      <c r="M14" s="2">
        <v>2011</v>
      </c>
      <c r="N14" s="2" t="s">
        <v>31</v>
      </c>
      <c r="O14" s="6">
        <v>1991261</v>
      </c>
      <c r="Q14" s="8">
        <v>2011</v>
      </c>
      <c r="R14" s="8" t="s">
        <v>31</v>
      </c>
      <c r="S14" s="6">
        <v>840021.29500000004</v>
      </c>
      <c r="U14" s="2">
        <v>2011</v>
      </c>
      <c r="V14" s="2" t="s">
        <v>31</v>
      </c>
      <c r="W14" s="6">
        <v>1374256</v>
      </c>
    </row>
    <row r="15" spans="1:23" x14ac:dyDescent="0.2">
      <c r="A15">
        <v>2012</v>
      </c>
      <c r="B15" t="s">
        <v>5</v>
      </c>
      <c r="C15" s="6">
        <v>113128043</v>
      </c>
      <c r="E15" s="2">
        <v>2012</v>
      </c>
      <c r="F15" s="2" t="s">
        <v>5</v>
      </c>
      <c r="G15" s="6">
        <v>7005283</v>
      </c>
      <c r="I15" s="2">
        <v>2012</v>
      </c>
      <c r="J15" s="2" t="s">
        <v>5</v>
      </c>
      <c r="K15" s="6">
        <v>1945974614</v>
      </c>
      <c r="M15" s="2">
        <v>2012</v>
      </c>
      <c r="N15" s="2" t="s">
        <v>5</v>
      </c>
      <c r="O15" s="6">
        <v>13598740</v>
      </c>
      <c r="Q15" s="2">
        <v>2012</v>
      </c>
      <c r="R15" s="2" t="s">
        <v>5</v>
      </c>
      <c r="S15" s="6">
        <v>21088671.141000003</v>
      </c>
      <c r="U15" s="2">
        <v>2012</v>
      </c>
      <c r="V15" s="2" t="s">
        <v>5</v>
      </c>
      <c r="W15" s="6">
        <v>11961046.121999998</v>
      </c>
    </row>
    <row r="16" spans="1:23" x14ac:dyDescent="0.2">
      <c r="A16">
        <v>2012</v>
      </c>
      <c r="B16" t="s">
        <v>27</v>
      </c>
      <c r="C16" s="6">
        <v>44967001411</v>
      </c>
      <c r="E16" s="2">
        <v>2012</v>
      </c>
      <c r="F16" s="2" t="s">
        <v>27</v>
      </c>
      <c r="G16" s="6">
        <v>5857707478</v>
      </c>
      <c r="I16" s="2">
        <v>2012</v>
      </c>
      <c r="J16" s="2" t="s">
        <v>27</v>
      </c>
      <c r="K16" s="6">
        <v>183922027798</v>
      </c>
      <c r="M16" s="2">
        <v>2012</v>
      </c>
      <c r="N16" s="2" t="s">
        <v>27</v>
      </c>
      <c r="O16" s="6">
        <v>8057037744</v>
      </c>
      <c r="Q16" s="2">
        <v>2012</v>
      </c>
      <c r="R16" s="2" t="s">
        <v>27</v>
      </c>
      <c r="S16" s="6">
        <v>6182092763.4729986</v>
      </c>
      <c r="U16" s="2">
        <v>2012</v>
      </c>
      <c r="V16" s="2" t="s">
        <v>27</v>
      </c>
      <c r="W16" s="6">
        <v>8033880963.5719976</v>
      </c>
    </row>
    <row r="17" spans="1:23" x14ac:dyDescent="0.2">
      <c r="A17">
        <v>2012</v>
      </c>
      <c r="B17" t="s">
        <v>28</v>
      </c>
      <c r="C17" s="6">
        <v>0</v>
      </c>
      <c r="E17" s="2">
        <v>2012</v>
      </c>
      <c r="F17" s="2" t="s">
        <v>28</v>
      </c>
      <c r="G17" s="6">
        <v>0</v>
      </c>
      <c r="I17" s="2">
        <v>2012</v>
      </c>
      <c r="J17" s="2" t="s">
        <v>28</v>
      </c>
      <c r="K17" s="6">
        <v>0</v>
      </c>
      <c r="M17" s="2">
        <v>2012</v>
      </c>
      <c r="N17" s="2" t="s">
        <v>28</v>
      </c>
      <c r="O17" s="6">
        <v>0</v>
      </c>
      <c r="Q17" s="2">
        <v>2012</v>
      </c>
      <c r="R17" s="2" t="s">
        <v>28</v>
      </c>
      <c r="S17" s="6">
        <v>0</v>
      </c>
      <c r="U17" s="2">
        <v>2012</v>
      </c>
      <c r="V17" s="2" t="s">
        <v>28</v>
      </c>
      <c r="W17" s="6">
        <v>0</v>
      </c>
    </row>
    <row r="18" spans="1:23" x14ac:dyDescent="0.2">
      <c r="A18">
        <v>2012</v>
      </c>
      <c r="B18" t="s">
        <v>29</v>
      </c>
      <c r="C18" s="6">
        <v>0</v>
      </c>
      <c r="E18" s="2">
        <v>2012</v>
      </c>
      <c r="F18" s="2" t="s">
        <v>29</v>
      </c>
      <c r="G18" s="6">
        <v>0</v>
      </c>
      <c r="I18" s="2">
        <v>2012</v>
      </c>
      <c r="J18" s="2" t="s">
        <v>29</v>
      </c>
      <c r="K18" s="6">
        <v>0</v>
      </c>
      <c r="M18" s="2">
        <v>2012</v>
      </c>
      <c r="N18" s="2" t="s">
        <v>29</v>
      </c>
      <c r="O18" s="6">
        <v>0</v>
      </c>
      <c r="Q18" s="2">
        <v>2012</v>
      </c>
      <c r="R18" s="2" t="s">
        <v>29</v>
      </c>
      <c r="S18" s="6">
        <v>0</v>
      </c>
      <c r="U18" s="2">
        <v>2012</v>
      </c>
      <c r="V18" s="2" t="s">
        <v>29</v>
      </c>
      <c r="W18" s="6">
        <v>0</v>
      </c>
    </row>
    <row r="19" spans="1:23" x14ac:dyDescent="0.2">
      <c r="A19">
        <v>2012</v>
      </c>
      <c r="B19" t="s">
        <v>30</v>
      </c>
      <c r="C19" s="6">
        <v>22409</v>
      </c>
      <c r="E19" s="2">
        <v>2012</v>
      </c>
      <c r="F19" s="2" t="s">
        <v>30</v>
      </c>
      <c r="G19" s="6">
        <v>316</v>
      </c>
      <c r="I19" s="2">
        <v>2012</v>
      </c>
      <c r="J19" s="2" t="s">
        <v>30</v>
      </c>
      <c r="K19" s="6">
        <v>656483</v>
      </c>
      <c r="M19" s="2">
        <v>2012</v>
      </c>
      <c r="N19" s="2" t="s">
        <v>30</v>
      </c>
      <c r="O19" s="6">
        <v>37350</v>
      </c>
      <c r="Q19" s="2">
        <v>2012</v>
      </c>
      <c r="R19" s="2" t="s">
        <v>30</v>
      </c>
      <c r="S19" s="6">
        <v>113827.758</v>
      </c>
      <c r="U19" s="2">
        <v>2012</v>
      </c>
      <c r="V19" s="2" t="s">
        <v>30</v>
      </c>
      <c r="W19" s="6">
        <v>14028.040999999999</v>
      </c>
    </row>
    <row r="20" spans="1:23" x14ac:dyDescent="0.2">
      <c r="A20">
        <v>2012</v>
      </c>
      <c r="B20" t="s">
        <v>31</v>
      </c>
      <c r="C20" s="6">
        <v>5420936</v>
      </c>
      <c r="E20" s="2">
        <v>2012</v>
      </c>
      <c r="F20" s="2" t="s">
        <v>31</v>
      </c>
      <c r="G20" s="6">
        <v>177835</v>
      </c>
      <c r="I20" s="2">
        <v>2012</v>
      </c>
      <c r="J20" s="2" t="s">
        <v>31</v>
      </c>
      <c r="K20" s="6">
        <v>3975949</v>
      </c>
      <c r="M20" s="2">
        <v>2012</v>
      </c>
      <c r="N20" s="2" t="s">
        <v>31</v>
      </c>
      <c r="O20" s="6">
        <v>1176883</v>
      </c>
      <c r="Q20" s="2">
        <v>2012</v>
      </c>
      <c r="R20" s="2" t="s">
        <v>31</v>
      </c>
      <c r="S20" s="6">
        <v>1366947.399</v>
      </c>
      <c r="U20" s="2">
        <v>2012</v>
      </c>
      <c r="V20" s="2" t="s">
        <v>31</v>
      </c>
      <c r="W20" s="6">
        <v>1414026.5360000003</v>
      </c>
    </row>
    <row r="21" spans="1:23" x14ac:dyDescent="0.2">
      <c r="A21">
        <v>2019</v>
      </c>
      <c r="B21" t="s">
        <v>5</v>
      </c>
      <c r="C21" s="6">
        <v>146879473.11299998</v>
      </c>
      <c r="E21" s="2">
        <v>2019</v>
      </c>
      <c r="F21" s="2" t="s">
        <v>5</v>
      </c>
      <c r="G21" s="6">
        <v>7122216.3409999991</v>
      </c>
      <c r="I21" s="2">
        <v>2019</v>
      </c>
      <c r="J21" s="2" t="s">
        <v>5</v>
      </c>
      <c r="K21" s="6">
        <v>1680540049.9689999</v>
      </c>
      <c r="M21" s="2">
        <v>2019</v>
      </c>
      <c r="N21" s="2" t="s">
        <v>5</v>
      </c>
      <c r="O21" s="6">
        <v>17859836.295000002</v>
      </c>
      <c r="Q21" s="2">
        <v>2019</v>
      </c>
      <c r="R21" s="2" t="s">
        <v>5</v>
      </c>
      <c r="S21" s="6">
        <v>34921627.182999998</v>
      </c>
      <c r="U21" s="2">
        <v>2019</v>
      </c>
      <c r="V21" s="2" t="s">
        <v>5</v>
      </c>
      <c r="W21" s="6">
        <v>17012271.848999996</v>
      </c>
    </row>
    <row r="22" spans="1:23" x14ac:dyDescent="0.2">
      <c r="A22">
        <v>2019</v>
      </c>
      <c r="B22" t="s">
        <v>27</v>
      </c>
      <c r="C22" s="6">
        <v>56280182564.047981</v>
      </c>
      <c r="E22" s="2">
        <v>2019</v>
      </c>
      <c r="F22" s="2" t="s">
        <v>27</v>
      </c>
      <c r="G22" s="6">
        <v>5433849790.6580019</v>
      </c>
      <c r="I22" s="2">
        <v>2019</v>
      </c>
      <c r="J22" s="2" t="s">
        <v>27</v>
      </c>
      <c r="K22" s="6">
        <v>165747582056.78705</v>
      </c>
      <c r="M22" s="2">
        <v>2019</v>
      </c>
      <c r="N22" s="2" t="s">
        <v>27</v>
      </c>
      <c r="O22" s="6">
        <v>8725995409.3200016</v>
      </c>
      <c r="Q22" s="2">
        <v>2019</v>
      </c>
      <c r="R22" s="2" t="s">
        <v>27</v>
      </c>
      <c r="S22" s="6">
        <v>8420431621.164999</v>
      </c>
      <c r="U22" s="2">
        <v>2019</v>
      </c>
      <c r="V22" s="2" t="s">
        <v>27</v>
      </c>
      <c r="W22" s="6">
        <v>9641001984.8959999</v>
      </c>
    </row>
    <row r="23" spans="1:23" x14ac:dyDescent="0.2">
      <c r="A23">
        <v>2019</v>
      </c>
      <c r="B23" t="s">
        <v>28</v>
      </c>
      <c r="C23" s="6">
        <v>0</v>
      </c>
      <c r="E23" s="2">
        <v>2019</v>
      </c>
      <c r="F23" s="2" t="s">
        <v>28</v>
      </c>
      <c r="G23" s="6">
        <v>0</v>
      </c>
      <c r="I23" s="2">
        <v>2019</v>
      </c>
      <c r="J23" s="2" t="s">
        <v>28</v>
      </c>
      <c r="K23" s="6">
        <v>0</v>
      </c>
      <c r="M23" s="2">
        <v>2019</v>
      </c>
      <c r="N23" s="2" t="s">
        <v>28</v>
      </c>
      <c r="O23" s="6">
        <v>0</v>
      </c>
      <c r="Q23" s="2">
        <v>2019</v>
      </c>
      <c r="R23" s="2" t="s">
        <v>28</v>
      </c>
      <c r="S23" s="6">
        <v>0</v>
      </c>
      <c r="U23" s="2">
        <v>2019</v>
      </c>
      <c r="V23" s="2" t="s">
        <v>28</v>
      </c>
      <c r="W23" s="6">
        <v>0</v>
      </c>
    </row>
    <row r="24" spans="1:23" x14ac:dyDescent="0.2">
      <c r="A24">
        <v>2019</v>
      </c>
      <c r="B24" t="s">
        <v>29</v>
      </c>
      <c r="C24" s="6">
        <v>0</v>
      </c>
      <c r="E24" s="2">
        <v>2019</v>
      </c>
      <c r="F24" s="2" t="s">
        <v>29</v>
      </c>
      <c r="G24" s="6">
        <v>0</v>
      </c>
      <c r="I24" s="2">
        <v>2019</v>
      </c>
      <c r="J24" s="2" t="s">
        <v>29</v>
      </c>
      <c r="K24" s="6">
        <v>0</v>
      </c>
      <c r="M24" s="2">
        <v>2019</v>
      </c>
      <c r="N24" s="2" t="s">
        <v>29</v>
      </c>
      <c r="O24" s="6">
        <v>0</v>
      </c>
      <c r="Q24" s="2">
        <v>2019</v>
      </c>
      <c r="R24" s="2" t="s">
        <v>29</v>
      </c>
      <c r="S24" s="6">
        <v>0</v>
      </c>
      <c r="U24" s="2">
        <v>2019</v>
      </c>
      <c r="V24" s="2" t="s">
        <v>29</v>
      </c>
      <c r="W24" s="6">
        <v>0</v>
      </c>
    </row>
    <row r="25" spans="1:23" x14ac:dyDescent="0.2">
      <c r="A25">
        <v>2019</v>
      </c>
      <c r="B25" t="s">
        <v>30</v>
      </c>
      <c r="C25" s="6">
        <v>5542.5050000000001</v>
      </c>
      <c r="E25" s="2">
        <v>2019</v>
      </c>
      <c r="F25" s="2" t="s">
        <v>30</v>
      </c>
      <c r="G25" s="6">
        <v>6290.4489999999996</v>
      </c>
      <c r="I25" s="2">
        <v>2019</v>
      </c>
      <c r="J25" s="2" t="s">
        <v>30</v>
      </c>
      <c r="K25" s="6">
        <v>1009973.366</v>
      </c>
      <c r="M25" s="2">
        <v>2019</v>
      </c>
      <c r="N25" s="2" t="s">
        <v>30</v>
      </c>
      <c r="O25" s="6">
        <v>3806.4409999999998</v>
      </c>
      <c r="Q25" s="2">
        <v>2019</v>
      </c>
      <c r="R25" s="2" t="s">
        <v>30</v>
      </c>
      <c r="S25" s="6">
        <v>32304.987000000001</v>
      </c>
      <c r="U25" s="2">
        <v>2019</v>
      </c>
      <c r="V25" s="2" t="s">
        <v>30</v>
      </c>
      <c r="W25" s="6">
        <v>15859.005000000001</v>
      </c>
    </row>
    <row r="26" spans="1:23" x14ac:dyDescent="0.2">
      <c r="A26">
        <v>2019</v>
      </c>
      <c r="B26" t="s">
        <v>31</v>
      </c>
      <c r="C26" s="6">
        <v>16244423.196999999</v>
      </c>
      <c r="E26" s="2">
        <v>2019</v>
      </c>
      <c r="F26" s="2" t="s">
        <v>31</v>
      </c>
      <c r="G26" s="6">
        <v>127890.11600000001</v>
      </c>
      <c r="I26" s="2">
        <v>2019</v>
      </c>
      <c r="J26" s="2" t="s">
        <v>31</v>
      </c>
      <c r="K26" s="6">
        <v>7844738.0829999996</v>
      </c>
      <c r="M26" s="2">
        <v>2019</v>
      </c>
      <c r="N26" s="2" t="s">
        <v>31</v>
      </c>
      <c r="O26" s="6">
        <v>346564.788</v>
      </c>
      <c r="Q26" s="2">
        <v>2019</v>
      </c>
      <c r="R26" s="2" t="s">
        <v>31</v>
      </c>
      <c r="S26" s="6">
        <v>953593.05099999998</v>
      </c>
      <c r="U26" s="2">
        <v>2019</v>
      </c>
      <c r="V26" s="2" t="s">
        <v>31</v>
      </c>
      <c r="W26" s="6">
        <v>791047.17099999986</v>
      </c>
    </row>
    <row r="28" spans="1:23" x14ac:dyDescent="0.2">
      <c r="A28" s="2" t="s">
        <v>36</v>
      </c>
      <c r="B28" s="2" t="s">
        <v>32</v>
      </c>
      <c r="C28" s="6" t="s">
        <v>39</v>
      </c>
      <c r="E28" s="2" t="s">
        <v>36</v>
      </c>
      <c r="F28" s="2" t="s">
        <v>32</v>
      </c>
      <c r="G28" s="6" t="s">
        <v>39</v>
      </c>
      <c r="I28" s="2" t="s">
        <v>36</v>
      </c>
      <c r="J28" s="2" t="s">
        <v>32</v>
      </c>
      <c r="K28" s="6" t="s">
        <v>39</v>
      </c>
      <c r="M28" s="2" t="s">
        <v>36</v>
      </c>
      <c r="N28" s="2" t="s">
        <v>32</v>
      </c>
      <c r="O28" s="6" t="s">
        <v>39</v>
      </c>
      <c r="Q28" s="2" t="s">
        <v>36</v>
      </c>
      <c r="R28" s="2" t="s">
        <v>32</v>
      </c>
      <c r="S28" s="6" t="s">
        <v>39</v>
      </c>
      <c r="U28" s="2" t="s">
        <v>36</v>
      </c>
      <c r="V28" s="2" t="s">
        <v>32</v>
      </c>
      <c r="W28" s="6" t="s">
        <v>39</v>
      </c>
    </row>
    <row r="29" spans="1:23" x14ac:dyDescent="0.2">
      <c r="A29" s="2" t="s">
        <v>37</v>
      </c>
      <c r="B29" s="2" t="s">
        <v>5</v>
      </c>
      <c r="C29" s="6">
        <f>C9-C3</f>
        <v>94843969</v>
      </c>
      <c r="E29" s="2" t="s">
        <v>37</v>
      </c>
      <c r="F29" s="2" t="s">
        <v>5</v>
      </c>
      <c r="G29" s="6">
        <f>G9-G3</f>
        <v>754415</v>
      </c>
      <c r="I29" s="2" t="s">
        <v>37</v>
      </c>
      <c r="J29" s="2" t="s">
        <v>5</v>
      </c>
      <c r="K29" s="6">
        <f>K9-K3</f>
        <v>227713596</v>
      </c>
      <c r="M29" s="2" t="s">
        <v>37</v>
      </c>
      <c r="N29" s="2" t="s">
        <v>5</v>
      </c>
      <c r="O29" s="6">
        <f>O9-O3</f>
        <v>13328158</v>
      </c>
      <c r="Q29" s="2" t="s">
        <v>37</v>
      </c>
      <c r="R29" s="2" t="s">
        <v>5</v>
      </c>
      <c r="S29" s="6">
        <f>S9-S3</f>
        <v>14972654.137999993</v>
      </c>
      <c r="U29" s="2" t="s">
        <v>37</v>
      </c>
      <c r="V29" s="2" t="s">
        <v>5</v>
      </c>
      <c r="W29" s="6">
        <f>W9-W3</f>
        <v>9039494</v>
      </c>
    </row>
    <row r="30" spans="1:23" x14ac:dyDescent="0.2">
      <c r="A30" s="2" t="s">
        <v>37</v>
      </c>
      <c r="B30" s="2" t="s">
        <v>27</v>
      </c>
      <c r="C30" s="6">
        <f t="shared" ref="C30:C34" si="0">C10-C4</f>
        <v>38400805692</v>
      </c>
      <c r="E30" s="2" t="s">
        <v>37</v>
      </c>
      <c r="F30" s="2" t="s">
        <v>27</v>
      </c>
      <c r="G30" s="6">
        <f t="shared" ref="G30:G34" si="1">G10-G4</f>
        <v>2306713988</v>
      </c>
      <c r="I30" s="2" t="s">
        <v>37</v>
      </c>
      <c r="J30" s="2" t="s">
        <v>27</v>
      </c>
      <c r="K30" s="6">
        <f t="shared" ref="K30:K34" si="2">K10-K4</f>
        <v>137476733432</v>
      </c>
      <c r="M30" s="2" t="s">
        <v>37</v>
      </c>
      <c r="N30" s="2" t="s">
        <v>27</v>
      </c>
      <c r="O30" s="6">
        <f t="shared" ref="O30:O34" si="3">O10-O4</f>
        <v>7318816835</v>
      </c>
      <c r="Q30" s="2" t="s">
        <v>37</v>
      </c>
      <c r="R30" s="2" t="s">
        <v>27</v>
      </c>
      <c r="S30" s="6">
        <f t="shared" ref="S30:S34" si="4">S10-S4</f>
        <v>5090165079.3119993</v>
      </c>
      <c r="U30" s="2" t="s">
        <v>37</v>
      </c>
      <c r="V30" s="2" t="s">
        <v>27</v>
      </c>
      <c r="W30" s="6">
        <f t="shared" ref="W30:W34" si="5">W10-W4</f>
        <v>6073689631</v>
      </c>
    </row>
    <row r="31" spans="1:23" x14ac:dyDescent="0.2">
      <c r="A31" s="2" t="s">
        <v>37</v>
      </c>
      <c r="B31" s="2" t="s">
        <v>28</v>
      </c>
      <c r="C31" s="6">
        <f t="shared" si="0"/>
        <v>0</v>
      </c>
      <c r="E31" s="2" t="s">
        <v>37</v>
      </c>
      <c r="F31" s="2" t="s">
        <v>28</v>
      </c>
      <c r="G31" s="6">
        <f t="shared" si="1"/>
        <v>0</v>
      </c>
      <c r="I31" s="2" t="s">
        <v>37</v>
      </c>
      <c r="J31" s="2" t="s">
        <v>28</v>
      </c>
      <c r="K31" s="6">
        <f t="shared" si="2"/>
        <v>0</v>
      </c>
      <c r="M31" s="2" t="s">
        <v>37</v>
      </c>
      <c r="N31" s="2" t="s">
        <v>28</v>
      </c>
      <c r="O31" s="6">
        <f t="shared" si="3"/>
        <v>0</v>
      </c>
      <c r="Q31" s="2" t="s">
        <v>37</v>
      </c>
      <c r="R31" s="2" t="s">
        <v>28</v>
      </c>
      <c r="S31" s="6">
        <f t="shared" si="4"/>
        <v>0</v>
      </c>
      <c r="U31" s="2" t="s">
        <v>37</v>
      </c>
      <c r="V31" s="2" t="s">
        <v>28</v>
      </c>
      <c r="W31" s="6">
        <f t="shared" si="5"/>
        <v>0</v>
      </c>
    </row>
    <row r="32" spans="1:23" x14ac:dyDescent="0.2">
      <c r="A32" s="2" t="s">
        <v>37</v>
      </c>
      <c r="B32" s="2" t="s">
        <v>29</v>
      </c>
      <c r="C32" s="6">
        <f t="shared" si="0"/>
        <v>0</v>
      </c>
      <c r="E32" s="2" t="s">
        <v>37</v>
      </c>
      <c r="F32" s="2" t="s">
        <v>29</v>
      </c>
      <c r="G32" s="6">
        <f t="shared" si="1"/>
        <v>0</v>
      </c>
      <c r="I32" s="2" t="s">
        <v>37</v>
      </c>
      <c r="J32" s="2" t="s">
        <v>29</v>
      </c>
      <c r="K32" s="6">
        <f t="shared" si="2"/>
        <v>0</v>
      </c>
      <c r="M32" s="2" t="s">
        <v>37</v>
      </c>
      <c r="N32" s="2" t="s">
        <v>29</v>
      </c>
      <c r="O32" s="6">
        <f t="shared" si="3"/>
        <v>0</v>
      </c>
      <c r="Q32" s="2" t="s">
        <v>37</v>
      </c>
      <c r="R32" s="2" t="s">
        <v>29</v>
      </c>
      <c r="S32" s="6">
        <f t="shared" si="4"/>
        <v>0</v>
      </c>
      <c r="U32" s="2" t="s">
        <v>37</v>
      </c>
      <c r="V32" s="2" t="s">
        <v>29</v>
      </c>
      <c r="W32" s="6">
        <f t="shared" si="5"/>
        <v>0</v>
      </c>
    </row>
    <row r="33" spans="1:23" x14ac:dyDescent="0.2">
      <c r="A33" s="2" t="s">
        <v>37</v>
      </c>
      <c r="B33" s="2" t="s">
        <v>30</v>
      </c>
      <c r="C33" s="6">
        <f t="shared" si="0"/>
        <v>4298</v>
      </c>
      <c r="E33" s="2" t="s">
        <v>37</v>
      </c>
      <c r="F33" s="2" t="s">
        <v>30</v>
      </c>
      <c r="G33" s="6">
        <f t="shared" si="1"/>
        <v>2351</v>
      </c>
      <c r="I33" s="2" t="s">
        <v>37</v>
      </c>
      <c r="J33" s="2" t="s">
        <v>30</v>
      </c>
      <c r="K33" s="6">
        <f t="shared" si="2"/>
        <v>362563</v>
      </c>
      <c r="M33" s="2" t="s">
        <v>37</v>
      </c>
      <c r="N33" s="2" t="s">
        <v>30</v>
      </c>
      <c r="O33" s="6">
        <f t="shared" si="3"/>
        <v>-2333</v>
      </c>
      <c r="Q33" s="2" t="s">
        <v>37</v>
      </c>
      <c r="R33" s="2" t="s">
        <v>30</v>
      </c>
      <c r="S33" s="6">
        <f t="shared" si="4"/>
        <v>119105.481</v>
      </c>
      <c r="U33" s="2" t="s">
        <v>37</v>
      </c>
      <c r="V33" s="2" t="s">
        <v>30</v>
      </c>
      <c r="W33" s="6">
        <f t="shared" si="5"/>
        <v>90</v>
      </c>
    </row>
    <row r="34" spans="1:23" x14ac:dyDescent="0.2">
      <c r="A34" s="2" t="s">
        <v>37</v>
      </c>
      <c r="B34" s="2" t="s">
        <v>31</v>
      </c>
      <c r="C34" s="6">
        <f t="shared" si="0"/>
        <v>-340145</v>
      </c>
      <c r="E34" s="2" t="s">
        <v>37</v>
      </c>
      <c r="F34" s="2" t="s">
        <v>31</v>
      </c>
      <c r="G34" s="6">
        <f t="shared" si="1"/>
        <v>58959</v>
      </c>
      <c r="I34" s="2" t="s">
        <v>37</v>
      </c>
      <c r="J34" s="2" t="s">
        <v>31</v>
      </c>
      <c r="K34" s="6">
        <f t="shared" si="2"/>
        <v>-12463861</v>
      </c>
      <c r="M34" s="2" t="s">
        <v>37</v>
      </c>
      <c r="N34" s="2" t="s">
        <v>31</v>
      </c>
      <c r="O34" s="6">
        <f t="shared" si="3"/>
        <v>1795471</v>
      </c>
      <c r="Q34" s="2" t="s">
        <v>37</v>
      </c>
      <c r="R34" s="2" t="s">
        <v>31</v>
      </c>
      <c r="S34" s="6">
        <f t="shared" si="4"/>
        <v>417087.29500000004</v>
      </c>
      <c r="U34" s="2" t="s">
        <v>37</v>
      </c>
      <c r="V34" s="2" t="s">
        <v>31</v>
      </c>
      <c r="W34" s="6">
        <f t="shared" si="5"/>
        <v>1203812</v>
      </c>
    </row>
    <row r="35" spans="1:23" x14ac:dyDescent="0.2">
      <c r="A35" s="2" t="s">
        <v>38</v>
      </c>
      <c r="B35" s="2" t="s">
        <v>5</v>
      </c>
      <c r="C35" s="6">
        <f>C21-C15</f>
        <v>33751430.112999976</v>
      </c>
      <c r="E35" s="2" t="s">
        <v>38</v>
      </c>
      <c r="F35" s="2" t="s">
        <v>5</v>
      </c>
      <c r="G35" s="6">
        <f>G21-G15</f>
        <v>116933.34099999908</v>
      </c>
      <c r="I35" s="2" t="s">
        <v>38</v>
      </c>
      <c r="J35" s="2" t="s">
        <v>5</v>
      </c>
      <c r="K35" s="6">
        <f>K21-K15</f>
        <v>-265434564.03100014</v>
      </c>
      <c r="M35" s="2" t="s">
        <v>38</v>
      </c>
      <c r="N35" s="2" t="s">
        <v>5</v>
      </c>
      <c r="O35" s="6">
        <f>O21-O15</f>
        <v>4261096.2950000018</v>
      </c>
      <c r="Q35" s="2" t="s">
        <v>38</v>
      </c>
      <c r="R35" s="2" t="s">
        <v>5</v>
      </c>
      <c r="S35" s="6">
        <f>S21-S15</f>
        <v>13832956.041999996</v>
      </c>
      <c r="U35" s="2" t="s">
        <v>38</v>
      </c>
      <c r="V35" s="2" t="s">
        <v>5</v>
      </c>
      <c r="W35" s="6">
        <f>W21-W15</f>
        <v>5051225.7269999981</v>
      </c>
    </row>
    <row r="36" spans="1:23" x14ac:dyDescent="0.2">
      <c r="A36" s="2" t="s">
        <v>38</v>
      </c>
      <c r="B36" s="2" t="s">
        <v>27</v>
      </c>
      <c r="C36" s="6">
        <f t="shared" ref="C36:C40" si="6">C22-C16</f>
        <v>11313181153.047981</v>
      </c>
      <c r="E36" s="2" t="s">
        <v>38</v>
      </c>
      <c r="F36" s="2" t="s">
        <v>27</v>
      </c>
      <c r="G36" s="6">
        <f t="shared" ref="G36:G40" si="7">G22-G16</f>
        <v>-423857687.3419981</v>
      </c>
      <c r="I36" s="2" t="s">
        <v>38</v>
      </c>
      <c r="J36" s="2" t="s">
        <v>27</v>
      </c>
      <c r="K36" s="6">
        <f t="shared" ref="K36:K40" si="8">K22-K16</f>
        <v>-18174445741.212952</v>
      </c>
      <c r="M36" s="2" t="s">
        <v>38</v>
      </c>
      <c r="N36" s="2" t="s">
        <v>27</v>
      </c>
      <c r="O36" s="6">
        <f t="shared" ref="O36:O40" si="9">O22-O16</f>
        <v>668957665.3200016</v>
      </c>
      <c r="Q36" s="2" t="s">
        <v>38</v>
      </c>
      <c r="R36" s="2" t="s">
        <v>27</v>
      </c>
      <c r="S36" s="6">
        <f t="shared" ref="S36:S40" si="10">S22-S16</f>
        <v>2238338857.6920004</v>
      </c>
      <c r="U36" s="2" t="s">
        <v>38</v>
      </c>
      <c r="V36" s="2" t="s">
        <v>27</v>
      </c>
      <c r="W36" s="6">
        <f t="shared" ref="W36:W40" si="11">W22-W16</f>
        <v>1607121021.3240023</v>
      </c>
    </row>
    <row r="37" spans="1:23" x14ac:dyDescent="0.2">
      <c r="A37" s="2" t="s">
        <v>38</v>
      </c>
      <c r="B37" s="2" t="s">
        <v>28</v>
      </c>
      <c r="C37" s="6">
        <f t="shared" si="6"/>
        <v>0</v>
      </c>
      <c r="E37" s="2" t="s">
        <v>38</v>
      </c>
      <c r="F37" s="2" t="s">
        <v>28</v>
      </c>
      <c r="G37" s="6">
        <f t="shared" si="7"/>
        <v>0</v>
      </c>
      <c r="I37" s="2" t="s">
        <v>38</v>
      </c>
      <c r="J37" s="2" t="s">
        <v>28</v>
      </c>
      <c r="K37" s="6">
        <f t="shared" si="8"/>
        <v>0</v>
      </c>
      <c r="M37" s="2" t="s">
        <v>38</v>
      </c>
      <c r="N37" s="2" t="s">
        <v>28</v>
      </c>
      <c r="O37" s="6">
        <f t="shared" si="9"/>
        <v>0</v>
      </c>
      <c r="Q37" s="2" t="s">
        <v>38</v>
      </c>
      <c r="R37" s="2" t="s">
        <v>28</v>
      </c>
      <c r="S37" s="6">
        <f t="shared" si="10"/>
        <v>0</v>
      </c>
      <c r="U37" s="2" t="s">
        <v>38</v>
      </c>
      <c r="V37" s="2" t="s">
        <v>28</v>
      </c>
      <c r="W37" s="6">
        <f t="shared" si="11"/>
        <v>0</v>
      </c>
    </row>
    <row r="38" spans="1:23" x14ac:dyDescent="0.2">
      <c r="A38" s="2" t="s">
        <v>38</v>
      </c>
      <c r="B38" s="2" t="s">
        <v>29</v>
      </c>
      <c r="C38" s="6">
        <f t="shared" si="6"/>
        <v>0</v>
      </c>
      <c r="E38" s="2" t="s">
        <v>38</v>
      </c>
      <c r="F38" s="2" t="s">
        <v>29</v>
      </c>
      <c r="G38" s="6">
        <f t="shared" si="7"/>
        <v>0</v>
      </c>
      <c r="I38" s="2" t="s">
        <v>38</v>
      </c>
      <c r="J38" s="2" t="s">
        <v>29</v>
      </c>
      <c r="K38" s="6">
        <f t="shared" si="8"/>
        <v>0</v>
      </c>
      <c r="M38" s="2" t="s">
        <v>38</v>
      </c>
      <c r="N38" s="2" t="s">
        <v>29</v>
      </c>
      <c r="O38" s="6">
        <f t="shared" si="9"/>
        <v>0</v>
      </c>
      <c r="Q38" s="2" t="s">
        <v>38</v>
      </c>
      <c r="R38" s="2" t="s">
        <v>29</v>
      </c>
      <c r="S38" s="6">
        <f t="shared" si="10"/>
        <v>0</v>
      </c>
      <c r="U38" s="2" t="s">
        <v>38</v>
      </c>
      <c r="V38" s="2" t="s">
        <v>29</v>
      </c>
      <c r="W38" s="6">
        <f t="shared" si="11"/>
        <v>0</v>
      </c>
    </row>
    <row r="39" spans="1:23" x14ac:dyDescent="0.2">
      <c r="A39" s="2" t="s">
        <v>38</v>
      </c>
      <c r="B39" s="2" t="s">
        <v>30</v>
      </c>
      <c r="C39" s="6">
        <f t="shared" si="6"/>
        <v>-16866.494999999999</v>
      </c>
      <c r="E39" s="2" t="s">
        <v>38</v>
      </c>
      <c r="F39" s="2" t="s">
        <v>30</v>
      </c>
      <c r="G39" s="6">
        <f t="shared" si="7"/>
        <v>5974.4489999999996</v>
      </c>
      <c r="I39" s="2" t="s">
        <v>38</v>
      </c>
      <c r="J39" s="2" t="s">
        <v>30</v>
      </c>
      <c r="K39" s="6">
        <f t="shared" si="8"/>
        <v>353490.36600000004</v>
      </c>
      <c r="M39" s="2" t="s">
        <v>38</v>
      </c>
      <c r="N39" s="2" t="s">
        <v>30</v>
      </c>
      <c r="O39" s="6">
        <f t="shared" si="9"/>
        <v>-33543.559000000001</v>
      </c>
      <c r="Q39" s="2" t="s">
        <v>38</v>
      </c>
      <c r="R39" s="2" t="s">
        <v>30</v>
      </c>
      <c r="S39" s="6">
        <f t="shared" si="10"/>
        <v>-81522.771000000008</v>
      </c>
      <c r="U39" s="2" t="s">
        <v>38</v>
      </c>
      <c r="V39" s="2" t="s">
        <v>30</v>
      </c>
      <c r="W39" s="6">
        <f t="shared" si="11"/>
        <v>1830.9640000000018</v>
      </c>
    </row>
    <row r="40" spans="1:23" x14ac:dyDescent="0.2">
      <c r="A40" s="2" t="s">
        <v>38</v>
      </c>
      <c r="B40" s="2" t="s">
        <v>31</v>
      </c>
      <c r="C40" s="6">
        <f t="shared" si="6"/>
        <v>10823487.196999999</v>
      </c>
      <c r="E40" s="2" t="s">
        <v>38</v>
      </c>
      <c r="F40" s="2" t="s">
        <v>31</v>
      </c>
      <c r="G40" s="6">
        <f t="shared" si="7"/>
        <v>-49944.883999999991</v>
      </c>
      <c r="I40" s="2" t="s">
        <v>38</v>
      </c>
      <c r="J40" s="2" t="s">
        <v>31</v>
      </c>
      <c r="K40" s="6">
        <f t="shared" si="8"/>
        <v>3868789.0829999996</v>
      </c>
      <c r="M40" s="2" t="s">
        <v>38</v>
      </c>
      <c r="N40" s="2" t="s">
        <v>31</v>
      </c>
      <c r="O40" s="6">
        <f t="shared" si="9"/>
        <v>-830318.21200000006</v>
      </c>
      <c r="Q40" s="2" t="s">
        <v>38</v>
      </c>
      <c r="R40" s="2" t="s">
        <v>31</v>
      </c>
      <c r="S40" s="6">
        <f t="shared" si="10"/>
        <v>-413354.348</v>
      </c>
      <c r="U40" s="2" t="s">
        <v>38</v>
      </c>
      <c r="V40" s="2" t="s">
        <v>31</v>
      </c>
      <c r="W40" s="6">
        <f t="shared" si="11"/>
        <v>-622979.36500000046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07561-599C-AF42-A2D4-862207477ED5}">
  <dimension ref="A1:C40"/>
  <sheetViews>
    <sheetView workbookViewId="0">
      <selection sqref="A1:XFD1048576"/>
    </sheetView>
  </sheetViews>
  <sheetFormatPr baseColWidth="10" defaultRowHeight="16" x14ac:dyDescent="0.2"/>
  <cols>
    <col min="3" max="3" width="17.83203125" bestFit="1" customWidth="1"/>
  </cols>
  <sheetData>
    <row r="1" spans="1:3" x14ac:dyDescent="0.2">
      <c r="A1" s="2" t="s">
        <v>36</v>
      </c>
      <c r="B1" s="2" t="s">
        <v>32</v>
      </c>
      <c r="C1" s="6" t="s">
        <v>54</v>
      </c>
    </row>
    <row r="2" spans="1:3" x14ac:dyDescent="0.2">
      <c r="A2" s="2" t="s">
        <v>37</v>
      </c>
      <c r="B2" s="2" t="s">
        <v>5</v>
      </c>
      <c r="C2" s="6">
        <f>'import OC'!C29+'import OC'!G29+'import OC'!K29+'import OC'!O29+'import OC'!S29+'import OC'!W29</f>
        <v>360652286.13800001</v>
      </c>
    </row>
    <row r="3" spans="1:3" x14ac:dyDescent="0.2">
      <c r="A3" s="2" t="s">
        <v>37</v>
      </c>
      <c r="B3" s="2" t="s">
        <v>27</v>
      </c>
      <c r="C3" s="6">
        <f>'import OC'!C30+'import OC'!G30+'import OC'!K30+'import OC'!O30+'import OC'!S30+'import OC'!W30</f>
        <v>196666924657.31201</v>
      </c>
    </row>
    <row r="4" spans="1:3" x14ac:dyDescent="0.2">
      <c r="A4" s="2" t="s">
        <v>37</v>
      </c>
      <c r="B4" s="2" t="s">
        <v>28</v>
      </c>
      <c r="C4" s="6">
        <f>'import OC'!C31+'import OC'!G31+'import OC'!K31+'import OC'!O31+'import OC'!S31+'import OC'!W31</f>
        <v>0</v>
      </c>
    </row>
    <row r="5" spans="1:3" x14ac:dyDescent="0.2">
      <c r="A5" s="2" t="s">
        <v>37</v>
      </c>
      <c r="B5" s="2" t="s">
        <v>29</v>
      </c>
      <c r="C5" s="6">
        <f>'import OC'!C32+'import OC'!G32+'import OC'!K32+'import OC'!O32+'import OC'!S32+'import OC'!W32</f>
        <v>0</v>
      </c>
    </row>
    <row r="6" spans="1:3" x14ac:dyDescent="0.2">
      <c r="A6" s="2" t="s">
        <v>37</v>
      </c>
      <c r="B6" s="2" t="s">
        <v>30</v>
      </c>
      <c r="C6" s="6">
        <f>'import OC'!C33+'import OC'!G33+'import OC'!K33+'import OC'!O33+'import OC'!S33+'import OC'!W33</f>
        <v>486074.48100000003</v>
      </c>
    </row>
    <row r="7" spans="1:3" x14ac:dyDescent="0.2">
      <c r="A7" s="2" t="s">
        <v>37</v>
      </c>
      <c r="B7" s="2" t="s">
        <v>31</v>
      </c>
      <c r="C7" s="6">
        <f>'import OC'!C34+'import OC'!G34+'import OC'!K34+'import OC'!O34+'import OC'!S34+'import OC'!W34</f>
        <v>-9328676.7050000001</v>
      </c>
    </row>
    <row r="8" spans="1:3" x14ac:dyDescent="0.2">
      <c r="A8" s="2" t="s">
        <v>38</v>
      </c>
      <c r="B8" s="2" t="s">
        <v>5</v>
      </c>
      <c r="C8" s="6">
        <f>'import OC'!C35+'import OC'!G35+'import OC'!K35+'import OC'!O35+'import OC'!S35+'import OC'!W35</f>
        <v>-208420922.51300019</v>
      </c>
    </row>
    <row r="9" spans="1:3" x14ac:dyDescent="0.2">
      <c r="A9" s="2" t="s">
        <v>38</v>
      </c>
      <c r="B9" s="2" t="s">
        <v>27</v>
      </c>
      <c r="C9" s="6">
        <f>'import OC'!C36+'import OC'!G36+'import OC'!K36+'import OC'!O36+'import OC'!S36+'import OC'!W36</f>
        <v>-2770704731.1709652</v>
      </c>
    </row>
    <row r="10" spans="1:3" x14ac:dyDescent="0.2">
      <c r="A10" s="2" t="s">
        <v>38</v>
      </c>
      <c r="B10" s="2" t="s">
        <v>28</v>
      </c>
      <c r="C10" s="6">
        <f>'import OC'!C37+'import OC'!G37+'import OC'!K37+'import OC'!O37+'import OC'!S37+'import OC'!W37</f>
        <v>0</v>
      </c>
    </row>
    <row r="11" spans="1:3" x14ac:dyDescent="0.2">
      <c r="A11" s="2" t="s">
        <v>38</v>
      </c>
      <c r="B11" s="2" t="s">
        <v>29</v>
      </c>
      <c r="C11" s="6">
        <f>'import OC'!C38+'import OC'!G38+'import OC'!K38+'import OC'!O38+'import OC'!S38+'import OC'!W38</f>
        <v>0</v>
      </c>
    </row>
    <row r="12" spans="1:3" x14ac:dyDescent="0.2">
      <c r="A12" s="2" t="s">
        <v>38</v>
      </c>
      <c r="B12" s="2" t="s">
        <v>30</v>
      </c>
      <c r="C12" s="6">
        <f>'import OC'!C39+'import OC'!G39+'import OC'!K39+'import OC'!O39+'import OC'!S39+'import OC'!W39</f>
        <v>229362.95400000006</v>
      </c>
    </row>
    <row r="13" spans="1:3" x14ac:dyDescent="0.2">
      <c r="A13" s="2" t="s">
        <v>38</v>
      </c>
      <c r="B13" s="2" t="s">
        <v>31</v>
      </c>
      <c r="C13" s="6">
        <f>'import OC'!C40+'import OC'!G40+'import OC'!K40+'import OC'!O40+'import OC'!S40+'import OC'!W40</f>
        <v>12775679.470999999</v>
      </c>
    </row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226A-28D5-A84D-9B33-DCD5651B0D3E}">
  <dimension ref="A1:E13"/>
  <sheetViews>
    <sheetView workbookViewId="0">
      <selection activeCell="K34" sqref="K34"/>
    </sheetView>
  </sheetViews>
  <sheetFormatPr baseColWidth="10" defaultRowHeight="16" x14ac:dyDescent="0.2"/>
  <cols>
    <col min="4" max="4" width="17.83203125" bestFit="1" customWidth="1"/>
    <col min="5" max="5" width="13.33203125" bestFit="1" customWidth="1"/>
  </cols>
  <sheetData>
    <row r="1" spans="1:5" x14ac:dyDescent="0.2">
      <c r="A1" s="2" t="s">
        <v>36</v>
      </c>
      <c r="B1" t="s">
        <v>32</v>
      </c>
      <c r="C1" s="2" t="s">
        <v>41</v>
      </c>
      <c r="D1" t="s">
        <v>54</v>
      </c>
      <c r="E1" t="s">
        <v>55</v>
      </c>
    </row>
    <row r="2" spans="1:5" x14ac:dyDescent="0.2">
      <c r="A2" s="2" t="s">
        <v>37</v>
      </c>
      <c r="B2" s="2" t="s">
        <v>5</v>
      </c>
      <c r="C2" s="3">
        <f>L_i!C2</f>
        <v>919.79999999999984</v>
      </c>
      <c r="D2" s="6">
        <f>delta_M_OC!C2</f>
        <v>360652286.13800001</v>
      </c>
      <c r="E2" s="6">
        <f>D2/C2</f>
        <v>392098.59332246147</v>
      </c>
    </row>
    <row r="3" spans="1:5" x14ac:dyDescent="0.2">
      <c r="A3" s="2" t="s">
        <v>37</v>
      </c>
      <c r="B3" s="2" t="s">
        <v>27</v>
      </c>
      <c r="C3" s="3">
        <f>L_i!C3</f>
        <v>4463.5</v>
      </c>
      <c r="D3" s="6">
        <f>delta_M_OC!C3</f>
        <v>196666924657.31201</v>
      </c>
      <c r="E3" s="6">
        <f t="shared" ref="E3:E13" si="0">D3/C3</f>
        <v>44061145.884913638</v>
      </c>
    </row>
    <row r="4" spans="1:5" x14ac:dyDescent="0.2">
      <c r="A4" s="2" t="s">
        <v>37</v>
      </c>
      <c r="B4" s="2" t="s">
        <v>28</v>
      </c>
      <c r="C4" s="3">
        <f>L_i!C4</f>
        <v>1435</v>
      </c>
      <c r="D4" s="6">
        <f>delta_M_OC!C4</f>
        <v>0</v>
      </c>
      <c r="E4" s="6">
        <f t="shared" si="0"/>
        <v>0</v>
      </c>
    </row>
    <row r="5" spans="1:5" x14ac:dyDescent="0.2">
      <c r="A5" s="2" t="s">
        <v>37</v>
      </c>
      <c r="B5" s="2" t="s">
        <v>29</v>
      </c>
      <c r="C5" s="3">
        <f>L_i!C5</f>
        <v>5179.8</v>
      </c>
      <c r="D5" s="6">
        <f>delta_M_OC!C5</f>
        <v>0</v>
      </c>
      <c r="E5" s="6">
        <f t="shared" si="0"/>
        <v>0</v>
      </c>
    </row>
    <row r="6" spans="1:5" x14ac:dyDescent="0.2">
      <c r="A6" s="2" t="s">
        <v>37</v>
      </c>
      <c r="B6" s="2" t="s">
        <v>30</v>
      </c>
      <c r="C6" s="3">
        <f>L_i!C6</f>
        <v>2769.7000000000003</v>
      </c>
      <c r="D6" s="6">
        <f>delta_M_OC!C6</f>
        <v>486074.48100000003</v>
      </c>
      <c r="E6" s="6">
        <f t="shared" si="0"/>
        <v>175.49715889807561</v>
      </c>
    </row>
    <row r="7" spans="1:5" x14ac:dyDescent="0.2">
      <c r="A7" s="2" t="s">
        <v>37</v>
      </c>
      <c r="B7" s="2" t="s">
        <v>31</v>
      </c>
      <c r="C7" s="3">
        <f>L_i!C7</f>
        <v>7617.4</v>
      </c>
      <c r="D7" s="6">
        <f>delta_M_OC!C7</f>
        <v>-9328676.7050000001</v>
      </c>
      <c r="E7" s="6">
        <f t="shared" si="0"/>
        <v>-1224.653648882821</v>
      </c>
    </row>
    <row r="8" spans="1:5" x14ac:dyDescent="0.2">
      <c r="A8" s="2" t="s">
        <v>38</v>
      </c>
      <c r="B8" s="2" t="s">
        <v>5</v>
      </c>
      <c r="C8" s="3">
        <f>L_i!C14</f>
        <v>721.19999999999993</v>
      </c>
      <c r="D8" s="6">
        <f>delta_M_OC!C8</f>
        <v>-208420922.51300019</v>
      </c>
      <c r="E8" s="6">
        <f t="shared" si="0"/>
        <v>-288991.85040626762</v>
      </c>
    </row>
    <row r="9" spans="1:5" x14ac:dyDescent="0.2">
      <c r="A9" s="2" t="s">
        <v>38</v>
      </c>
      <c r="B9" s="2" t="s">
        <v>27</v>
      </c>
      <c r="C9" s="3">
        <f>L_i!C15</f>
        <v>3716.3999999999996</v>
      </c>
      <c r="D9" s="6">
        <f>delta_M_OC!C9</f>
        <v>-2770704731.1709652</v>
      </c>
      <c r="E9" s="6">
        <f t="shared" si="0"/>
        <v>-745534.58485926315</v>
      </c>
    </row>
    <row r="10" spans="1:5" x14ac:dyDescent="0.2">
      <c r="A10" s="2" t="s">
        <v>38</v>
      </c>
      <c r="B10" s="2" t="s">
        <v>28</v>
      </c>
      <c r="C10" s="3">
        <f>L_i!C16</f>
        <v>1856.0999999999997</v>
      </c>
      <c r="D10" s="6">
        <f>delta_M_OC!C10</f>
        <v>0</v>
      </c>
      <c r="E10" s="6">
        <f t="shared" si="0"/>
        <v>0</v>
      </c>
    </row>
    <row r="11" spans="1:5" x14ac:dyDescent="0.2">
      <c r="A11" s="2" t="s">
        <v>38</v>
      </c>
      <c r="B11" s="2" t="s">
        <v>29</v>
      </c>
      <c r="C11" s="3">
        <f>L_i!C17</f>
        <v>6273.7000000000007</v>
      </c>
      <c r="D11" s="6">
        <f>delta_M_OC!C11</f>
        <v>0</v>
      </c>
      <c r="E11" s="6">
        <f t="shared" si="0"/>
        <v>0</v>
      </c>
    </row>
    <row r="12" spans="1:5" x14ac:dyDescent="0.2">
      <c r="A12" s="2" t="s">
        <v>38</v>
      </c>
      <c r="B12" s="2" t="s">
        <v>30</v>
      </c>
      <c r="C12" s="3">
        <f>L_i!C18</f>
        <v>3471.1999999999994</v>
      </c>
      <c r="D12" s="6">
        <f>delta_M_OC!C12</f>
        <v>229362.95400000006</v>
      </c>
      <c r="E12" s="6">
        <f t="shared" si="0"/>
        <v>66.075983521548778</v>
      </c>
    </row>
    <row r="13" spans="1:5" x14ac:dyDescent="0.2">
      <c r="A13" s="2" t="s">
        <v>38</v>
      </c>
      <c r="B13" s="2" t="s">
        <v>31</v>
      </c>
      <c r="C13" s="3">
        <f>L_i!C19</f>
        <v>9371.7999999999993</v>
      </c>
      <c r="D13" s="6">
        <f>delta_M_OC!C13</f>
        <v>12775679.470999999</v>
      </c>
      <c r="E13" s="6">
        <f t="shared" si="0"/>
        <v>1363.2044506925031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12717-6837-A24E-B32A-2CDF4AC556CB}">
  <dimension ref="A1:S24"/>
  <sheetViews>
    <sheetView workbookViewId="0">
      <selection activeCell="M32" sqref="M32"/>
    </sheetView>
  </sheetViews>
  <sheetFormatPr baseColWidth="10" defaultRowHeight="16" x14ac:dyDescent="0.2"/>
  <cols>
    <col min="1" max="1" width="23.83203125" bestFit="1" customWidth="1"/>
  </cols>
  <sheetData>
    <row r="1" spans="1:19" x14ac:dyDescent="0.2">
      <c r="A1" s="9" t="s">
        <v>47</v>
      </c>
      <c r="B1" s="9"/>
      <c r="C1" s="9"/>
      <c r="D1" s="9"/>
      <c r="E1" s="9"/>
      <c r="F1" s="9"/>
      <c r="G1" s="9"/>
      <c r="H1" s="9"/>
      <c r="L1" s="9" t="s">
        <v>46</v>
      </c>
      <c r="M1" s="9"/>
      <c r="N1" s="9"/>
      <c r="O1" s="9"/>
      <c r="P1" s="9"/>
      <c r="Q1" s="9"/>
      <c r="R1" s="9"/>
      <c r="S1" s="9"/>
    </row>
    <row r="2" spans="1:19" x14ac:dyDescent="0.2">
      <c r="B2" s="2" t="s">
        <v>5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44</v>
      </c>
      <c r="M2" t="s">
        <v>5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45</v>
      </c>
    </row>
    <row r="3" spans="1:19" x14ac:dyDescent="0.2">
      <c r="A3" s="2" t="s">
        <v>4</v>
      </c>
      <c r="B3">
        <f>shock_OC!$E$2*s_ri!B3</f>
        <v>1834.4743213099327</v>
      </c>
      <c r="C3">
        <f>shock_OC!$E$3*s_ri!C3</f>
        <v>6392309.4992542127</v>
      </c>
      <c r="D3">
        <f>shock_OC!$E$4*s_ri!D3</f>
        <v>0</v>
      </c>
      <c r="E3">
        <f>shock_OC!$E$5*s_ri!E3</f>
        <v>0</v>
      </c>
      <c r="F3">
        <f>shock_OC!$E$6*s_ri!F3</f>
        <v>39.052250512274398</v>
      </c>
      <c r="G3">
        <f>shock_OC!$E$7*s_ri!G3</f>
        <v>-406.12207434952717</v>
      </c>
      <c r="H3">
        <f>SUM(B3:G3)/1000</f>
        <v>6393.7769037516846</v>
      </c>
      <c r="L3" s="2" t="s">
        <v>4</v>
      </c>
      <c r="M3">
        <f>shock_OC!$E$8*s_ri!K3</f>
        <v>-481.27999874010482</v>
      </c>
      <c r="N3">
        <f>shock_OC!$E$9*s_ri!L3</f>
        <v>-67926.805223912335</v>
      </c>
      <c r="O3">
        <f>shock_OC!$E$10*s_ri!M3</f>
        <v>0</v>
      </c>
      <c r="P3">
        <f>shock_OC!$E$11*s_ri!N3</f>
        <v>0</v>
      </c>
      <c r="Q3">
        <f>shock_OC!$E$12*s_ri!O3</f>
        <v>14.252912092303097</v>
      </c>
      <c r="R3">
        <f>shock_OC!$E$13*s_ri!P3</f>
        <v>460.2530905852787</v>
      </c>
      <c r="S3">
        <f>SUM(M3:R3)</f>
        <v>-67933.579219974868</v>
      </c>
    </row>
    <row r="4" spans="1:19" x14ac:dyDescent="0.2">
      <c r="A4" s="2" t="s">
        <v>6</v>
      </c>
      <c r="B4">
        <f>shock_OC!$E$2*s_ri!B4</f>
        <v>22954.194037811129</v>
      </c>
      <c r="C4">
        <f>shock_OC!$E$3*s_ri!C4</f>
        <v>11195078.959877405</v>
      </c>
      <c r="D4">
        <f>shock_OC!$E$4*s_ri!D4</f>
        <v>0</v>
      </c>
      <c r="E4">
        <f>shock_OC!$E$5*s_ri!E4</f>
        <v>0</v>
      </c>
      <c r="F4">
        <f>shock_OC!$E$6*s_ri!F4</f>
        <v>17.645198566030672</v>
      </c>
      <c r="G4">
        <f>shock_OC!$E$7*s_ri!G4</f>
        <v>-402.70982882740861</v>
      </c>
      <c r="H4">
        <f t="shared" ref="H4:H24" si="0">SUM(B4:G4)/1000</f>
        <v>11217.648089284956</v>
      </c>
      <c r="L4" s="2" t="s">
        <v>6</v>
      </c>
      <c r="M4">
        <f>shock_OC!$E$8*s_ri!K4</f>
        <v>-11426.791032811492</v>
      </c>
      <c r="N4">
        <f>shock_OC!$E$9*s_ri!L4</f>
        <v>-129218.11405399379</v>
      </c>
      <c r="O4">
        <f>shock_OC!$E$10*s_ri!M4</f>
        <v>0</v>
      </c>
      <c r="P4">
        <f>shock_OC!$E$11*s_ri!N4</f>
        <v>0</v>
      </c>
      <c r="Q4">
        <f>shock_OC!$E$12*s_ri!O4</f>
        <v>8.0933421497011491</v>
      </c>
      <c r="R4">
        <f>shock_OC!$E$13*s_ri!P4</f>
        <v>491.05620634894944</v>
      </c>
      <c r="S4">
        <f t="shared" ref="S4:S24" si="1">SUM(M4:R4)</f>
        <v>-140145.75553830664</v>
      </c>
    </row>
    <row r="5" spans="1:19" x14ac:dyDescent="0.2">
      <c r="A5" s="2" t="s">
        <v>7</v>
      </c>
      <c r="B5">
        <f>shock_OC!$E$2*s_ri!B5</f>
        <v>25879.640574198114</v>
      </c>
      <c r="C5">
        <f>shock_OC!$E$3*s_ri!C5</f>
        <v>10642036.841321683</v>
      </c>
      <c r="D5">
        <f>shock_OC!$E$4*s_ri!D5</f>
        <v>0</v>
      </c>
      <c r="E5">
        <f>shock_OC!$E$5*s_ri!E5</f>
        <v>0</v>
      </c>
      <c r="F5">
        <f>shock_OC!$E$6*s_ri!F5</f>
        <v>11.836969124328208</v>
      </c>
      <c r="G5">
        <f>shock_OC!$E$7*s_ri!G5</f>
        <v>-423.03356331250166</v>
      </c>
      <c r="H5">
        <f t="shared" si="0"/>
        <v>10667.505285301693</v>
      </c>
      <c r="L5" s="2" t="s">
        <v>7</v>
      </c>
      <c r="M5">
        <f>shock_OC!$E$8*s_ri!K5</f>
        <v>-16375.005222272945</v>
      </c>
      <c r="N5">
        <f>shock_OC!$E$9*s_ri!L5</f>
        <v>-121160.97549705334</v>
      </c>
      <c r="O5">
        <f>shock_OC!$E$10*s_ri!M5</f>
        <v>0</v>
      </c>
      <c r="P5">
        <f>shock_OC!$E$11*s_ri!N5</f>
        <v>0</v>
      </c>
      <c r="Q5">
        <f>shock_OC!$E$12*s_ri!O5</f>
        <v>7.0046302581218418</v>
      </c>
      <c r="R5">
        <f>shock_OC!$E$13*s_ri!P5</f>
        <v>484.46384821466131</v>
      </c>
      <c r="S5">
        <f t="shared" si="1"/>
        <v>-137044.51224085351</v>
      </c>
    </row>
    <row r="6" spans="1:19" x14ac:dyDescent="0.2">
      <c r="A6" s="2" t="s">
        <v>8</v>
      </c>
      <c r="B6">
        <f>shock_OC!$E$2*s_ri!B6</f>
        <v>18309.138014380675</v>
      </c>
      <c r="C6">
        <f>shock_OC!$E$3*s_ri!C6</f>
        <v>14302727.030992722</v>
      </c>
      <c r="D6">
        <f>shock_OC!$E$4*s_ri!D6</f>
        <v>0</v>
      </c>
      <c r="E6">
        <f>shock_OC!$E$5*s_ri!E6</f>
        <v>0</v>
      </c>
      <c r="F6">
        <f>shock_OC!$E$6*s_ri!F6</f>
        <v>11.678696565515974</v>
      </c>
      <c r="G6">
        <f>shock_OC!$E$7*s_ri!G6</f>
        <v>-391.18194604513297</v>
      </c>
      <c r="H6">
        <f t="shared" si="0"/>
        <v>14320.656665757622</v>
      </c>
      <c r="L6" s="2" t="s">
        <v>8</v>
      </c>
      <c r="M6">
        <f>shock_OC!$E$8*s_ri!K6</f>
        <v>-9717.112654647859</v>
      </c>
      <c r="N6">
        <f>shock_OC!$E$9*s_ri!L6</f>
        <v>-203717.04766105427</v>
      </c>
      <c r="O6">
        <f>shock_OC!$E$10*s_ri!M6</f>
        <v>0</v>
      </c>
      <c r="P6">
        <f>shock_OC!$E$11*s_ri!N6</f>
        <v>0</v>
      </c>
      <c r="Q6">
        <f>shock_OC!$E$12*s_ri!O6</f>
        <v>4.8091054191039975</v>
      </c>
      <c r="R6">
        <f>shock_OC!$E$13*s_ri!P6</f>
        <v>502.17214389204577</v>
      </c>
      <c r="S6">
        <f t="shared" si="1"/>
        <v>-212927.17906639096</v>
      </c>
    </row>
    <row r="7" spans="1:19" x14ac:dyDescent="0.2">
      <c r="A7" s="2" t="s">
        <v>9</v>
      </c>
      <c r="B7">
        <f>shock_OC!$E$2*s_ri!B7</f>
        <v>35407.691154573789</v>
      </c>
      <c r="C7">
        <f>shock_OC!$E$3*s_ri!C7</f>
        <v>8669809.3114961386</v>
      </c>
      <c r="D7">
        <f>shock_OC!$E$4*s_ri!D7</f>
        <v>0</v>
      </c>
      <c r="E7">
        <f>shock_OC!$E$5*s_ri!E7</f>
        <v>0</v>
      </c>
      <c r="F7">
        <f>shock_OC!$E$6*s_ri!F7</f>
        <v>16.876090431410905</v>
      </c>
      <c r="G7">
        <f>shock_OC!$E$7*s_ri!G7</f>
        <v>-427.2680508324508</v>
      </c>
      <c r="H7">
        <f t="shared" si="0"/>
        <v>8704.8066106903098</v>
      </c>
      <c r="L7" s="2" t="s">
        <v>9</v>
      </c>
      <c r="M7">
        <f>shock_OC!$E$8*s_ri!K7</f>
        <v>-15974.171463443961</v>
      </c>
      <c r="N7">
        <f>shock_OC!$E$9*s_ri!L7</f>
        <v>-117668.24318654806</v>
      </c>
      <c r="O7">
        <f>shock_OC!$E$10*s_ri!M7</f>
        <v>0</v>
      </c>
      <c r="P7">
        <f>shock_OC!$E$11*s_ri!N7</f>
        <v>0</v>
      </c>
      <c r="Q7">
        <f>shock_OC!$E$12*s_ri!O7</f>
        <v>6.1447333884979312</v>
      </c>
      <c r="R7">
        <f>shock_OC!$E$13*s_ri!P7</f>
        <v>511.349766138436</v>
      </c>
      <c r="S7">
        <f t="shared" si="1"/>
        <v>-133124.92015046507</v>
      </c>
    </row>
    <row r="8" spans="1:19" x14ac:dyDescent="0.2">
      <c r="A8" s="2" t="s">
        <v>10</v>
      </c>
      <c r="B8">
        <f>shock_OC!$E$2*s_ri!B8</f>
        <v>9199.769115410405</v>
      </c>
      <c r="C8">
        <f>shock_OC!$E$3*s_ri!C8</f>
        <v>10861150.307178712</v>
      </c>
      <c r="D8">
        <f>shock_OC!$E$4*s_ri!D8</f>
        <v>0</v>
      </c>
      <c r="E8">
        <f>shock_OC!$E$5*s_ri!E8</f>
        <v>0</v>
      </c>
      <c r="F8">
        <f>shock_OC!$E$6*s_ri!F8</f>
        <v>16.817960951645972</v>
      </c>
      <c r="G8">
        <f>shock_OC!$E$7*s_ri!G8</f>
        <v>-406.94851286551409</v>
      </c>
      <c r="H8">
        <f t="shared" si="0"/>
        <v>10869.959945742208</v>
      </c>
      <c r="L8" s="2" t="s">
        <v>10</v>
      </c>
      <c r="M8">
        <f>shock_OC!$E$8*s_ri!K8</f>
        <v>-4331.8695133763922</v>
      </c>
      <c r="N8">
        <f>shock_OC!$E$9*s_ri!L8</f>
        <v>-153556.32532007588</v>
      </c>
      <c r="O8">
        <f>shock_OC!$E$10*s_ri!M8</f>
        <v>0</v>
      </c>
      <c r="P8">
        <f>shock_OC!$E$11*s_ri!N8</f>
        <v>0</v>
      </c>
      <c r="Q8">
        <f>shock_OC!$E$12*s_ri!O8</f>
        <v>6.7956008035347173</v>
      </c>
      <c r="R8">
        <f>shock_OC!$E$13*s_ri!P8</f>
        <v>521.25305505313611</v>
      </c>
      <c r="S8">
        <f t="shared" si="1"/>
        <v>-157360.1461775956</v>
      </c>
    </row>
    <row r="9" spans="1:19" x14ac:dyDescent="0.2">
      <c r="A9" s="2" t="s">
        <v>11</v>
      </c>
      <c r="B9">
        <f>shock_OC!$E$2*s_ri!B9</f>
        <v>6566.1733063775082</v>
      </c>
      <c r="C9">
        <f>shock_OC!$E$3*s_ri!C9</f>
        <v>10179770.690543432</v>
      </c>
      <c r="D9">
        <f>shock_OC!$E$4*s_ri!D9</f>
        <v>0</v>
      </c>
      <c r="E9">
        <f>shock_OC!$E$5*s_ri!E9</f>
        <v>0</v>
      </c>
      <c r="F9">
        <f>shock_OC!$E$6*s_ri!F9</f>
        <v>16.636125314957383</v>
      </c>
      <c r="G9">
        <f>shock_OC!$E$7*s_ri!G9</f>
        <v>-425.84948054279499</v>
      </c>
      <c r="H9">
        <f t="shared" si="0"/>
        <v>10185.927650494581</v>
      </c>
      <c r="L9" s="2" t="s">
        <v>11</v>
      </c>
      <c r="M9">
        <f>shock_OC!$E$8*s_ri!K9</f>
        <v>-3099.7793414662951</v>
      </c>
      <c r="N9">
        <f>shock_OC!$E$9*s_ri!L9</f>
        <v>-125861.73471241658</v>
      </c>
      <c r="O9">
        <f>shock_OC!$E$10*s_ri!M9</f>
        <v>0</v>
      </c>
      <c r="P9">
        <f>shock_OC!$E$11*s_ri!N9</f>
        <v>0</v>
      </c>
      <c r="Q9">
        <f>shock_OC!$E$12*s_ri!O9</f>
        <v>7.4616117301149352</v>
      </c>
      <c r="R9">
        <f>shock_OC!$E$13*s_ri!P9</f>
        <v>541.01325201700479</v>
      </c>
      <c r="S9">
        <f t="shared" si="1"/>
        <v>-128413.03919013575</v>
      </c>
    </row>
    <row r="10" spans="1:19" x14ac:dyDescent="0.2">
      <c r="A10" s="2" t="s">
        <v>12</v>
      </c>
      <c r="B10">
        <f>shock_OC!$E$2*s_ri!B10</f>
        <v>15128.633877625613</v>
      </c>
      <c r="C10">
        <f>shock_OC!$E$3*s_ri!C10</f>
        <v>11246959.162936799</v>
      </c>
      <c r="D10">
        <f>shock_OC!$E$4*s_ri!D10</f>
        <v>0</v>
      </c>
      <c r="E10">
        <f>shock_OC!$E$5*s_ri!E10</f>
        <v>0</v>
      </c>
      <c r="F10">
        <f>shock_OC!$E$6*s_ri!F10</f>
        <v>14.578293272059843</v>
      </c>
      <c r="G10">
        <f>shock_OC!$E$7*s_ri!G10</f>
        <v>-393.39381095146456</v>
      </c>
      <c r="H10">
        <f t="shared" si="0"/>
        <v>11261.708981296744</v>
      </c>
      <c r="L10" s="2" t="s">
        <v>12</v>
      </c>
      <c r="M10">
        <f>shock_OC!$E$8*s_ri!K10</f>
        <v>-8682.4898306062514</v>
      </c>
      <c r="N10">
        <f>shock_OC!$E$9*s_ri!L10</f>
        <v>-129017.60208006477</v>
      </c>
      <c r="O10">
        <f>shock_OC!$E$10*s_ri!M10</f>
        <v>0</v>
      </c>
      <c r="P10">
        <f>shock_OC!$E$11*s_ri!N10</f>
        <v>0</v>
      </c>
      <c r="Q10">
        <f>shock_OC!$E$12*s_ri!O10</f>
        <v>6.2555577936677915</v>
      </c>
      <c r="R10">
        <f>shock_OC!$E$13*s_ri!P10</f>
        <v>496.93525843110342</v>
      </c>
      <c r="S10">
        <f t="shared" si="1"/>
        <v>-137196.90109444625</v>
      </c>
    </row>
    <row r="11" spans="1:19" x14ac:dyDescent="0.2">
      <c r="A11" s="2" t="s">
        <v>13</v>
      </c>
      <c r="B11">
        <f>shock_OC!$E$2*s_ri!B11</f>
        <v>7409.0704636448372</v>
      </c>
      <c r="C11">
        <f>shock_OC!$E$3*s_ri!C11</f>
        <v>12881150.220910098</v>
      </c>
      <c r="D11">
        <f>shock_OC!$E$4*s_ri!D11</f>
        <v>0</v>
      </c>
      <c r="E11">
        <f>shock_OC!$E$5*s_ri!E11</f>
        <v>0</v>
      </c>
      <c r="F11">
        <f>shock_OC!$E$6*s_ri!F11</f>
        <v>17.528397568440536</v>
      </c>
      <c r="G11">
        <f>shock_OC!$E$7*s_ri!G11</f>
        <v>-351.5775828281495</v>
      </c>
      <c r="H11">
        <f t="shared" si="0"/>
        <v>12888.225242188482</v>
      </c>
      <c r="L11" s="2" t="s">
        <v>13</v>
      </c>
      <c r="M11">
        <f>shock_OC!$E$8*s_ri!K11</f>
        <v>-2619.6951545582438</v>
      </c>
      <c r="N11">
        <f>shock_OC!$E$9*s_ri!L11</f>
        <v>-159883.05327852321</v>
      </c>
      <c r="O11">
        <f>shock_OC!$E$10*s_ri!M11</f>
        <v>0</v>
      </c>
      <c r="P11">
        <f>shock_OC!$E$11*s_ri!N11</f>
        <v>0</v>
      </c>
      <c r="Q11">
        <f>shock_OC!$E$12*s_ri!O11</f>
        <v>7.2123170887174197</v>
      </c>
      <c r="R11">
        <f>shock_OC!$E$13*s_ri!P11</f>
        <v>486.67736194473446</v>
      </c>
      <c r="S11">
        <f t="shared" si="1"/>
        <v>-162008.85875404801</v>
      </c>
    </row>
    <row r="12" spans="1:19" x14ac:dyDescent="0.2">
      <c r="A12" s="2" t="s">
        <v>14</v>
      </c>
      <c r="B12">
        <f>shock_OC!$E$2*s_ri!B12</f>
        <v>33173.735949037771</v>
      </c>
      <c r="C12">
        <f>shock_OC!$E$3*s_ri!C12</f>
        <v>9623193.4396651927</v>
      </c>
      <c r="D12">
        <f>shock_OC!$E$4*s_ri!D12</f>
        <v>0</v>
      </c>
      <c r="E12">
        <f>shock_OC!$E$5*s_ri!E12</f>
        <v>0</v>
      </c>
      <c r="F12">
        <f>shock_OC!$E$6*s_ri!F12</f>
        <v>14.661976379525401</v>
      </c>
      <c r="G12">
        <f>shock_OC!$E$7*s_ri!G12</f>
        <v>-409.51628589656673</v>
      </c>
      <c r="H12">
        <f t="shared" si="0"/>
        <v>9655.9723213047146</v>
      </c>
      <c r="L12" s="2" t="s">
        <v>14</v>
      </c>
      <c r="M12">
        <f>shock_OC!$E$8*s_ri!K12</f>
        <v>-16718.060366610334</v>
      </c>
      <c r="N12">
        <f>shock_OC!$E$9*s_ri!L12</f>
        <v>-144704.79773948994</v>
      </c>
      <c r="O12">
        <f>shock_OC!$E$10*s_ri!M12</f>
        <v>0</v>
      </c>
      <c r="P12">
        <f>shock_OC!$E$11*s_ri!N12</f>
        <v>0</v>
      </c>
      <c r="Q12">
        <f>shock_OC!$E$12*s_ri!O12</f>
        <v>6.3004827694594692</v>
      </c>
      <c r="R12">
        <f>shock_OC!$E$13*s_ri!P12</f>
        <v>509.87599143196553</v>
      </c>
      <c r="S12">
        <f t="shared" si="1"/>
        <v>-160906.68163189883</v>
      </c>
    </row>
    <row r="13" spans="1:19" x14ac:dyDescent="0.2">
      <c r="A13" s="2" t="s">
        <v>15</v>
      </c>
      <c r="B13">
        <f>shock_OC!$E$2*s_ri!B13</f>
        <v>11249.663439499129</v>
      </c>
      <c r="C13">
        <f>shock_OC!$E$3*s_ri!C13</f>
        <v>10829757.775871444</v>
      </c>
      <c r="D13">
        <f>shock_OC!$E$4*s_ri!D13</f>
        <v>0</v>
      </c>
      <c r="E13">
        <f>shock_OC!$E$5*s_ri!E13</f>
        <v>0</v>
      </c>
      <c r="F13">
        <f>shock_OC!$E$6*s_ri!F13</f>
        <v>15.431681877784095</v>
      </c>
      <c r="G13">
        <f>shock_OC!$E$7*s_ri!G13</f>
        <v>-419.21875981620093</v>
      </c>
      <c r="H13">
        <f t="shared" si="0"/>
        <v>10840.603652233005</v>
      </c>
      <c r="L13" s="2" t="s">
        <v>15</v>
      </c>
      <c r="M13">
        <f>shock_OC!$E$8*s_ri!K13</f>
        <v>-5572.1478605941174</v>
      </c>
      <c r="N13">
        <f>shock_OC!$E$9*s_ri!L13</f>
        <v>-129700.80201101118</v>
      </c>
      <c r="O13">
        <f>shock_OC!$E$10*s_ri!M13</f>
        <v>0</v>
      </c>
      <c r="P13">
        <f>shock_OC!$E$11*s_ri!N13</f>
        <v>0</v>
      </c>
      <c r="Q13">
        <f>shock_OC!$E$12*s_ri!O13</f>
        <v>7.1591967246726282</v>
      </c>
      <c r="R13">
        <f>shock_OC!$E$13*s_ri!P13</f>
        <v>547.19337284589517</v>
      </c>
      <c r="S13">
        <f t="shared" si="1"/>
        <v>-134718.59730203473</v>
      </c>
    </row>
    <row r="14" spans="1:19" x14ac:dyDescent="0.2">
      <c r="A14" s="2" t="s">
        <v>16</v>
      </c>
      <c r="B14">
        <f>shock_OC!$E$2*s_ri!B14</f>
        <v>25608.805838202185</v>
      </c>
      <c r="C14">
        <f>shock_OC!$E$3*s_ri!C14</f>
        <v>11212508.632864913</v>
      </c>
      <c r="D14">
        <f>shock_OC!$E$4*s_ri!D14</f>
        <v>0</v>
      </c>
      <c r="E14">
        <f>shock_OC!$E$5*s_ri!E14</f>
        <v>0</v>
      </c>
      <c r="F14">
        <f>shock_OC!$E$6*s_ri!F14</f>
        <v>14.945811290245583</v>
      </c>
      <c r="G14">
        <f>shock_OC!$E$7*s_ri!G14</f>
        <v>-390.39052562471994</v>
      </c>
      <c r="H14">
        <f t="shared" si="0"/>
        <v>11237.741993988782</v>
      </c>
      <c r="L14" s="2" t="s">
        <v>16</v>
      </c>
      <c r="M14">
        <f>shock_OC!$E$8*s_ri!K14</f>
        <v>-11574.261808912021</v>
      </c>
      <c r="N14">
        <f>shock_OC!$E$9*s_ri!L14</f>
        <v>-140877.11835312194</v>
      </c>
      <c r="O14">
        <f>shock_OC!$E$10*s_ri!M14</f>
        <v>0</v>
      </c>
      <c r="P14">
        <f>shock_OC!$E$11*s_ri!N14</f>
        <v>0</v>
      </c>
      <c r="Q14">
        <f>shock_OC!$E$12*s_ri!O14</f>
        <v>7.6758033461204054</v>
      </c>
      <c r="R14">
        <f>shock_OC!$E$13*s_ri!P14</f>
        <v>467.10758243375557</v>
      </c>
      <c r="S14">
        <f t="shared" si="1"/>
        <v>-151976.59677625407</v>
      </c>
    </row>
    <row r="15" spans="1:19" x14ac:dyDescent="0.2">
      <c r="A15" s="2" t="s">
        <v>17</v>
      </c>
      <c r="B15">
        <f>shock_OC!$E$2*s_ri!B15</f>
        <v>30239.139196459149</v>
      </c>
      <c r="C15">
        <f>shock_OC!$E$3*s_ri!C15</f>
        <v>9085435.5264237057</v>
      </c>
      <c r="D15">
        <f>shock_OC!$E$4*s_ri!D15</f>
        <v>0</v>
      </c>
      <c r="E15">
        <f>shock_OC!$E$5*s_ri!E15</f>
        <v>0</v>
      </c>
      <c r="F15">
        <f>shock_OC!$E$6*s_ri!F15</f>
        <v>14.363517041383206</v>
      </c>
      <c r="G15">
        <f>shock_OC!$E$7*s_ri!G15</f>
        <v>-442.89045993177257</v>
      </c>
      <c r="H15">
        <f t="shared" si="0"/>
        <v>9115.2461386772757</v>
      </c>
      <c r="L15" s="2" t="s">
        <v>17</v>
      </c>
      <c r="M15">
        <f>shock_OC!$E$8*s_ri!K15</f>
        <v>-17244.877237713961</v>
      </c>
      <c r="N15">
        <f>shock_OC!$E$9*s_ri!L15</f>
        <v>-111075.22332038374</v>
      </c>
      <c r="O15">
        <f>shock_OC!$E$10*s_ri!M15</f>
        <v>0</v>
      </c>
      <c r="P15">
        <f>shock_OC!$E$11*s_ri!N15</f>
        <v>0</v>
      </c>
      <c r="Q15">
        <f>shock_OC!$E$12*s_ri!O15</f>
        <v>7.1782708877293615</v>
      </c>
      <c r="R15">
        <f>shock_OC!$E$13*s_ri!P15</f>
        <v>506.48117559678008</v>
      </c>
      <c r="S15">
        <f t="shared" si="1"/>
        <v>-127806.4411116132</v>
      </c>
    </row>
    <row r="16" spans="1:19" x14ac:dyDescent="0.2">
      <c r="A16" s="2" t="s">
        <v>18</v>
      </c>
      <c r="B16">
        <f>shock_OC!$E$2*s_ri!B16</f>
        <v>29226.233066253368</v>
      </c>
      <c r="C16">
        <f>shock_OC!$E$3*s_ri!C16</f>
        <v>6637923.3530744901</v>
      </c>
      <c r="D16">
        <f>shock_OC!$E$4*s_ri!D16</f>
        <v>0</v>
      </c>
      <c r="E16">
        <f>shock_OC!$E$5*s_ri!E16</f>
        <v>0</v>
      </c>
      <c r="F16">
        <f>shock_OC!$E$6*s_ri!F16</f>
        <v>18.03084587785256</v>
      </c>
      <c r="G16">
        <f>shock_OC!$E$7*s_ri!G16</f>
        <v>-427.13241918642314</v>
      </c>
      <c r="H16">
        <f t="shared" si="0"/>
        <v>6666.7404845674346</v>
      </c>
      <c r="L16" s="2" t="s">
        <v>18</v>
      </c>
      <c r="M16">
        <f>shock_OC!$E$8*s_ri!K16</f>
        <v>-11608.599146754268</v>
      </c>
      <c r="N16">
        <f>shock_OC!$E$9*s_ri!L16</f>
        <v>-83130.405037404562</v>
      </c>
      <c r="O16">
        <f>shock_OC!$E$10*s_ri!M16</f>
        <v>0</v>
      </c>
      <c r="P16">
        <f>shock_OC!$E$11*s_ri!N16</f>
        <v>0</v>
      </c>
      <c r="Q16">
        <f>shock_OC!$E$12*s_ri!O16</f>
        <v>7.9372535803876598</v>
      </c>
      <c r="R16">
        <f>shock_OC!$E$13*s_ri!P16</f>
        <v>538.88274437917573</v>
      </c>
      <c r="S16">
        <f t="shared" si="1"/>
        <v>-94192.184186199258</v>
      </c>
    </row>
    <row r="17" spans="1:19" x14ac:dyDescent="0.2">
      <c r="A17" s="2" t="s">
        <v>19</v>
      </c>
      <c r="B17">
        <f>shock_OC!$E$2*s_ri!B17</f>
        <v>36699.665744525366</v>
      </c>
      <c r="C17">
        <f>shock_OC!$E$3*s_ri!C17</f>
        <v>8301634.0504395626</v>
      </c>
      <c r="D17">
        <f>shock_OC!$E$4*s_ri!D17</f>
        <v>0</v>
      </c>
      <c r="E17">
        <f>shock_OC!$E$5*s_ri!E17</f>
        <v>0</v>
      </c>
      <c r="F17">
        <f>shock_OC!$E$6*s_ri!F17</f>
        <v>11.377449523376052</v>
      </c>
      <c r="G17">
        <f>shock_OC!$E$7*s_ri!G17</f>
        <v>-436.66742747847746</v>
      </c>
      <c r="H17">
        <f t="shared" si="0"/>
        <v>8337.9084262061333</v>
      </c>
      <c r="L17" s="2" t="s">
        <v>19</v>
      </c>
      <c r="M17">
        <f>shock_OC!$E$8*s_ri!K17</f>
        <v>-16710.768364655876</v>
      </c>
      <c r="N17">
        <f>shock_OC!$E$9*s_ri!L17</f>
        <v>-109391.77501006896</v>
      </c>
      <c r="O17">
        <f>shock_OC!$E$10*s_ri!M17</f>
        <v>0</v>
      </c>
      <c r="P17">
        <f>shock_OC!$E$11*s_ri!N17</f>
        <v>0</v>
      </c>
      <c r="Q17">
        <f>shock_OC!$E$12*s_ri!O17</f>
        <v>3.2954411731021791</v>
      </c>
      <c r="R17">
        <f>shock_OC!$E$13*s_ri!P17</f>
        <v>635.53803447536268</v>
      </c>
      <c r="S17">
        <f t="shared" si="1"/>
        <v>-125463.70989907636</v>
      </c>
    </row>
    <row r="18" spans="1:19" x14ac:dyDescent="0.2">
      <c r="A18" s="2" t="s">
        <v>20</v>
      </c>
      <c r="B18">
        <f>shock_OC!$E$2*s_ri!B18</f>
        <v>33993.69464226054</v>
      </c>
      <c r="C18">
        <f>shock_OC!$E$3*s_ri!C18</f>
        <v>8941695.2498121466</v>
      </c>
      <c r="D18">
        <f>shock_OC!$E$4*s_ri!D18</f>
        <v>0</v>
      </c>
      <c r="E18">
        <f>shock_OC!$E$5*s_ri!E18</f>
        <v>0</v>
      </c>
      <c r="F18">
        <f>shock_OC!$E$6*s_ri!F18</f>
        <v>15.016708785272852</v>
      </c>
      <c r="G18">
        <f>shock_OC!$E$7*s_ri!G18</f>
        <v>-440.51151593653935</v>
      </c>
      <c r="H18">
        <f t="shared" si="0"/>
        <v>8975.2634496472565</v>
      </c>
      <c r="L18" s="2" t="s">
        <v>20</v>
      </c>
      <c r="M18">
        <f>shock_OC!$E$8*s_ri!K18</f>
        <v>-13372.058169357508</v>
      </c>
      <c r="N18">
        <f>shock_OC!$E$9*s_ri!L18</f>
        <v>-136721.78038454859</v>
      </c>
      <c r="O18">
        <f>shock_OC!$E$10*s_ri!M18</f>
        <v>0</v>
      </c>
      <c r="P18">
        <f>shock_OC!$E$11*s_ri!N18</f>
        <v>0</v>
      </c>
      <c r="Q18">
        <f>shock_OC!$E$12*s_ri!O18</f>
        <v>7.8539445532900762</v>
      </c>
      <c r="R18">
        <f>shock_OC!$E$13*s_ri!P18</f>
        <v>510.79176247824364</v>
      </c>
      <c r="S18">
        <f t="shared" si="1"/>
        <v>-149575.19284687456</v>
      </c>
    </row>
    <row r="19" spans="1:19" x14ac:dyDescent="0.2">
      <c r="A19" s="2" t="s">
        <v>21</v>
      </c>
      <c r="B19">
        <f>shock_OC!$E$2*s_ri!B19</f>
        <v>26490.828645600413</v>
      </c>
      <c r="C19">
        <f>shock_OC!$E$3*s_ri!C19</f>
        <v>4751377.0332629764</v>
      </c>
      <c r="D19">
        <f>shock_OC!$E$4*s_ri!D19</f>
        <v>0</v>
      </c>
      <c r="E19">
        <f>shock_OC!$E$5*s_ri!E19</f>
        <v>0</v>
      </c>
      <c r="F19">
        <f>shock_OC!$E$6*s_ri!F19</f>
        <v>19.104170514805837</v>
      </c>
      <c r="G19">
        <f>shock_OC!$E$7*s_ri!G19</f>
        <v>-473.74242276205439</v>
      </c>
      <c r="H19">
        <f t="shared" si="0"/>
        <v>4777.4132236563291</v>
      </c>
      <c r="L19" s="2" t="s">
        <v>21</v>
      </c>
      <c r="M19">
        <f>shock_OC!$E$8*s_ri!K19</f>
        <v>-10696.390139504829</v>
      </c>
      <c r="N19">
        <f>shock_OC!$E$9*s_ri!L19</f>
        <v>-70003.247404625654</v>
      </c>
      <c r="O19">
        <f>shock_OC!$E$10*s_ri!M19</f>
        <v>0</v>
      </c>
      <c r="P19">
        <f>shock_OC!$E$11*s_ri!N19</f>
        <v>0</v>
      </c>
      <c r="Q19">
        <f>shock_OC!$E$12*s_ri!O19</f>
        <v>7.1566083255133073</v>
      </c>
      <c r="R19">
        <f>shock_OC!$E$13*s_ri!P19</f>
        <v>612.0206028220955</v>
      </c>
      <c r="S19">
        <f t="shared" si="1"/>
        <v>-80080.460332982868</v>
      </c>
    </row>
    <row r="20" spans="1:19" x14ac:dyDescent="0.2">
      <c r="A20" s="2" t="s">
        <v>22</v>
      </c>
      <c r="B20">
        <f>shock_OC!$E$2*s_ri!B20</f>
        <v>26855.495899695645</v>
      </c>
      <c r="C20">
        <f>shock_OC!$E$3*s_ri!C20</f>
        <v>7697089.8222473757</v>
      </c>
      <c r="D20">
        <f>shock_OC!$E$4*s_ri!D20</f>
        <v>0</v>
      </c>
      <c r="E20">
        <f>shock_OC!$E$5*s_ri!E20</f>
        <v>0</v>
      </c>
      <c r="F20">
        <f>shock_OC!$E$6*s_ri!F20</f>
        <v>18.974181538298541</v>
      </c>
      <c r="G20">
        <f>shock_OC!$E$7*s_ri!G20</f>
        <v>-442.09109672602045</v>
      </c>
      <c r="H20">
        <f t="shared" si="0"/>
        <v>7723.5222012318836</v>
      </c>
      <c r="L20" s="2" t="s">
        <v>22</v>
      </c>
      <c r="M20">
        <f>shock_OC!$E$8*s_ri!K20</f>
        <v>-14497.51820031442</v>
      </c>
      <c r="N20">
        <f>shock_OC!$E$9*s_ri!L20</f>
        <v>-101877.36283980645</v>
      </c>
      <c r="O20">
        <f>shock_OC!$E$10*s_ri!M20</f>
        <v>0</v>
      </c>
      <c r="P20">
        <f>shock_OC!$E$11*s_ri!N20</f>
        <v>0</v>
      </c>
      <c r="Q20">
        <f>shock_OC!$E$12*s_ri!O20</f>
        <v>8.886836258039148</v>
      </c>
      <c r="R20">
        <f>shock_OC!$E$13*s_ri!P20</f>
        <v>518.15333349705088</v>
      </c>
      <c r="S20">
        <f t="shared" si="1"/>
        <v>-115847.84087036578</v>
      </c>
    </row>
    <row r="21" spans="1:19" x14ac:dyDescent="0.2">
      <c r="A21" s="2" t="s">
        <v>23</v>
      </c>
      <c r="B21">
        <f>shock_OC!$E$2*s_ri!B21</f>
        <v>30405.600334336592</v>
      </c>
      <c r="C21">
        <f>shock_OC!$E$3*s_ri!C21</f>
        <v>9264667.8714123908</v>
      </c>
      <c r="D21">
        <f>shock_OC!$E$4*s_ri!D21</f>
        <v>0</v>
      </c>
      <c r="E21">
        <f>shock_OC!$E$5*s_ri!E21</f>
        <v>0</v>
      </c>
      <c r="F21">
        <f>shock_OC!$E$6*s_ri!F21</f>
        <v>13.272580189351693</v>
      </c>
      <c r="G21">
        <f>shock_OC!$E$7*s_ri!G21</f>
        <v>-440.91705722453509</v>
      </c>
      <c r="H21">
        <f t="shared" si="0"/>
        <v>9294.6458272696946</v>
      </c>
      <c r="L21" s="2" t="s">
        <v>23</v>
      </c>
      <c r="M21">
        <f>shock_OC!$E$8*s_ri!K21</f>
        <v>-20901.41545003172</v>
      </c>
      <c r="N21">
        <f>shock_OC!$E$9*s_ri!L21</f>
        <v>-133405.57027179995</v>
      </c>
      <c r="O21">
        <f>shock_OC!$E$10*s_ri!M21</f>
        <v>0</v>
      </c>
      <c r="P21">
        <f>shock_OC!$E$11*s_ri!N21</f>
        <v>0</v>
      </c>
      <c r="Q21">
        <f>shock_OC!$E$12*s_ri!O21</f>
        <v>6.4008400750685244</v>
      </c>
      <c r="R21">
        <f>shock_OC!$E$13*s_ri!P21</f>
        <v>515.9589639120959</v>
      </c>
      <c r="S21">
        <f t="shared" si="1"/>
        <v>-153784.6259178445</v>
      </c>
    </row>
    <row r="22" spans="1:19" x14ac:dyDescent="0.2">
      <c r="A22" s="2" t="s">
        <v>24</v>
      </c>
      <c r="B22">
        <f>shock_OC!$E$2*s_ri!B22</f>
        <v>13454.62418426458</v>
      </c>
      <c r="C22">
        <f>shock_OC!$E$3*s_ri!C22</f>
        <v>10414199.135870902</v>
      </c>
      <c r="D22">
        <f>shock_OC!$E$4*s_ri!D22</f>
        <v>0</v>
      </c>
      <c r="E22">
        <f>shock_OC!$E$5*s_ri!E22</f>
        <v>0</v>
      </c>
      <c r="F22">
        <f>shock_OC!$E$6*s_ri!F22</f>
        <v>21.406543456169267</v>
      </c>
      <c r="G22">
        <f>shock_OC!$E$7*s_ri!G22</f>
        <v>-385.5729468249001</v>
      </c>
      <c r="H22">
        <f t="shared" si="0"/>
        <v>10427.289593651798</v>
      </c>
      <c r="L22" s="2" t="s">
        <v>24</v>
      </c>
      <c r="M22">
        <f>shock_OC!$E$8*s_ri!K22</f>
        <v>-7825.6769065475428</v>
      </c>
      <c r="N22">
        <f>shock_OC!$E$9*s_ri!L22</f>
        <v>-126128.73013809757</v>
      </c>
      <c r="O22">
        <f>shock_OC!$E$10*s_ri!M22</f>
        <v>0</v>
      </c>
      <c r="P22">
        <f>shock_OC!$E$11*s_ri!N22</f>
        <v>0</v>
      </c>
      <c r="Q22">
        <f>shock_OC!$E$12*s_ri!O22</f>
        <v>8.9889763978716566</v>
      </c>
      <c r="R22">
        <f>shock_OC!$E$13*s_ri!P22</f>
        <v>469.40822851447655</v>
      </c>
      <c r="S22">
        <f t="shared" si="1"/>
        <v>-133476.00983973275</v>
      </c>
    </row>
    <row r="23" spans="1:19" x14ac:dyDescent="0.2">
      <c r="A23" s="2" t="s">
        <v>25</v>
      </c>
      <c r="B23">
        <f>shock_OC!$E$2*s_ri!B23</f>
        <v>9290.9411090785597</v>
      </c>
      <c r="C23">
        <f>shock_OC!$E$3*s_ri!C23</f>
        <v>5504710.5182363475</v>
      </c>
      <c r="D23">
        <f>shock_OC!$E$4*s_ri!D23</f>
        <v>0</v>
      </c>
      <c r="E23">
        <f>shock_OC!$E$5*s_ri!E23</f>
        <v>0</v>
      </c>
      <c r="F23">
        <f>shock_OC!$E$6*s_ri!F23</f>
        <v>20.325150191869778</v>
      </c>
      <c r="G23">
        <f>shock_OC!$E$7*s_ri!G23</f>
        <v>-468.21156544082294</v>
      </c>
      <c r="H23">
        <f t="shared" si="0"/>
        <v>5513.5535729301773</v>
      </c>
      <c r="L23" s="2" t="s">
        <v>25</v>
      </c>
      <c r="M23">
        <f>shock_OC!$E$8*s_ri!K23</f>
        <v>-6446.8107981800558</v>
      </c>
      <c r="N23">
        <f>shock_OC!$E$9*s_ri!L23</f>
        <v>-74491.285269217522</v>
      </c>
      <c r="O23">
        <f>shock_OC!$E$10*s_ri!M23</f>
        <v>0</v>
      </c>
      <c r="P23">
        <f>shock_OC!$E$11*s_ri!N23</f>
        <v>0</v>
      </c>
      <c r="Q23">
        <f>shock_OC!$E$12*s_ri!O23</f>
        <v>9.6500003037308293</v>
      </c>
      <c r="R23">
        <f>shock_OC!$E$13*s_ri!P23</f>
        <v>535.44817785983025</v>
      </c>
      <c r="S23">
        <f t="shared" si="1"/>
        <v>-80392.997889234015</v>
      </c>
    </row>
    <row r="24" spans="1:19" x14ac:dyDescent="0.2">
      <c r="A24" s="2" t="s">
        <v>26</v>
      </c>
      <c r="B24">
        <f>shock_OC!$E$2*s_ri!B24</f>
        <v>0</v>
      </c>
      <c r="C24">
        <f>shock_OC!$E$3*s_ri!C24</f>
        <v>0</v>
      </c>
      <c r="D24">
        <f>shock_OC!$E$4*s_ri!D24</f>
        <v>0</v>
      </c>
      <c r="E24">
        <f>shock_OC!$E$5*s_ri!E24</f>
        <v>0</v>
      </c>
      <c r="F24">
        <f>shock_OC!$E$6*s_ri!F24</f>
        <v>0</v>
      </c>
      <c r="G24">
        <f>shock_OC!$E$7*s_ri!G24</f>
        <v>-734.79218932969263</v>
      </c>
      <c r="H24">
        <f t="shared" si="0"/>
        <v>-0.73479218932969259</v>
      </c>
      <c r="L24" s="2" t="s">
        <v>26</v>
      </c>
      <c r="M24">
        <f>shock_OC!$E$8*s_ri!K24</f>
        <v>0</v>
      </c>
      <c r="N24">
        <f>shock_OC!$E$9*s_ri!L24</f>
        <v>-119329.32415515374</v>
      </c>
      <c r="O24">
        <f>shock_OC!$E$10*s_ri!M24</f>
        <v>0</v>
      </c>
      <c r="P24">
        <f>shock_OC!$E$11*s_ri!N24</f>
        <v>0</v>
      </c>
      <c r="Q24">
        <f>shock_OC!$E$12*s_ri!O24</f>
        <v>7.2770906962058133</v>
      </c>
      <c r="R24">
        <f>shock_OC!$E$13*s_ri!P24</f>
        <v>508.44923711585284</v>
      </c>
      <c r="S24">
        <f t="shared" si="1"/>
        <v>-118813.59782734167</v>
      </c>
    </row>
  </sheetData>
  <mergeCells count="2">
    <mergeCell ref="A1:H1"/>
    <mergeCell ref="L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employment</vt:lpstr>
      <vt:lpstr>import</vt:lpstr>
      <vt:lpstr>L_i</vt:lpstr>
      <vt:lpstr>delta_M</vt:lpstr>
      <vt:lpstr>shock_i</vt:lpstr>
      <vt:lpstr>L_r</vt:lpstr>
      <vt:lpstr>s_ri</vt:lpstr>
      <vt:lpstr>IPW_i</vt:lpstr>
      <vt:lpstr>import OC</vt:lpstr>
      <vt:lpstr>delta_M_OC</vt:lpstr>
      <vt:lpstr>shock_OC</vt:lpstr>
      <vt:lpstr>IPW_OC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Лексикова Дарья Игоревна</dc:creator>
  <cp:lastModifiedBy>Лексикова Дарья Игоревна</cp:lastModifiedBy>
  <dcterms:created xsi:type="dcterms:W3CDTF">2026-04-03T10:34:45Z</dcterms:created>
  <dcterms:modified xsi:type="dcterms:W3CDTF">2026-04-05T17:19:33Z</dcterms:modified>
</cp:coreProperties>
</file>